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PUT RAW" sheetId="1" r:id="rId4"/>
    <sheet state="visible" name="Sorted - Copy from here to Prod" sheetId="2" r:id="rId5"/>
    <sheet state="visible" name="Products" sheetId="3" r:id="rId6"/>
    <sheet state="visible" name="EXPORT" sheetId="4" r:id="rId7"/>
    <sheet state="hidden" name="BACKUP 18.09.24" sheetId="5" r:id="rId8"/>
    <sheet state="visible" name="Handles" sheetId="6" r:id="rId9"/>
  </sheets>
  <definedNames>
    <definedName hidden="1" localSheetId="2" name="Z_4E2A9210_123D_412A_A674_87A542E56BB5_.wvu.FilterData">Products!$A$1:$I$896</definedName>
    <definedName hidden="1" localSheetId="4" name="Z_4E2A9210_123D_412A_A674_87A542E56BB5_.wvu.FilterData">'BACKUP 18.09.24'!$A$2:$H$899</definedName>
    <definedName hidden="1" localSheetId="2" name="Z_F38008BB_B2EC_45A4_B5B1_954CDCF34675_.wvu.FilterData">Products!$A$1:$I$896</definedName>
    <definedName hidden="1" localSheetId="4" name="Z_F38008BB_B2EC_45A4_B5B1_954CDCF34675_.wvu.FilterData">'BACKUP 18.09.24'!$A$2:$H$899</definedName>
  </definedNames>
  <calcPr/>
  <customWorkbookViews>
    <customWorkbookView activeSheetId="0" maximized="1" windowHeight="0" windowWidth="0" guid="{4E2A9210-123D-412A-A674-87A542E56BB5}" name="Riktig filter"/>
    <customWorkbookView activeSheetId="0" maximized="1" windowHeight="0" windowWidth="0" guid="{F38008BB-B2EC-45A4-B5B1-954CDCF34675}" name="Filter 1"/>
  </customWorkbookViews>
  <extLst>
    <ext uri="GoogleSheetsCustomDataVersion2">
      <go:sheetsCustomData xmlns:go="http://customooxmlschemas.google.com/" r:id="rId10" roundtripDataChecksum="7CU2bh+Tq7SPABO6k3jBqTZozbJvHxSKkn+SYk7DfNc="/>
    </ext>
  </extLst>
</workbook>
</file>

<file path=xl/sharedStrings.xml><?xml version="1.0" encoding="utf-8"?>
<sst xmlns="http://schemas.openxmlformats.org/spreadsheetml/2006/main" count="10899" uniqueCount="5289">
  <si>
    <t>Handle</t>
  </si>
  <si>
    <t>Title</t>
  </si>
  <si>
    <t>Vendor</t>
  </si>
  <si>
    <t>Type</t>
  </si>
  <si>
    <t>Metafield: title_tag [string]</t>
  </si>
  <si>
    <t>Metafield: description_tag [string]</t>
  </si>
  <si>
    <t>Metafield: custom.same_product [list.product_reference]</t>
  </si>
  <si>
    <t>Metafield: custom.style_with [list.product_reference]</t>
  </si>
  <si>
    <t>Metafield: custom.short_description [multi_line_text_field]</t>
  </si>
  <si>
    <t>Metafield: custom.men_images [list.file_reference]</t>
  </si>
  <si>
    <t>Metafield: custom.women_images [list.file_reference]</t>
  </si>
  <si>
    <t>Metafield: mm-google-shopping.custom_product [boolean]</t>
  </si>
  <si>
    <t>Metafield: custom.care_page [page_reference]</t>
  </si>
  <si>
    <t>Metafield: custom.full_description [multi_line_text_field]</t>
  </si>
  <si>
    <t>Metafield: custom.fitguide [page_reference]</t>
  </si>
  <si>
    <t>Metafield: custom.flat [file_reference]</t>
  </si>
  <si>
    <t>Metafield: custom.style_with_unisex_herre [list.product_reference]</t>
  </si>
  <si>
    <t>Metafield: custom.style_with_unisex_dame [list.product_reference]</t>
  </si>
  <si>
    <t>Metafield: custom.product_banner [single_line_text_field]</t>
  </si>
  <si>
    <t>Metafield: custom.model_info [multi_line_text_field]</t>
  </si>
  <si>
    <t>Metafield: custom.recommended_products [list.product_reference]</t>
  </si>
  <si>
    <t>Metafield: reviews.rating [rating]</t>
  </si>
  <si>
    <t>Metafield: reviews.rating_count [number_integer]</t>
  </si>
  <si>
    <t>Metafield: custom.details [multi_line_text_field]</t>
  </si>
  <si>
    <t>Metafield: custom.recommended_product_from_collection [collection_reference]</t>
  </si>
  <si>
    <t>Metafield: shopify.color-pattern [list.metaobject_reference]</t>
  </si>
  <si>
    <t>Metafield: custom.map [multi_line_text_field]</t>
  </si>
  <si>
    <t>Metafield: productDetails.crosssell [string]</t>
  </si>
  <si>
    <t>Metafield: mc-facebook.google_product_category [string]</t>
  </si>
  <si>
    <t>Metafield: smart_tags.previous_tags [string]</t>
  </si>
  <si>
    <t>Metafield: judgeme.badge [string]</t>
  </si>
  <si>
    <t>Metafield: judgeme.widget [string]</t>
  </si>
  <si>
    <t>nelson-mud</t>
  </si>
  <si>
    <t>Nelson Mud</t>
  </si>
  <si>
    <t>Livid men</t>
  </si>
  <si>
    <t>T-Shirt</t>
  </si>
  <si>
    <t>nikka-khaki-linen</t>
  </si>
  <si>
    <t>Nikka Khaki Linen</t>
  </si>
  <si>
    <t>Livid Femme</t>
  </si>
  <si>
    <t>Shirt</t>
  </si>
  <si>
    <t>nikka-peat-linen</t>
  </si>
  <si>
    <t>Nikka Peat Linen</t>
  </si>
  <si>
    <t>noya-aloe</t>
  </si>
  <si>
    <t>Noya Aloe</t>
  </si>
  <si>
    <t>Jersey</t>
  </si>
  <si>
    <t>paco-bile-fadeout</t>
  </si>
  <si>
    <t>Paco Bile Fadeout</t>
  </si>
  <si>
    <t>Singlet</t>
  </si>
  <si>
    <t>paco-white</t>
  </si>
  <si>
    <t>Paco White</t>
  </si>
  <si>
    <t>pen-stone-tech</t>
  </si>
  <si>
    <t>Pen Stone Tech</t>
  </si>
  <si>
    <t>Jacket</t>
  </si>
  <si>
    <t>russ-aloe-noil-silk</t>
  </si>
  <si>
    <t>Russ Aloe Noil Silk</t>
  </si>
  <si>
    <t>russ-bright-cobalt-fine-silk</t>
  </si>
  <si>
    <t>Russ Bright Cobalt Fine Silk</t>
  </si>
  <si>
    <t>russ-japan-floral-voile</t>
  </si>
  <si>
    <t>Russ Japan Floral Voile</t>
  </si>
  <si>
    <t>russ-white-fine-silk</t>
  </si>
  <si>
    <t>Russ White Fine Silk</t>
  </si>
  <si>
    <t>amber-japan-gravel</t>
  </si>
  <si>
    <t>Amber Japan Gravel</t>
  </si>
  <si>
    <t>anoki-black</t>
  </si>
  <si>
    <t>Anoki Black</t>
  </si>
  <si>
    <t>atohi-black</t>
  </si>
  <si>
    <t>Atohi Black</t>
  </si>
  <si>
    <t>ayon-black</t>
  </si>
  <si>
    <t>Ayon Black</t>
  </si>
  <si>
    <t>ayon-garden-green</t>
  </si>
  <si>
    <t>Ayon Garden Green</t>
  </si>
  <si>
    <t>taelon-paleo</t>
  </si>
  <si>
    <t>Taelon Paleo</t>
  </si>
  <si>
    <t>Knitwear</t>
  </si>
  <si>
    <t>tiki-blue-pop</t>
  </si>
  <si>
    <t>Tiki Blue Pop</t>
  </si>
  <si>
    <t>tim-black-check-bonded</t>
  </si>
  <si>
    <t>Tim Black Check Bonded</t>
  </si>
  <si>
    <t>Livid Unisex</t>
  </si>
  <si>
    <t>tim-green-bonded</t>
  </si>
  <si>
    <t>Tim Green Bonded</t>
  </si>
  <si>
    <t>tim-green-seersucker</t>
  </si>
  <si>
    <t>Tim Green Seersucker</t>
  </si>
  <si>
    <t>turnip-khaki</t>
  </si>
  <si>
    <t>Turnip Khaki</t>
  </si>
  <si>
    <t>winnipeg-papercrochet-bone</t>
  </si>
  <si>
    <t>Winnipeg Papercrochet Bone</t>
  </si>
  <si>
    <t>brass-blue-clerk-check</t>
  </si>
  <si>
    <t>Brass Blue Clerk Check</t>
  </si>
  <si>
    <t>brass-blue-pop</t>
  </si>
  <si>
    <t>Brass Blue Pop</t>
  </si>
  <si>
    <t>brass-grey-seersucker</t>
  </si>
  <si>
    <t>Brass Grey Seersucker</t>
  </si>
  <si>
    <t>brass-japan-bone-coi</t>
  </si>
  <si>
    <t>Brass Japan Bone Coi</t>
  </si>
  <si>
    <t>brass-tee-blue-clerk-check</t>
  </si>
  <si>
    <t>Brass Tee Blue Clerk Check</t>
  </si>
  <si>
    <t>brass-tee-voile-stripe</t>
  </si>
  <si>
    <t>Brass Tee Voile Stripe</t>
  </si>
  <si>
    <t>brass-voile-stripe</t>
  </si>
  <si>
    <t>Brass Voile Stripe</t>
  </si>
  <si>
    <t>brooke-black</t>
  </si>
  <si>
    <t>Brooke Black</t>
  </si>
  <si>
    <t>Dress</t>
  </si>
  <si>
    <t>taelon-black</t>
  </si>
  <si>
    <t>Taelon Black</t>
  </si>
  <si>
    <t>stanton-black</t>
  </si>
  <si>
    <t>Stanton Black</t>
  </si>
  <si>
    <t>stanton-linen</t>
  </si>
  <si>
    <t>Stanton Linen</t>
  </si>
  <si>
    <t>keen-green-seersucker</t>
  </si>
  <si>
    <t>Keen Green Seersucker</t>
  </si>
  <si>
    <t>keen-red-seersucker</t>
  </si>
  <si>
    <t>Keen Red Seersucker</t>
  </si>
  <si>
    <t>keen-tee-shirt-string-loose</t>
  </si>
  <si>
    <t>Keen Tee Shirt String Loose</t>
  </si>
  <si>
    <t>keen-tee-shirt-white-loose</t>
  </si>
  <si>
    <t>Keen Tee Shirt White Loose</t>
  </si>
  <si>
    <t>kalum-japan-slate</t>
  </si>
  <si>
    <t>Kalum Japan Slate</t>
  </si>
  <si>
    <t>kavon-mizzi-moss</t>
  </si>
  <si>
    <t>Kavon Mizzi Moss</t>
  </si>
  <si>
    <t>kavon-string-fadeout</t>
  </si>
  <si>
    <t>Kavon String Fadeout</t>
  </si>
  <si>
    <t>kavon-white</t>
  </si>
  <si>
    <t>Kavon White</t>
  </si>
  <si>
    <t>kelvin-black</t>
  </si>
  <si>
    <t>Kelvin Black</t>
  </si>
  <si>
    <t>jaylin-green-twill</t>
  </si>
  <si>
    <t>Jaylin Green Twill</t>
  </si>
  <si>
    <t>centi-aloe-fine-silk</t>
  </si>
  <si>
    <t>Centi Aloe Fine Silk</t>
  </si>
  <si>
    <t>centi-white-fine-silk</t>
  </si>
  <si>
    <t>Centi White Fine Silk</t>
  </si>
  <si>
    <t>coty-white</t>
  </si>
  <si>
    <t>Coty White</t>
  </si>
  <si>
    <t>dyer-aloe-fadeout-thermal</t>
  </si>
  <si>
    <t>Dyer Aloe Fadeout Thermal</t>
  </si>
  <si>
    <t>elmer-grey-melange</t>
  </si>
  <si>
    <t>Elmer Grey Melange</t>
  </si>
  <si>
    <t>elmer-white</t>
  </si>
  <si>
    <t>Elmer White</t>
  </si>
  <si>
    <t>eva-bone</t>
  </si>
  <si>
    <t>Eva Bone</t>
  </si>
  <si>
    <t>forte-black</t>
  </si>
  <si>
    <t>Forte Black</t>
  </si>
  <si>
    <t>huff-black-wool</t>
  </si>
  <si>
    <t>Huff Black Wool</t>
  </si>
  <si>
    <t>lais-grey-seersucker</t>
  </si>
  <si>
    <t>Lais Grey Seersucker</t>
  </si>
  <si>
    <t>merilot-papercrochet-bone</t>
  </si>
  <si>
    <t>Merilot Papercrochet Bone</t>
  </si>
  <si>
    <t>naples-wrapped-suede-taupe-bg</t>
  </si>
  <si>
    <t>Naples Wrapped Suede Taupe</t>
  </si>
  <si>
    <t>Birkenstock</t>
  </si>
  <si>
    <t>Sandal Unisex</t>
  </si>
  <si>
    <t>naples-wrapped-oiled-black-bg</t>
  </si>
  <si>
    <t>The Birkenstock Naples Wrapped in Taupe Suede.</t>
  </si>
  <si>
    <t>Madde in Germany
Birkenstock's Naples Wrapped is a semi-open moccasin style clog. Featuring Birkenstock's cork footbed and a two-component outsole, wrapped in the upper suede. Its natural design is down to the upper made from especially soft suede, which hugs the foot like a second skin. The two-component outsole combines the lightness and flexibility of EVA with the elasticity and scuff resistance of natural rubber.
This style features Birkenstock's Original Footbed, a contoured cork footbed that conforms to the shape of your foot and features pronounced arch support, a deep heel cup and roomy toe box.
Sizing note: We carry Birkenstock in the regular width from size 41 and up, and the narrrow width from size 40 and down.</t>
  </si>
  <si>
    <t>boston-oiled-leather-habana</t>
  </si>
  <si>
    <t>Boston Oiled Leather Habana</t>
  </si>
  <si>
    <t>boston-suede-carafe-tonal</t>
  </si>
  <si>
    <t>Boston Suede Carafe Tonal</t>
  </si>
  <si>
    <t>boston-suede-pink-clay</t>
  </si>
  <si>
    <t>Boston Suede Pink Clay</t>
  </si>
  <si>
    <t>Sandal Women</t>
  </si>
  <si>
    <t>boston-wire-buckle-nubuck-black</t>
  </si>
  <si>
    <t>Boston Wire Buckle Nubuck Black</t>
  </si>
  <si>
    <t>Sandal Men</t>
  </si>
  <si>
    <t>kyoto-pure-sage</t>
  </si>
  <si>
    <t>Kyoto Pure Sage</t>
  </si>
  <si>
    <t>mantova-patent-black</t>
  </si>
  <si>
    <t>Mantova Patent Black</t>
  </si>
  <si>
    <t>mantova-suede-taupe</t>
  </si>
  <si>
    <t>Mantova Suede Taupe</t>
  </si>
  <si>
    <t>naples-wrapped-suede-carafe</t>
  </si>
  <si>
    <t>Naples Wrapped Suede Carafe</t>
  </si>
  <si>
    <t>utti-suede-carafe</t>
  </si>
  <si>
    <t>Utti Suede Carafe</t>
  </si>
  <si>
    <t>Shoe Unisex</t>
  </si>
  <si>
    <t>abby-fog</t>
  </si>
  <si>
    <t>Abby Fog</t>
  </si>
  <si>
    <t>alon-knit-wheat</t>
  </si>
  <si>
    <t>Alon Knit Wheat</t>
  </si>
  <si>
    <t>alpha-bone</t>
  </si>
  <si>
    <t>Alpha Bone</t>
  </si>
  <si>
    <t>amber-japan-blue-scurry</t>
  </si>
  <si>
    <t>Amber Japan Blue Scurry</t>
  </si>
  <si>
    <t>amber-japan-fog</t>
  </si>
  <si>
    <t>Amber Japan Fog</t>
  </si>
  <si>
    <t>mila-carma-string</t>
  </si>
  <si>
    <t>Mila Carma String</t>
  </si>
  <si>
    <t>mila-charcoal-fadeout</t>
  </si>
  <si>
    <t>Mila Charcoal Fadeout</t>
  </si>
  <si>
    <t>miso-papercrochet-bone</t>
  </si>
  <si>
    <t>Miso Papercrochet Bone</t>
  </si>
  <si>
    <t>nara-smoke</t>
  </si>
  <si>
    <t>Nara Smoke</t>
  </si>
  <si>
    <t>nara-white</t>
  </si>
  <si>
    <t>Nara White</t>
  </si>
  <si>
    <t>needle-mud-stripe</t>
  </si>
  <si>
    <t>Needle Mud Stripe</t>
  </si>
  <si>
    <t>nelson-black-fadeout</t>
  </si>
  <si>
    <t>Nelson Black Fadeout</t>
  </si>
  <si>
    <t>nelson-fog-fadeout</t>
  </si>
  <si>
    <t>Nelson Fog Fadeout</t>
  </si>
  <si>
    <t>nelson-green-stripe</t>
  </si>
  <si>
    <t>Nelson Green Stripe</t>
  </si>
  <si>
    <t>pennant-ash-wax</t>
  </si>
  <si>
    <t>Pennant Ash Wax</t>
  </si>
  <si>
    <t>Livid Men</t>
  </si>
  <si>
    <t>Pennant Ash Wax - Technical Jacket</t>
  </si>
  <si>
    <t>pull-graphite-fluff, lerke-charcoal, keri-japan-black, adonis-lis-noir</t>
  </si>
  <si>
    <t>Pennant, our short technical wax jacket.</t>
  </si>
  <si>
    <t>care-jacket-tech</t>
  </si>
  <si>
    <t>Made in Portugal
Pennant, our short technical wax jacket. Made in a technical fabric from Olmetex in Italy, with a soft wax coating, protecting against the elements.
Designed with a stand up collar, and two large bellow pockets at the chest. Two-way full length zipper closure, covered by a flap secured with Riri snap buttons. Pennant's unlined construction and boxy fit, allows for layering and transitions from spring, through summer, and well into autumn.</t>
  </si>
  <si>
    <t>pennant-fitguide</t>
  </si>
  <si>
    <t>Model is 189cm tall and wearing a size medium</t>
  </si>
  <si>
    <t>adonis-lis-noir, hayes-navy, keen-navy-loose, boden-white-rib, keller-moonstripe</t>
  </si>
  <si>
    <t>- Technical wax fabric made by Olmetex in Italy
- 45% Cotton, 39% Pl, 16% Pa
- Riri snap button closure on chest pockets and zipper flap
- YKK two-way silver zipper
- Bellow flap pockets at chest
- Two large inner pockets
- Cut &amp; Sewn by Dia in Portugal</t>
  </si>
  <si>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</si>
  <si>
    <t>&lt;div class='jdgm-rev-widg' data-updated-at='2025-10-17T15:33:41Z' data-average-rating='0.00' data-number-of-reviews='0' data-number-of-questions='0' data-image-url='https://cdn.shopify.com/s/files/1/1394/5977/files/25.10.07-LIVIDAW25-DAG3_00975.jpg?v=1760715065'&gt;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</si>
  <si>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stack-flaxen</t>
  </si>
  <si>
    <t>Stack Flaxen</t>
  </si>
  <si>
    <t>Stack Flaxen - Knitted sweater</t>
  </si>
  <si>
    <t>hayes-black</t>
  </si>
  <si>
    <t>Stack, our knitted paper yarn cardigan.</t>
  </si>
  <si>
    <t>Made in China
Stack, our paper yarn collared cardigan. Knitted in an open and textured rib with a sheer quality. Designed with dropped shoulders, a loose body and wide and long sleeves. A collared neckline and mother of pearl buttoning.
Knitted in a paper, or washi blend yarn that gives the garment a heavy drape, and a distinct tactile handfeel that is cool on the skin, with excellent moisture wicking properties. A statement, yet versatile knit for spring and summer, to be worn layered as a cardigan, or straight on the skin. 
Details
- 35% cotton, 33% paper, 27% viscose, 6% linen
- Paper yarn spun by Topline
- Cool, light and breathable 
- Mother of pearl buttons
- Knitted by Springair in China</t>
  </si>
  <si>
    <t>stack-fitguide</t>
  </si>
  <si>
    <t>boston-taupe, elmer-shadow-rib, dune-japan-new-blue, code-black</t>
  </si>
  <si>
    <t>sweeny-paprika</t>
  </si>
  <si>
    <t>Sweeny Paprika</t>
  </si>
  <si>
    <t>Sweeny Paprika - Knitted shortsleeved polo</t>
  </si>
  <si>
    <t>keri-japan-black</t>
  </si>
  <si>
    <t>Sweeny, our knitted paper yarn polo.</t>
  </si>
  <si>
    <t>Made in China
Sweeny, our paper yarn polo. Knitted in an open and textured rib with a sheer quality. Designed with dropped shoulders, a loose body and wide and long sleeves. A collared neckline and mother of pearl buttoning.
Knitted in a paper, or washi blend yarn that gives the garment a heavy drape, and a distinct tactile handfeel that is cool on the skin, with excellent moisture wicking properties. A statement, yet versatile knit for spring and summer, to be worn layered, or straight on the skin. 
Details
- 35% cotton, 33% paper, 27% viscose, 6% linen
- Paper yarn spun by Topline
- Cool, light and breathable 
- Mother of pearl buttons
- Knitted by Springair in China</t>
  </si>
  <si>
    <t>sweeny-fitguide</t>
  </si>
  <si>
    <t>stack-flaxen, burley-5-pocket-japan-shadow, les-dawn, chimey-lisse-noir</t>
  </si>
  <si>
    <t>amber-japan-marble</t>
  </si>
  <si>
    <t>Amber Japan Marble</t>
  </si>
  <si>
    <t>Amber, our cropped box fit shirt.</t>
  </si>
  <si>
    <t>care-shirts-cotton</t>
  </si>
  <si>
    <t>Made in Portugal
Amber, our cropped box fit shirt. Designed with wide, dropped shoulders, a boxy fit and a cropped straight cut hem that ends above the hips. Featuring a square button-down chest pocket, button-down collar and a box-peat at the back yoke. Finished with mother of pearl buttons.
Made in an exceptionally light blue 7 Oz. denim woven by the artisinal denim mill Collect in Japan with a beautiful subtle texture. This particular denim is made with a rope-dyed warp yarn which has been given just a small handful of dips in indigo, resulting in a light and soft shade of blue. The Amber Japan Marble is further washed, resulting in an exceptionally light bue denim shirt with a subtle depth of colour.
Details
- 100% cotton
- 7 Oz. light indigo denim woven by Collect in Japan
- Mother of pearl buttons made by Louropel in Italy
- Stitched with durable poly core cotton thread
- Cut &amp; Sewn by Stork, Portugal</t>
  </si>
  <si>
    <t>48a29b33-a9db-4157-a547-3f6eb6560ab8_df9abc30-1fb1-4269-a8f1-9825a2a91b76.jpg</t>
  </si>
  <si>
    <t>ardenne-paper-yarn-black</t>
  </si>
  <si>
    <t>Ardenne Paper yarn Black</t>
  </si>
  <si>
    <t>Ardenne, our knitted paper yarn dress.</t>
  </si>
  <si>
    <t>Made in China
Ardenne, our paper yarn dress, knitted in a delicate rib. Sleeveless, featuring a funnel neck, a fitted shape and a full length.
Knitted in a paper, or washi yarn that gives the dress a delicate feel with a distinct tactile handfeel that is silky and cool on the skin. 
Details
- 65% paper, 35% recycled polyamide
- Paper yarn spun by Topline
- Cool, light and breathable 
- Knitted by Springair in China</t>
  </si>
  <si>
    <t>armand-black</t>
  </si>
  <si>
    <t>Armand Black</t>
  </si>
  <si>
    <t>Armand, our column draped dress.</t>
  </si>
  <si>
    <t>Made in China
Armand is a column draped dress with a winged armhole. Sideseam splits accentuating ease. 
Made in a beautiful crepe fabric woven by Komon Koubou, the Armand dress exhibits a fluid and elegant drape, while feeling light and breathable on the skin.</t>
  </si>
  <si>
    <t>armand-fitguide</t>
  </si>
  <si>
    <t>f9448e61-ecd1-44a8-a588-adbffaed0efa_3d5b2665-f022-408c-8a56-568f79dae6b4.jpg</t>
  </si>
  <si>
    <t>- Polyester crepe woven by Komon Koubou in Japan
- Stitched with durable poly core thread
- Cut and sewn by Yinmao in China</t>
  </si>
  <si>
    <t>beth-low-japan-dive</t>
  </si>
  <si>
    <t>Beth Low Japan Dive</t>
  </si>
  <si>
    <t>Jeans</t>
  </si>
  <si>
    <t>Beth Low Japan Dive - Blue Jeans</t>
  </si>
  <si>
    <t>beth-japan-black-dusk, beth-japan-gravel</t>
  </si>
  <si>
    <t>Our low waist wide fit, Beth.</t>
  </si>
  <si>
    <t>25.10.15-LIVID_AW25-DAG517902.jpg, 25.10.15-LIVID_AW25-DAG517912.jpg, 25.10.15-LIVID_AW25-DAG517915.jpg, 25.10.15-LIVID_AW25-DAG517916.jpg, 25.10.15-LIVID_AW25-DAG517332.jpg, 25.10.15-LIVID_AW25-DAG517333.jpg, 25.10.15-LIVID_AW25-DAG517336.jpg</t>
  </si>
  <si>
    <t>25.10.15-LIVID_AW25-DAG619422.jpg, 25.10.15-LIVID_AW25-DAG618549.jpg, 25.10.15-LIVID_AW25-DAG618553.jpg, 25.10.15-LIVID_AW25-DAG618557.jpg, 25.10.15-LIVID_AW25-DAG617787.jpg, 25.10.15-LIVID_AW25-DAG617791.jpg, 25.10.15-LIVID_AW25-DAG617796.jpg, 25.10.15-LIVID_AW25-DAG617799.jpg</t>
  </si>
  <si>
    <t>care-jeans-washed</t>
  </si>
  <si>
    <t>Made in Portugal
Introducing Beth. Low at the waist, with an open waistband letting Beth hang effortlessly on the hip. The leg continues straight with a wide silhouette all the way to the leg opening.
In our deep indigo Japan Dive wash. Made in a solid 13 Oz 100% cotton denim from the renowned Japanese denim mill Kuroki. Soft to the touch, the Japan Dive reveals an incredible depth of colour and wonderful texture, due to the long-fibred indigo rope-dyed yarns of the fabric, with subtle whiskering and fading.</t>
  </si>
  <si>
    <t>beth-fitguide-1</t>
  </si>
  <si>
    <t>BETHJAPANDIVE.jpg</t>
  </si>
  <si>
    <t>richmond-2-pack-black, adonis-lis-noir</t>
  </si>
  <si>
    <t>teta-black</t>
  </si>
  <si>
    <t>Male model is 189cm tall and wearing a size 29/34, Female model is 176cm tall and wearing a size 26/34</t>
  </si>
  <si>
    <t>{"scale_min":"1.0","scale_max":"5.0","value":"3.0"}</t>
  </si>
  <si>
    <t>- Washed rope-dyed indigo denim
- 13 Oz wideloom denim from Kuroki, Japan
- 100% Sanforized cotton
- Warp dyed in indigo, natural coloured weft
- 8 Oz ecru canvas pocketing
- Tanned leather patch w/ wax treatment, made in Italy.
- YKK two-prong, silver button fly
- YKK solid copper rivets
- Stitched with durable poly core cotton thread
- Made at Lisama, Portugal</t>
  </si>
  <si>
    <t>unisex-new-arrivals</t>
  </si>
  <si>
    <t>&lt;div style='display:none' class='jdgm-prev-badge' data-average-rating='3.00' data-number-of-reviews='2' data-number-of-questions='0'&gt; &lt;span class='jdgm-prev-badge__stars' data-score='3.00' tabindex='0' aria-label='3.00 stars' role='button'&gt; &lt;span class='jdgm-star jdgm--on'&gt;&lt;/span&gt;&lt;span class='jdgm-star jdgm--on'&gt;&lt;/span&gt;&lt;span class='jdgm-star jdgm--on'&gt;&lt;/span&gt;&lt;span class='jdgm-star jdgm--off'&gt;&lt;/span&gt;&lt;span class='jdgm-star jdgm--off'&gt;&lt;/span&gt; &lt;/span&gt; &lt;span class='jdgm-prev-badge__text'&gt; 2 reviews &lt;/span&gt; &lt;/div&gt;</t>
  </si>
  <si>
    <t>&lt;div class='jdgm-rev-widg' data-updated-at='2026-01-05T19:12:52Z' data-average-rating='3.00' data-number-of-reviews='2' data-number-of-questions='0' data-image-url='https://cdn.shopify.com/s/files/1/1394/5977/files/BETHJAPANDIVE.jpg?v=1759149489'&gt; &lt;style class='jdgm-temp-hiding-style'&gt;.jdgm-rev-widg{ display: none }&lt;/style&gt; &lt;div class='jdgm-rev-widg__header'&gt; &lt;h2 class='jdgm-rev-widg__title'&gt;Customer Reviews&lt;/h2&gt;   &lt;div class='jdgm-rich-snippet' itemprop='aggregateRating' itemscope itemtype='http://schema.org/AggregateRating'&gt; &lt;meta itemprop='reviewCount' content='2'&gt; &lt;meta itemprop='ratingValue' content='3.00'&gt; &lt;/div&gt;   &lt;div class='jdgm-rev-widg__summary'&gt; &lt;div class='jdgm-rev-widg__summary-stars' aria-label='Average rating is 3.00 stars' role='img'&gt; &lt;span class='jdgm-star jdgm--on'&gt;&lt;/span&gt;&lt;span class='jdgm-star jdgm--on'&gt;&lt;/span&gt;&lt;span class='jdgm-star jdgm--on'&gt;&lt;/span&gt;&lt;span class='jdgm-star jdgm--off'&gt;&lt;/span&gt;&lt;span class='jdgm-star jdgm--off'&gt;&lt;/span&gt; &lt;/div&gt; &lt;div class='jdgm-rev-widg__summary-text'&gt;Based on 2 reviews&lt;/div&gt; &lt;/div&gt; &lt;a style='display: none' href='#' class='jdgm-write-rev-link' role='button'&gt;Write a review&lt;/a&gt; &lt;div class='jdgm-histogram jdgm-temp-hidden'&gt;  &lt;div class='jdgm-histogram__row' data-rating='5' data-frequency='1' data-percentage='50'&gt;  &lt;div class='jdgm-histogram__star' role='button' aria-label="50% (1)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50%;'&gt; &lt;/div&gt; &lt;/div&gt; &lt;div class='jdgm-histogram__percentage'&gt;50%&lt;/div&gt; &lt;div class='jdgm-histogram__frequency'&gt;(1)&lt;/div&gt;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data-frequency='1' data-percentage='50'&gt;  &lt;div class='jdgm-histogram__star' role='button' aria-label="50% (1)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50%;'&gt; &lt;/div&gt; &lt;/div&gt; &lt;div class='jdgm-histogram__percentage'&gt;50%&lt;/div&gt; &lt;div class='jdgm-histogram__frequency'&gt;(1)&lt;/div&gt; &lt;/div&gt;  &lt;div class='jdgm-histogram__row jdgm-histogram__clear-filter' data-rating=null tabindex='0'&gt;&lt;/div&gt; &lt;/div&gt;     &lt;div class='jdgm-rev-widg__sort-wrapper'&gt;&lt;/div&gt; &lt;/div&gt; &lt;div class='jdgm-rev-widg__body'&gt;  &lt;div class='jdgm-rev-widg__reviews'&gt;&lt;div class='jdgm-rev jdgm-divider-top' data-verified-buyer='true' data-review-id='e04e4a5a-c11c-41ba-aad8-39152c3618ad' data-review-language='' data-product-title='Beth Low Japan Dive' data-product-url='/products/beth-low-japan-dive' data-thumb-up-count='0' data-thumb-down-count='0'&gt; &lt;div class='jdgm-rev__header'&gt;  &lt;div class='jdgm-rev__icon' &gt; T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data-content='2026-01-05 19:10:49 UTC'&gt;&lt;/span&gt;    &lt;div class='jdgm-rev__br'&gt;&lt;/div&gt; &lt;span class='jdgm-rev__buyer-badge-wrapper'&gt; &lt;span class='jdgm-rev__buyer-badge'&gt;&lt;/span&gt; &lt;/span&gt; &lt;span class='jdgm-rev__author-wrapper'&gt; &lt;span class='jdgm-rev__author'&gt;Toril Wøien Nøss&lt;/span&gt; &lt;span class='jdgm-rev__location' &gt;  &lt;/span&gt;  &lt;/span&gt; &lt;/div&gt; &lt;div class='jdgm-rev__content'&gt;  &lt;div class='jdgm-rev__custom-form'&gt;  &lt;/div&gt; &lt;b class='jdgm-rev__title'&gt;Easy to order&lt;/b&gt; &lt;div class='jdgm-rev__body'&gt;&lt;p&gt;Easy to order, quick delivery👍&lt;/p&gt;&lt;/div&gt; &lt;div class='jdgm-rev__pics'&gt;  &lt;/div&gt; &lt;div class='jdgm-rev__vids'&gt;   &lt;/div&gt; &lt;div class='jdgm-rev__transparency-badge-wrapper'&gt;  &lt;/div&gt; &lt;/div&gt; &lt;div class='jdgm-rev__actions'&gt; &lt;div class='jdgm-rev__social'&gt;&lt;/div&gt; &lt;div class='jdgm-rev__votes'&gt;&lt;/div&gt; &lt;/div&gt; &lt;div class='jdgm-rev__reply'&gt;  &lt;/div&gt; &lt;/div&gt;&lt;div class='jdgm-rev jdgm-divider-top' data-verified-buyer='true' data-review-id='d511ffce-9517-409d-bb50-57d307c1613e' data-review-language='' data-product-title='Beth Low Japan Dive' data-product-url='/products/beth-low-japan-dive' data-thumb-up-count='0' data-thumb-down-count='0'&gt; &lt;div class='jdgm-rev__header'&gt;  &lt;div class='jdgm-rev__icon' &gt; C &lt;/div&gt;  &lt;span class='jdgm-rev__rating' data-score='1' tabindex='0' aria-label='1 star review' role='img'&gt; &lt;span class='jdgm-star jdgm--on'&gt;&lt;/span&gt;&lt;span class='jdgm-star jdgm--off'&gt;&lt;/span&gt;&lt;span class='jdgm-star jdgm--off'&gt;&lt;/span&gt;&lt;span class='jdgm-star jdgm--off'&gt;&lt;/span&gt;&lt;span class='jdgm-star jdgm--off'&gt;&lt;/span&gt; &lt;/span&gt; &lt;span class='jdgm-rev__timestamp jdgm-spinner' data-content='2025-12-13 04:07:25 UTC'&gt;&lt;/span&gt;    &lt;div class='jdgm-rev__br'&gt;&lt;/div&gt; &lt;span class='jdgm-rev__buyer-badge-wrapper'&gt; &lt;span class='jdgm-rev__buyer-badge'&gt;&lt;/span&gt; &lt;/span&gt; &lt;span class='jdgm-rev__author-wrapper'&gt; &lt;span class='jdgm-rev__author'&gt;Collins Mbah&lt;/span&gt; &lt;span class='jdgm-rev__location' &gt;  &lt;/span&gt;  &lt;/span&gt; &lt;/div&gt; &lt;div class='jdgm-rev__content'&gt;  &lt;div class='jdgm-rev__custom-form'&gt;  &lt;/div&gt; &lt;b class='jdgm-rev__title'&gt;I have not received my item yet&lt;/b&gt; &lt;div class='jdgm-rev__body'&gt;&lt;p&gt;I have not received my item yet. Additionally, I have not received response from support&lt;/p&gt;&lt;/div&gt; &lt;div class='jdgm-rev__pics'&gt;  &lt;/div&gt; &lt;div class='jdgm-rev__vids'&gt;   &lt;/div&gt; &lt;div class='jdgm-rev__transparency-badge-wrapper'&gt;  &lt;/div&gt; &lt;/div&gt; &lt;div class='jdgm-rev__actions'&gt; &lt;div class='jdgm-rev__social'&gt;&lt;/div&gt; &lt;div class='jdgm-rev__votes'&gt;&lt;/div&gt; &lt;/div&gt; &lt;div class='jdgm-rev__reply'&gt;  &lt;/div&gt; &lt;/div&gt;&lt;/div&gt; &lt;div class='jdgm-paginate' data-per-page='5' data-url='https://api.judge.me/reviews/reviews_for_widget' style="display: none;"&gt;&lt;/div&gt;  &lt;/div&gt; &lt;div class='jdgm-rev-widg__paginate-spinner-wrapper'&gt; &lt;div class='jdgm-spinner'&gt;&lt;/div&gt; &lt;/div&gt; &lt;/div&gt;</t>
  </si>
  <si>
    <t>boogie-blue-stripe</t>
  </si>
  <si>
    <t>Boogie Blue Stripe</t>
  </si>
  <si>
    <t>Shorts</t>
  </si>
  <si>
    <t>boogie-eclipse-stripe-poplin</t>
  </si>
  <si>
    <t>aiden-blue-stripe</t>
  </si>
  <si>
    <t>Boogie, our summer short with an elasticated waistband, featuring two large patch pockets at the thigh.</t>
  </si>
  <si>
    <t>Made in Portugal
Boogie, our care-free summer short. Made with an elasticated waistband with two large patch pockets at the thigh. Designed in the same fabric as our Aiden Blue Stripe, for a complete set.
Made in a custom structured poplin fabric designed by Livid and woven by Somelos in Portugal. This particular fabric gets a slight seersucker texture from a subtle pucker along the stripes, while its poplin weave base creates a crisp handfeel.
Details
- Textured poplin fabric, 100% cotton
- Woven by Somelos in Portugal exclusively for Livid
- Elastic waistband
- Patch pockets
- Stitched with poly core cotton thread
- Cut &amp; Sewn by Stork, Portugal</t>
  </si>
  <si>
    <t>centi-top-stone</t>
  </si>
  <si>
    <t>Centi Stone</t>
  </si>
  <si>
    <t>Centi, our box-fit linen shirt.</t>
  </si>
  <si>
    <t>care-linen</t>
  </si>
  <si>
    <t>Made in India
A new addition to our linen programme, the Centi is a box-fit linen shirt.
Made in a light pure linen fabric and finshed with mother of pearl buttons. 
Details
- 100% linen
- Linen production, fabric weaving and final cut &amp; sew all done at Dibella in India
- Mother of pearl buttons
- Sewn with durable poly core cotton thread</t>
  </si>
  <si>
    <t>{"scale_min":"1.0","scale_max":"5.0","value":"5.0"}</t>
  </si>
  <si>
    <t>&lt;div style='display:none' class='jdgm-prev-badge' data-average-rating='5.00' data-number-of-reviews='1' data-number-of-questions='0'&gt; &lt;span class='jdgm-prev-badge__stars' data-score='5.00' tabindex='0' aria-label='5.00 stars' role='button'&gt; &lt;span class='jdgm-star jdgm--on'&gt;&lt;/span&gt;&lt;span class='jdgm-star jdgm--on'&gt;&lt;/span&gt;&lt;span class='jdgm-star jdgm--on'&gt;&lt;/span&gt;&lt;span class='jdgm-star jdgm--on'&gt;&lt;/span&gt;&lt;span class='jdgm-star jdgm--on'&gt;&lt;/span&gt; &lt;/span&gt; &lt;span class='jdgm-prev-badge__text'&gt; 1 review &lt;/span&gt; &lt;/div&gt;</t>
  </si>
  <si>
    <t>&lt;div class='jdgm-rev-widg' data-updated-at='2025-08-13T05:18:47Z' data-average-rating='5.00' data-number-of-reviews='1' data-number-of-questions='0' data-image-url='https://cdn.shopify.com/s/files/1/1394/5977/files/25.02.17-LividSS25_01263.jpg?v=1740053796'&gt; &lt;style class='jdgm-temp-hiding-style'&gt;.jdgm-rev-widg{ display: none }&lt;/style&gt; &lt;div class='jdgm-rev-widg__header'&gt; &lt;h2 class='jdgm-rev-widg__title'&gt;Customer Reviews&lt;/h2&gt;   &lt;div class='jdgm-rich-snippet' itemprop='aggregateRating' itemscope itemtype='http://schema.org/AggregateRating'&gt; &lt;meta itemprop='reviewCount' content='1'&gt; &lt;meta itemprop='ratingValue' content='5.00'&gt; &lt;/div&gt;   &lt;div class='jdgm-rev-widg__summary'&gt; &lt;div class='jdgm-rev-widg__summary-stars' aria-label='Average rating is 5.00 stars' role='img'&gt; &lt;span class='jdgm-star jdgm--on'&gt;&lt;/span&gt;&lt;span class='jdgm-star jdgm--on'&gt;&lt;/span&gt;&lt;span class='jdgm-star jdgm--on'&gt;&lt;/span&gt;&lt;span class='jdgm-star jdgm--on'&gt;&lt;/span&gt;&lt;span class='jdgm-star jdgm--on'&gt;&lt;/span&gt; &lt;/div&gt; &lt;div class='jdgm-rev-widg__summary-text'&gt;Based on 1 review&lt;/div&gt; &lt;/div&gt; &lt;a style='display: none' href='#' class='jdgm-write-rev-link' role='button'&gt;Write a review&lt;/a&gt; &lt;div class='jdgm-histogram jdgm-temp-hidden'&gt;  &lt;div class='jdgm-histogram__row' data-rating='5' data-frequency='1' data-percentage='100'&gt;  &lt;div class='jdgm-histogram__star' role='button' aria-label="100% (1)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100%;'&gt; &lt;/div&gt; &lt;/div&gt; &lt;div class='jdgm-histogram__percentage'&gt;100%&lt;/div&gt; &lt;div class='jdgm-histogram__frequency'&gt;(1)&lt;/div&gt;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 class='jdgm-rev jdgm-divider-top' data-verified-buyer='true' data-review-id='fed9a7c8-93a2-4107-84a6-d4f4640f438c' data-review-language='' data-product-title='Centi Stone' data-product-url='/products/centi-top-stone' data-thumb-up-count='0' data-thumb-down-count='0'&gt; &lt;div class='jdgm-rev__header'&gt;  &lt;div class='jdgm-rev__icon' &gt; A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data-content='2025-08-13 05:16:53 UTC'&gt;&lt;/span&gt;    &lt;div class='jdgm-rev__br'&gt;&lt;/div&gt; &lt;span class='jdgm-rev__buyer-badge-wrapper'&gt; &lt;span class='jdgm-rev__buyer-badge'&gt;&lt;/span&gt; &lt;/span&gt; &lt;span class='jdgm-rev__author-wrapper'&gt; &lt;span class='jdgm-rev__author'&gt;AT&lt;/span&gt; &lt;span class='jdgm-rev__location' &gt;  &lt;/span&gt;  &lt;/span&gt; &lt;/div&gt; &lt;div class='jdgm-rev__content'&gt;  &lt;div class='jdgm-rev__custom-form'&gt;  &lt;/div&gt; &lt;b class='jdgm-rev__title'&gt;Love the fit of this top - Just oversize enough and resilient to wrinkling&lt;/b&gt; &lt;div class='jdgm-rev__body'&gt;&lt;p&gt;Love the fit of this top - Just oversize enough and resilient to wrinkling.&lt;/p&gt;&lt;/div&gt; &lt;div class='jdgm-rev__pics'&gt;  &lt;/div&gt; &lt;div class='jdgm-rev__vids'&gt;   &lt;/div&gt; &lt;div class='jdgm-rev__transparency-badge-wrapper'&gt;  &lt;/div&gt; &lt;/div&gt; &lt;div class='jdgm-rev__actions'&gt; &lt;div class='jdgm-rev__social'&gt;&lt;/div&gt; &lt;div class='jdgm-rev__votes'&gt;&lt;/div&gt; &lt;/div&gt; &lt;div class='jdgm-rev__reply'&gt;  &lt;/div&gt; &lt;/div&gt;&lt;/div&gt; &lt;div class='jdgm-paginate' data-per-page='5' data-url='https://api.judge.me/reviews/reviews_for_widget' style="display: none;"&gt;&lt;/div&gt;  &lt;/div&gt; &lt;div class='jdgm-rev-widg__paginate-spinner-wrapper'&gt; &lt;div class='jdgm-spinner'&gt;&lt;/div&gt; &lt;/div&gt; &lt;/div&gt;</t>
  </si>
  <si>
    <t>franca-black</t>
  </si>
  <si>
    <t>Franca Black</t>
  </si>
  <si>
    <t>Franca, our pinched waist dress in a Japanese crepe fabric.</t>
  </si>
  <si>
    <t>Made in China
Franca is a pinched waist dress that eleganly finishes in an full A-line hem. The high-collared neckline offers structure to the draped silhouette.
Made in a beautiful crepe fabric woven by Komon Koubou in Japan, the Franca dress exhibits a fluid and elegant drape, while feeling light and breathable on the skin.
Details
- Polyester crepe woven by Komon Koubou in Japan
- Zipper at back of neck, made by YKK
- Stitched with durable poly core thread
- Cut &amp; Sewn by Yinmao, China</t>
  </si>
  <si>
    <t>hyde-tee-black</t>
  </si>
  <si>
    <t>Hyde Tee Black</t>
  </si>
  <si>
    <t>hyde-tee-white</t>
  </si>
  <si>
    <t>keri-japan-gravel</t>
  </si>
  <si>
    <t>Hyde, our shrunk-fit T-shirt.</t>
  </si>
  <si>
    <t>care-jersey</t>
  </si>
  <si>
    <t>Made in Portugal
Introducing the Hyde Tee. Hyde is a lighter shrunk-fit tee with a short and precise fit and a slightly looser neckline.
Made from a pre-shrunk 100% cotton jersey, knitted in a lighter weight than our regular tees for a fluid drape and easier feel.
The garment features:
- 100% cotton
- 150 gsm pre-shrunk jersey
- Sewn with durable poly-core cotton thread
- Jersey knitted at Etevimol in Portugal
- Made at Texgoios in Portugal</t>
  </si>
  <si>
    <t>14634502-f457-4a1e-b1a6-20d43525c3e6_944c72dd-988f-4f13-9c20-05ef68d72da5.jpg</t>
  </si>
  <si>
    <t>Model is 177cm tall and wearing a size small</t>
  </si>
  <si>
    <t>Hyde Tee White</t>
  </si>
  <si>
    <t>bed81716-d192-49b0-90a9-f7dac4f5a487_e2233848-4587-4ac8-9ee5-4cf3b3ab1ab2.jpg</t>
  </si>
  <si>
    <t>keri-linen-java</t>
  </si>
  <si>
    <t>Keri Linen Java</t>
  </si>
  <si>
    <t>Trouser</t>
  </si>
  <si>
    <t>Keri Linen Java - Brown trousers</t>
  </si>
  <si>
    <t>keri-linen-stone, keri-white-linen, keri-linen-olive, keri-black-linen, keri-green-linen, keri-magnet-linen</t>
  </si>
  <si>
    <t>Our wide straight Keri made in a lightweight, soft and comfortable pure linen.</t>
  </si>
  <si>
    <t>care-linen-trouser</t>
  </si>
  <si>
    <t>Made in Portugal
The Keri Linen is Made in a beautiful 100% Linen quality woven by Klasikine in Lithuania. This particular fabric is light weight, soft and very comfortable to wear. It's pure linen yarns give the Keri Linen a flowy drape and excellent temeprature regulating properties in warm weather.
Keri fits relaxed with a wide silhouette. Starting from the top it is constructed with an open waistband, curved and comfortable through hip and seat with a slightly dropped crotch. Then straight from top of thigh all the way down ending in a slightly flared leg opening.
Keri is perfect for those who like a more relaxed fit with a flared look or for someone with a generous build where normal issues with fitting is a tight waistband. Keri can be worn high in the waist or lower on the hips depending on sizing and preference. To be worn as a high waist trouser, size down compared to your normal jeans size.
The Keri Linen will stretch more around the waist the first few wears than the Keri denim jeans, due to the looser linen weave. When new, the Keri linen should fit a little tighter in the waistband than how you want it to end up.
Details &amp; Features
- 100% Linen fabric from Klasikine in Lithuania
- 5 Oz ecru canvas pocketing
- Vegetable tanned leather patch w/ wax treatment, Made in Italy.
- YKK two-prong silver button and zip fly
- Stitched with poly core cotton thread
- Made at Lisama, Portugal</t>
  </si>
  <si>
    <t>keri-linen-fitguide</t>
  </si>
  <si>
    <t>KERI_LINEN_JAVA_1.jpg</t>
  </si>
  <si>
    <t>&lt;div class='jdgm-rev-widg' data-updated-at='2025-06-24T17:28:24Z' data-average-rating='5.00' data-number-of-reviews='1' data-number-of-questions='0' data-image-url='https://cdn.shopify.com/s/files/1/1394/5977/files/24c2b9de-9f51-472a-badc-3ee01ec73541.jpg?v=1739906949'&gt; &lt;style class='jdgm-temp-hiding-style'&gt;.jdgm-rev-widg{ display: none }&lt;/style&gt; &lt;div class='jdgm-rev-widg__header'&gt; &lt;h2 class='jdgm-rev-widg__title'&gt;Customer Reviews&lt;/h2&gt;   &lt;div class='jdgm-rich-snippet' itemprop='aggregateRating' itemscope itemtype='http://schema.org/AggregateRating'&gt; &lt;meta itemprop='reviewCount' content='1'&gt; &lt;meta itemprop='ratingValue' content='5.00'&gt; &lt;/div&gt;   &lt;div class='jdgm-rev-widg__summary'&gt; &lt;div class='jdgm-rev-widg__summary-stars' aria-label='Average rating is 5.00 stars' role='img'&gt; &lt;span class='jdgm-star jdgm--on'&gt;&lt;/span&gt;&lt;span class='jdgm-star jdgm--on'&gt;&lt;/span&gt;&lt;span class='jdgm-star jdgm--on'&gt;&lt;/span&gt;&lt;span class='jdgm-star jdgm--on'&gt;&lt;/span&gt;&lt;span class='jdgm-star jdgm--on'&gt;&lt;/span&gt; &lt;/div&gt; &lt;div class='jdgm-rev-widg__summary-text'&gt;Based on 1 review&lt;/div&gt; &lt;/div&gt; &lt;a style='display: none' href='#' class='jdgm-write-rev-link' role='button'&gt;Write a review&lt;/a&gt; &lt;div class='jdgm-histogram jdgm-temp-hidden'&gt;  &lt;div class='jdgm-histogram__row' data-rating='5' data-frequency='1' data-percentage='100'&gt;  &lt;div class='jdgm-histogram__star' role='button' aria-label="100% (1)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100%;'&gt; &lt;/div&gt; &lt;/div&gt; &lt;div class='jdgm-histogram__percentage'&gt;100%&lt;/div&gt; &lt;div class='jdgm-histogram__frequency'&gt;(1)&lt;/div&gt;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 class='jdgm-rev jdgm-divider-top' data-verified-buyer='true' data-review-id='55736158-6f1b-4a70-bde7-f30a25c73eb1' data-review-language='' data-product-title='Keri Linen Java' data-product-url='/products/keri-linen-java' data-thumb-up-count='0' data-thumb-down-count='0'&gt; &lt;div class='jdgm-rev__header'&gt;  &lt;div class='jdgm-rev__icon' &gt; B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data-content='2025-06-24 17:27:21 UTC'&gt;&lt;/span&gt;    &lt;div class='jdgm-rev__br'&gt;&lt;/div&gt; &lt;span class='jdgm-rev__buyer-badge-wrapper'&gt; &lt;span class='jdgm-rev__buyer-badge'&gt;&lt;/span&gt; &lt;/span&gt; &lt;span class='jdgm-rev__author-wrapper'&gt; &lt;span class='jdgm-rev__author'&gt;Benjamin-Leopold Meixner&lt;/span&gt; &lt;span class='jdgm-rev__location' &gt;  &lt;/span&gt;  &lt;/span&gt; &lt;/div&gt; &lt;div class='jdgm-rev__content'&gt;  &lt;div class='jdgm-rev__custom-form'&gt;  &lt;/div&gt; &lt;b class='jdgm-rev__title'&gt;Look hood, feel good&lt;/b&gt; &lt;div class='jdgm-rev__body'&gt;&lt;p&gt;Like Excactly the type of pants that I was searching for this summer.&lt;/p&gt;&lt;/div&gt; &lt;div class='jdgm-rev__pics'&gt;  &lt;/div&gt; &lt;div class='jdgm-rev__vids'&gt;   &lt;/div&gt; &lt;div class='jdgm-rev__transparency-badge-wrapper'&gt;  &lt;/div&gt; &lt;/div&gt; &lt;div class='jdgm-rev__actions'&gt; &lt;div class='jdgm-rev__social'&gt;&lt;/div&gt; &lt;div class='jdgm-rev__votes'&gt;&lt;/div&gt; &lt;/div&gt; &lt;div class='jdgm-rev__reply'&gt;  &lt;/div&gt; &lt;/div&gt;&lt;/div&gt; &lt;div class='jdgm-paginate' data-per-page='5' data-url='https://api.judge.me/reviews/reviews_for_widget' style="display: none;"&gt;&lt;/div&gt;  &lt;/div&gt; &lt;div class='jdgm-rev-widg__paginate-spinner-wrapper'&gt; &lt;div class='jdgm-spinner'&gt;&lt;/div&gt; &lt;/div&gt; &lt;/div&gt;</t>
  </si>
  <si>
    <t>keri-linen-stone</t>
  </si>
  <si>
    <t>Keri Linen Stone</t>
  </si>
  <si>
    <t>keri-linen-java, keri-white-linen, keri-linen-olive, keri-black-linen, keri-green-linen, keri-magnet-linen</t>
  </si>
  <si>
    <t>V2-25.03.20-Livid_SS25_ECOM_01469.jpg, V2-25.03.20-Livid_SS25_ECOM_01472.jpg, V2-25.03.20-Livid_SS25_ECOM_01477.jpg, V2-25.03.20-Livid_SS25_ECOM_01481.jpg, V2-25.03.20-Livid_SS25_ECOM_01487.jpg, V2-25.03.20-Livid_SS25_ECOM_01493.jpg, V2-25.03.20-Livid_SS25_ECOM_01497.jpg, V2-25.03.20-Livid_SS25_ECOM_01498.jpg, V2-25.03.20-Livid_SS25_ECOM_01503.jpg</t>
  </si>
  <si>
    <t>V2-25.03.19-Livid_SS25_ECOM-01175_837ab562-573e-444e-ad07-9cb6a2e76910.jpg, V2-25.03.19-Livid_SS25_ECOM-01176_0f5f4ba0-1e95-4484-9952-7ac7d28cc626.jpg, V2-25.03.19-Livid_SS25_ECOM-01185_2bd380be-c238-4547-bb2b-dd83d42fc504.jpg, V2-25.03.19-Livid_SS25_ECOM-01188_a6761640-b1e2-41a9-8798-d3ec0f043eca.jpg, V2-25.03.19-Livid_SS25_ECOM-01191_12516374-13cd-4ee3-83db-e6738af3bd40.jpg, V2-25.03.19-Livid_SS25_ECOM-01194_e5372027-ab80-440e-b8a7-cb3b7037d6fa.jpg, V2-25.03.19-Livid_SS25_ECOM-01195_fd9074f8-0a47-4a89-88a1-a789c69d198a.jpg, V2-25.03.19-Livid_SS25_ECOM-01202_73907e7f-46f0-478f-bb37-4234d5d701a5.jpg, V2-25.03.19-Livid_SS25_ECOM-01205_ed787e43-f69d-4bf0-8e10-eb1ea6a89030.jpg</t>
  </si>
  <si>
    <t>&lt;div class='jdgm-rev-widg' data-updated-at='2025-06-24T07:03:51Z' data-average-rating='5.00' data-number-of-reviews='1' data-number-of-questions='0' data-image-url='https://cdn.shopify.com/s/files/1/1394/5977/files/8a6c315a-dcc4-4a1a-a119-1cedfb670ef9.jpg?v=1739907076'&gt; &lt;style class='jdgm-temp-hiding-style'&gt;.jdgm-rev-widg{ display: none }&lt;/style&gt; &lt;div class='jdgm-rev-widg__header'&gt; &lt;h2 class='jdgm-rev-widg__title'&gt;Customer Reviews&lt;/h2&gt;   &lt;div class='jdgm-rich-snippet' itemprop='aggregateRating' itemscope itemtype='http://schema.org/AggregateRating'&gt; &lt;meta itemprop='reviewCount' content='1'&gt; &lt;meta itemprop='ratingValue' content='5.00'&gt; &lt;/div&gt;   &lt;div class='jdgm-rev-widg__summary'&gt; &lt;div class='jdgm-rev-widg__summary-stars' aria-label='Average rating is 5.00 stars' role='img'&gt; &lt;span class='jdgm-star jdgm--on'&gt;&lt;/span&gt;&lt;span class='jdgm-star jdgm--on'&gt;&lt;/span&gt;&lt;span class='jdgm-star jdgm--on'&gt;&lt;/span&gt;&lt;span class='jdgm-star jdgm--on'&gt;&lt;/span&gt;&lt;span class='jdgm-star jdgm--on'&gt;&lt;/span&gt; &lt;/div&gt; &lt;div class='jdgm-rev-widg__summary-text'&gt;Based on 1 review&lt;/div&gt; &lt;/div&gt; &lt;a style='display: none' href='#' class='jdgm-write-rev-link' role='button'&gt;Write a review&lt;/a&gt; &lt;div class='jdgm-histogram jdgm-temp-hidden'&gt;  &lt;div class='jdgm-histogram__row' data-rating='5' data-frequency='1' data-percentage='100'&gt;  &lt;div class='jdgm-histogram__star' role='button' aria-label="100% (1)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100%;'&gt; &lt;/div&gt; &lt;/div&gt; &lt;div class='jdgm-histogram__percentage'&gt;100%&lt;/div&gt; &lt;div class='jdgm-histogram__frequency'&gt;(1)&lt;/div&gt;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 class='jdgm-rev jdgm-divider-top' data-verified-buyer='true' data-review-id='246ce6d2-2eda-4725-b44a-070ab11a3ec7' data-review-language='' data-product-title='Keri Linen Stone' data-product-url='/products/keri-linen-stone' data-thumb-up-count='0' data-thumb-down-count='0'&gt; &lt;div class='jdgm-rev__header'&gt;  &lt;div class='jdgm-rev__icon' &gt; S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data-content='2025-06-24 07:02:23 UTC'&gt;&lt;/span&gt;    &lt;div class='jdgm-rev__br'&gt;&lt;/div&gt; &lt;span class='jdgm-rev__buyer-badge-wrapper'&gt; &lt;span class='jdgm-rev__buyer-badge'&gt;&lt;/span&gt; &lt;/span&gt; &lt;span class='jdgm-rev__author-wrapper'&gt; &lt;span class='jdgm-rev__author'&gt;Simon Meixner&lt;/span&gt; &lt;span class='jdgm-rev__location' &gt;  &lt;/span&gt;  &lt;/span&gt; &lt;/div&gt; &lt;div class='jdgm-rev__content'&gt;  &lt;div class='jdgm-rev__custom-form'&gt;  &lt;/div&gt; &lt;b class='jdgm-rev__title'&gt;Loved them in crete&lt;/b&gt; &lt;div class='jdgm-rev__body'&gt;&lt;p&gt;I took a size down as instructed but they were still a little bit big not by a lot bit still where a belt was needed. But in summary i loved them and know my brother even got a pair in brown so i would recommend.&lt;/p&gt;&lt;/div&gt; &lt;div class='jdgm-rev__pics'&gt;  &lt;/div&gt; &lt;div class='jdgm-rev__vids'&gt;   &lt;/div&gt; &lt;div class='jdgm-rev__transparency-badge-wrapper'&gt;  &lt;/div&gt; &lt;/div&gt; &lt;div class='jdgm-rev__actions'&gt; &lt;div class='jdgm-rev__social'&gt;&lt;/div&gt; &lt;div class='jdgm-rev__votes'&gt;&lt;/div&gt; &lt;/div&gt; &lt;div class='jdgm-rev__reply'&gt;  &lt;/div&gt; &lt;/div&gt;&lt;/div&gt; &lt;div class='jdgm-paginate' data-per-page='5' data-url='https://api.judge.me/reviews/reviews_for_widget' style="display: none;"&gt;&lt;/div&gt;  &lt;/div&gt; &lt;div class='jdgm-rev-widg__paginate-spinner-wrapper'&gt; &lt;div class='jdgm-spinner'&gt;&lt;/div&gt; &lt;/div&gt; &lt;/div&gt;</t>
  </si>
  <si>
    <t>lora-paper-yarn-black</t>
  </si>
  <si>
    <t>Lora Paper yarn Black</t>
  </si>
  <si>
    <t>Skirt</t>
  </si>
  <si>
    <t>toucan-black</t>
  </si>
  <si>
    <t>Lora, our fine gauge, fully fashioned A-line knitted skirt.</t>
  </si>
  <si>
    <t>Made in China
Lora, our fine gauge, fully fashioned A-line knitted skirt. Knitted in a delicate rib, with an elastic rib waistband. 
Knitted in a paper, or washi yarn that gives the dress a delicate feel with a distinct tactile handfeel that is silky and cool on the skin. 
Details
- 65% paper, 35% recycled polyamide
- Paper yarn spun by Topline
- Cool, light and breathable 
- Knitted by Springair in China</t>
  </si>
  <si>
    <t>moth-paper-yarn-black</t>
  </si>
  <si>
    <t>Moth Paper yarn Black</t>
  </si>
  <si>
    <t>Sweatshirt</t>
  </si>
  <si>
    <t>Moth Paper Yarn Black - Knitted Skirt</t>
  </si>
  <si>
    <t>moth-paper-yarn-white</t>
  </si>
  <si>
    <t>Moth, our funnel neck paper yarn longsleeve.</t>
  </si>
  <si>
    <t>Made in China
Moth, our paper yarn top knitted in a delicate rib. Moth features a funnel neckline and long fitted sleeves. 
Knitted in a paper, or washi yarn that gives the dress a delicate feel with a distinct tactile handfeel that is silky and cool on the skin. 
Details
- 65% paper, 35% recycled polyamide
- Paper yarn spun by Topline
- Cool, light and breathable 
- Knitted by Springair in China</t>
  </si>
  <si>
    <t>Moth Paper yarn White</t>
  </si>
  <si>
    <t>nikka-java-linen</t>
  </si>
  <si>
    <t>Nikka Java Linen</t>
  </si>
  <si>
    <t>Nikka, our square short sleeved linen shirt.</t>
  </si>
  <si>
    <t>Made in Portugal
Nikka, our square short sleeved linen shirt. Designed with bold proportions, half sleeves and a slightly cropped length, finished with large mother of pearl buttons.
Made in a heavy linen fabric woven by Klasikine in Lithuania, the same fabric we use for our Keri Linen Trousers. The weighty fabric gives the Nikka shirt a dramatic drape and wonderful handfeel.
Details:
- 100% Linen 
- Woven by Klasikine in Lithuania
- Real mother of pearl buttons made by Louropel in Italy
- Stitched with durable poly core cotton thread
- Made at Stork in Portugal</t>
  </si>
  <si>
    <t>nikka-fitguide</t>
  </si>
  <si>
    <t>e67e4516-5ac3-4010-aa6c-52e7ae5d6744_753c3744-2d5a-429e-99a6-435718f4781d.jpg</t>
  </si>
  <si>
    <t>tiki-noil-silk-black</t>
  </si>
  <si>
    <t>Tiki Black Noil Silk</t>
  </si>
  <si>
    <t>tiki-white-silk, tiki-japan-natural-noil-silk</t>
  </si>
  <si>
    <t>Our maxi-fit shirt Tiki, in pure noil silk.</t>
  </si>
  <si>
    <t>care-shirts-silk-wool</t>
  </si>
  <si>
    <t>Made in China
Our maxi-fit shirt, Tiki. Made in a beautiful and soft pure noil silk fabric which combines an organic texture with elegant drape and movement.
Noil silk is produced with the shorter silk fibres that are left over from production of other silk fabrics. Spun together these differing fibre lengths give the silk yarn a rougher texture, and a matte finish compared to the sheen from continuous silk fibres. Stronger than cotton, noil silk features a heavy fluid drape and has excellent temperature regulating properties, breathing and keeping you cool and dry in hot weather and warm in cold climates.
Tiki is designed with a generous straight cut, featuring a clean front placket, box pleat at the back yoke, curved hem, and pleats at cuff. Mother of pearl buttons at cuffs and placket.
Details
- 100% noil silk
- Spun and woven by Jianxin Silk in China
- Real mother of pearl buttons made by Louropel in Italy
- Stitched with high quality poly core cotton thread
- Made at Yinmao in China
- Garment dyed</t>
  </si>
  <si>
    <t>tiki-fitguide</t>
  </si>
  <si>
    <t>Toucan Black</t>
  </si>
  <si>
    <t>toucan-white</t>
  </si>
  <si>
    <t>Toucan, our ribbed longsleeve top.</t>
  </si>
  <si>
    <t>Made in Portugal
Our rib longsleeve top Toucan. Made in a light rib jersey knitted in a fine cotton yarn giving a light and cooling feeling against the skin.
Toucan is designed with a bateau neckline and fitted long sleeves. The slightly wide shoulders lend a relaxed but fitted appearance to the body. 
The garment features:
- 100% cotton
- Pre-shrunk rib jersey, knitted at Etevimol, Portugal
- Sewn with durable poly core cotton thread
- Made at Texgoios in Portugal</t>
  </si>
  <si>
    <t>toucan-fitguide</t>
  </si>
  <si>
    <t>dae9d259-a6ac-4bca-bd70-810a413cf788_ec945a99-795c-4eb7-9327-1f2861f8caa1.jpg</t>
  </si>
  <si>
    <t>Toucan White</t>
  </si>
  <si>
    <t xml:space="preserve">Made in Portugal
Our rib longsleeve top Toucan. Made in a light rib jersey knitted in a fine cotton yarn giving a light and cooling feeling against the skin.
Toucan is designed with a bateau neckline and fitted long sleeves. The slightly wide shoulders lend a relaxed but fitted appearance to the body. </t>
  </si>
  <si>
    <t>4026ef9a-58b8-463b-a43f-a88d33dc65b9_1f80fa8f-f1ae-4726-a801-c78475e6e09d.jpg</t>
  </si>
  <si>
    <t>- 100% cotton
- Pre-shrunk rib jersey, knitted at Etevimol, Portugal
- Sewn with durable poly core cotton thread
- Made at Texgoios in Portugal</t>
  </si>
  <si>
    <t>banks-black</t>
  </si>
  <si>
    <t>Banks Black</t>
  </si>
  <si>
    <t>Cap</t>
  </si>
  <si>
    <t>Banks Black - Cap / Hat</t>
  </si>
  <si>
    <t>banks-gravel</t>
  </si>
  <si>
    <t>Our Banks cap in a technical ripstop fabric.</t>
  </si>
  <si>
    <t>LividCaps.jpg</t>
  </si>
  <si>
    <t>Made in China
Banks features 6 panels with stitched eyelets on each panel, a broad brim with structural stitching, and a slightly shallow and snug fit. Finished with an embroidered L logo at the front.</t>
  </si>
  <si>
    <t>- 100% polyester ripstop
- Sewn with durable poly-core cotton thread.
- Made by Labels Things, in China</t>
  </si>
  <si>
    <t>men-new-arrivals</t>
  </si>
  <si>
    <t>&lt;div class='jdgm-rev-widg' data-updated-at='2025-06-10T13:51:48Z' data-average-rating='0.00' data-number-of-reviews='0' data-number-of-questions='0'&gt;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</si>
  <si>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Banks Gravel</t>
  </si>
  <si>
    <t>Banks Gravel - Cap / Hat</t>
  </si>
  <si>
    <t>Our Banks cap in a washed black denim. Showing subtle distressing at the brim, and a beautiful texture.</t>
  </si>
  <si>
    <t>Made in China
Banks features 6 panels with stitched eyelets on each panel, a broad brim with structural stitching, and a slightly shallow and snug fit. Finished with an embroided Livid logo at the front. 
Details
- 100% cotton
- Sewn with durable poly-core cotton thread.
- Made by Labels &amp; Things in China</t>
  </si>
  <si>
    <t>&lt;div class='jdgm-rev-widg' data-updated-at='2025-06-10T13:49:14Z' data-average-rating='0.00' data-number-of-reviews='0' data-number-of-questions='0'&gt;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</si>
  <si>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blythe-coat-black</t>
  </si>
  <si>
    <t>Blythe Coat Black</t>
  </si>
  <si>
    <t>Coat</t>
  </si>
  <si>
    <t>keri-japan-black, toucan-black</t>
  </si>
  <si>
    <t>Blythe, our cashmere blend coat.</t>
  </si>
  <si>
    <t>care-jacket-wool</t>
  </si>
  <si>
    <t>Made in China
Made in a gloriously soft cashmere blend doubleface cloth that's both lightweight and warming. Finished with elegant low profile seams, possible due to the fine splittable doubleface wool weave.
The Blythe Coat is designed with a dramatic full length, featuring dropped shoulders, wide sleeves and a deep neckline with peak lapels. Single-button closure at the waist.</t>
  </si>
  <si>
    <t>blythe-fitguide</t>
  </si>
  <si>
    <t>Model is 176cm tall and wearing a size small</t>
  </si>
  <si>
    <t>- 90% wool, 10% cashmere 
- Doubleface splittable fabric woven by Taian Fanzhen, China
- Manufactured by Forever Intl, China</t>
  </si>
  <si>
    <t>&lt;div class='jdgm-rev-widg' data-updated-at='2025-10-17T15:33:41Z' data-average-rating='0.00' data-number-of-reviews='0' data-number-of-questions='0' data-image-url='https://cdn.shopify.com/s/files/1/1394/5977/files/25.10.07-LIVIDAW25-DAG4_01376.jpg?v=1760714984'&gt;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</si>
  <si>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dunn-grisalle</t>
  </si>
  <si>
    <t>Dunn Grisalle</t>
  </si>
  <si>
    <t>Dunn Grisalle - Cap / Hat</t>
  </si>
  <si>
    <t>dunn-black-2, dunn-moon, dunn-shadow, dunn-japan-optic</t>
  </si>
  <si>
    <t>Our "Repair Service" Dunn cap in a washed cotton twill. Showing subtle distressing at the brim, and a beautiful texture.</t>
  </si>
  <si>
    <t>Made in China
Dunn features 6 panels with stitched eyelets on each panel, a broad brim with structural stitching, and a regular fit. Finished with an embroided Repair Service logo at the front. 
Details
- 100% cotton
- Sewn with durable poly-core cotton thread.
- Made by Labels &amp; Things in China</t>
  </si>
  <si>
    <t>&lt;div class='jdgm-rev-widg' data-updated-at='2025-06-10T13:13:19Z' data-average-rating='0.00' data-number-of-reviews='0' data-number-of-questions='0'&gt;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</si>
  <si>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dunn-moon</t>
  </si>
  <si>
    <t>Dunn Moon</t>
  </si>
  <si>
    <t>Dunn Moon - Cap / Hat</t>
  </si>
  <si>
    <t>dunn-black-2, dunn-grisalle, dunn-shadow, dunn-japan-optic</t>
  </si>
  <si>
    <t>&lt;div class='jdgm-rev-widg' data-updated-at='2025-06-10T13:11:39Z' data-average-rating='0.00' data-number-of-reviews='0' data-number-of-questions='0'&gt;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</si>
  <si>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keri-surf-japan-gravel</t>
  </si>
  <si>
    <t>Keri Surf Japan Gravel</t>
  </si>
  <si>
    <t>Keri Surf Japan Gravel - Denim shorts</t>
  </si>
  <si>
    <t>keri-surf-japan-optic, keri-surf-japan-new-blue, keri-surf-japan-black</t>
  </si>
  <si>
    <t>Keri Surf, our wide denim short.</t>
  </si>
  <si>
    <t>Made in Portugal
Keri Surf, our wide and long denim short. Based on our unisex wide leg Keri, the Keri Surf is cut right around the knee. Creating the ultimate wide jort, that can be worn both high waisted or low on the hip. 
Made from a 13.8 Oz 100% cotton, dark grey wideloom denim woven by the renowned Japanese denim mill, Collect. Washed down to a rough grey, showing off the wonderful texture of the denim.
Details &amp; Features:
- 13.8 Oz wideloom denim from Collect, Japan
- 100% Sanforized cotton
- 8 Oz ecru canvas pocketing
- Tanned leather patch w/ wax treatment, Made in Italy.
- YKK two-prong silver button fly
- YKK solid copper rivets
- Stitched with durable poly core cotton thread
- Made at Lisama, Portugal</t>
  </si>
  <si>
    <t>keri-fitguide</t>
  </si>
  <si>
    <t>KERI_SURF_SURF_GRAVEL.jpg</t>
  </si>
  <si>
    <t>aiden-french-blue-ox, keller-moonstripe, mila-velour-stripe, boston-taupe</t>
  </si>
  <si>
    <t>&lt;div class='jdgm-rev-widg' data-updated-at='2025-05-13T13:46:59Z' data-average-rating='0.00' data-number-of-reviews='0' data-number-of-questions='0'&gt;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</si>
  <si>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keri-surf-japan-optic</t>
  </si>
  <si>
    <t>Keri Surf Japan Optic</t>
  </si>
  <si>
    <t>Keri Surf Japan Optic - Denim shorts</t>
  </si>
  <si>
    <t>keri-surf-japan-gravel, keri-surf-japan-new-blue, keri-surf-japan-black</t>
  </si>
  <si>
    <t>Made in Portugal
Keri Surf, our wide and long denim short. Based on our unisex wide leg Keri, the Keri Surf is cut right around the knee. Creating the ultimate wide jort, that can be worn both high waisted or low on the hip. 
Made from a 13.8 Oz 100% cotton, crisp white wideloom denim woven by the renowned Japanese denim mill, Collect. A sharp white denim with a solid handfeel.
Details &amp; Features:
- 13,8 Oz wideloom denim from Collect, Japan
- 100% Sanforized cotton
- 8 Oz ecru canvas pocketing
- White leather patch w/ wax treatment, Made in Italy.
- YKK two-prongtack, silver button fly
- YKK solid copper washed-burr rivets
- Stitched with durable poly core cotton thread
- Made at Lisama, Portugal</t>
  </si>
  <si>
    <t>90127003-40bf-48c6-afce-7a133000c322.jpg</t>
  </si>
  <si>
    <t>elmer-shadow-rib, elmer-milk-rib, hyde-tee-black, hyde-tee-white</t>
  </si>
  <si>
    <t>&lt;div class='jdgm-rev-widg' data-updated-at='2025-05-13T13:49:49Z' data-average-rating='0.00' data-number-of-reviews='0' data-number-of-questions='0'&gt;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</si>
  <si>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tim-japan-marble</t>
  </si>
  <si>
    <t>Tim Japan Marble</t>
  </si>
  <si>
    <t>Tim Japan Marble - Shirt Denim</t>
  </si>
  <si>
    <t>fealy-5-pocket-japan-optic-white</t>
  </si>
  <si>
    <t>Tim, our oversized denim shirt.</t>
  </si>
  <si>
    <t>Made in Portugal
Introducing Tim, a shorter version of our unisex big shirt. Tim features oversized proportions with very dropped shoulders and a very wide body, but with a classic lengths with a softer curve.
Made in an exceptionally light blue 7 Oz. denim woven by the artisinal denim mill Collect in Japan with a beautiful subtle texture. This particular denim is made with a rope-dyed warp yarn which has been given just a small handful of dips in indigo, resulting in a light and soft shade of blue. The Amber Japan Marble is further washed, resulting in an exceptionally light bue denim shirt with a subtle depth of colour.
Details
- 100% cotton
- 7 Oz. light indigo denim woven by Collect in Japan
- Mother of pearl buttons made by Louropel in Italy
- Stitched with durable poly core cotton thread
- Cut &amp; Sewn by Stork, Portugal
Designed to be unisex, the sleeve lengths have a greater jump between sizes S and M. XS and S fit most women and shorter men, M and L fit most men and taller women.</t>
  </si>
  <si>
    <t>tim-fitguide</t>
  </si>
  <si>
    <t>kai-japan-dawn, pacific-sport-lis-noir, keri-surf-japan-gravel, elmer-milk-rib, nelson-grey-melange, 603-eau-de-parfum-les-prives</t>
  </si>
  <si>
    <t>dunn-black-2</t>
  </si>
  <si>
    <t>Dunn Black</t>
  </si>
  <si>
    <t>dunn-grisalle, dunn-moon, dunn-shadow, dunn-japan-optic</t>
  </si>
  <si>
    <t>&lt;div class='jdgm-rev-widg' data-updated-at='2025-06-10T13:36:46Z' data-average-rating='0.00' data-number-of-reviews='0' data-number-of-questions='0'&gt;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</si>
  <si>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abby-otter-ministripe</t>
  </si>
  <si>
    <t>Abby Otter Ministripe</t>
  </si>
  <si>
    <t>Abby Otter Ministripe - T-Shirt</t>
  </si>
  <si>
    <t>abby-chestnut, abby-green-stripe, abby-white</t>
  </si>
  <si>
    <t>Our Loose fit tee Abby, made in a seasonal stripe.</t>
  </si>
  <si>
    <t>Made in Portugal
Made from a pre-shrunk 6.5 Oz heavy 100% cotton jersey exclusively made for Livid in Portugal. This particular fabric has been used in our heavyweight t-shirts for many years and has become very popular due to its durability and comfortable hand feel. Here made with a knitted stripe design.
Abby features dropped shoulders, wider, longer sleeves and a generous silhouette, ideal for someone who likes a more relaxed look.</t>
  </si>
  <si>
    <t>abby-fitguide</t>
  </si>
  <si>
    <t>Model is 175cm tall and wearing a size small</t>
  </si>
  <si>
    <t>- 100% cotton
- 220 gsm pre-shrunk jersey
- Fine rib collar
- Finished with a raw roll-up hem
- Sewn with durable poly-core cotton thread
- Knitted by Etevimol in Portugal
- Made at Texgoios in Portugal</t>
  </si>
  <si>
    <t>women-new-arrivals</t>
  </si>
  <si>
    <t>&lt;div class='jdgm-rev-widg' data-updated-at='2025-09-16T08:35:29Z' data-average-rating='0.00' data-number-of-reviews='0' data-number-of-questions='0' data-image-url='https://cdn.shopify.com/s/files/1/1394/5977/files/25.09.02-LIVIDAW25ECOMD1_00521.jpg?v=1757936921'&gt;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</si>
  <si>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aiden-faded-mysterioso</t>
  </si>
  <si>
    <t>Aiden Faded Mysterioso</t>
  </si>
  <si>
    <t>Aiden Faded Mysterioso - Shirt</t>
  </si>
  <si>
    <t>aiden-otter-ox, aiden-white-ox</t>
  </si>
  <si>
    <t>beth-japan-gravel, tuck-black-1, adonis-lis-noir</t>
  </si>
  <si>
    <t>Aiden, our unisex big shirt.</t>
  </si>
  <si>
    <t>25.10.07-LIVID_AW25-DAG3_01391.jpg, 25.10.07-LIVID_AW25-DAG3_01401.jpg, 25.10.07-LIVID_AW25-DAG3_01404.jpg, 25.10.07-LIVID_AW25-DAG3_01413.jpg, 25.10.07-LIVID_AW25-DAG3_01419.jpg</t>
  </si>
  <si>
    <t>Made in Portugal
Aiden, our unisex big shirt. A super oversized shirt, featuring very dropped shoulders, very wide body and long curved hems. The wider sleeves gather nicely at the cuffs. Made in a solid heavy oxford cloth, woven by Somelos i Portugal exclusively for Livid.
Designed to be unisex, the sleeve lengths have a greater jump between sizes S and M. XS and S fit most women and shorter men, M and L fit most men and taller women.</t>
  </si>
  <si>
    <t>aiden-fitguide</t>
  </si>
  <si>
    <t>25.10.07-LIVID_AW25-DAG3_01371.jpg</t>
  </si>
  <si>
    <t>Male model is 186cm tall and wearing a size medium</t>
  </si>
  <si>
    <t>- Plain weave oxford fabric, 100% cotton.
- Woven by Somelos in Portugal exclusively for Livid
- Mother of Pearl buttons from Louropel, Portugal
- Hanger loop on back yoke
- Stitched with poly core cotton thread
- Cut &amp; Sewn by Stork, Portugal</t>
  </si>
  <si>
    <t>&lt;div class='jdgm-rev-widg' data-updated-at='2025-09-16T08:53:12Z' data-average-rating='0.00' data-number-of-reviews='0' data-number-of-questions='0' data-image-url='https://cdn.shopify.com/s/files/1/1394/5977/files/25.09.03-LIVIDAW25ECOMD214913.jpg?v=1757595200'&gt;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</si>
  <si>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aiden-otter-ox</t>
  </si>
  <si>
    <t>Aiden Otter Ox</t>
  </si>
  <si>
    <t>Aiden Otter Ox - Shirt</t>
  </si>
  <si>
    <t>aiden-faded-mysterioso, aiden-white-ox</t>
  </si>
  <si>
    <t>25.09.03-LIVIDAW25ECOMD215013.jpg, 25.09.03-LIVIDAW25ECOMD215028.jpg, 25.09.03-LIVIDAW25ECOMD214835.jpg, 25.09.03-LIVIDAW25ECOMD215021.jpg, 25.09.03-LIVIDAW25ECOMD215023.jpg, 25.09.03-LIVIDAW25ECOMD215035.jpg, 25.09.03-LIVIDAW25ECOMD215034.jpg, 25.09.03-LIVIDAW25ECOMD215032.jpg</t>
  </si>
  <si>
    <t>25.09.02-LIVID_AW25_ECOM_D1_00223.jpg, 25.09.02-LIVID_AW25_ECOM_D1_00236.jpg, 25.09.02-LIVID_AW25_ECOM_D1_00239.jpg, 25.09.02-LIVID_AW25_ECOM_D1_00249.jpg, 25.09.02-LIVID_AW25_ECOM_D1_00253.jpg, 25.09.02-LIVID_AW25_ECOM_D1_00267.jpg, 25.09.02-LIVID_AW25_ECOM_D1_00270.jpg, 25.09.02-LIVID_AW25_ECOM_D1_00258.jpg, 25.09.02-LIVID_AW25_ECOM_D1_00265.jpg</t>
  </si>
  <si>
    <t>25.09.03-LIVIDAW25ECOMD215020.jpg</t>
  </si>
  <si>
    <t>Model is 187cm tall and wearing a size large</t>
  </si>
  <si>
    <t>&lt;div class='jdgm-rev-widg' data-updated-at='2025-09-16T08:37:58Z'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</si>
  <si>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ayon-grey</t>
  </si>
  <si>
    <t>Ayon Grey</t>
  </si>
  <si>
    <t>Ayon Grey - Sweatshirt</t>
  </si>
  <si>
    <t>barnes-japan-black, star-master-beige-transparent</t>
  </si>
  <si>
    <t>Ayon, our relaxed staple sweatshirt.</t>
  </si>
  <si>
    <t xml:space="preserve">Made in Portugal 
From our Core line comes our relaxed staple sweatshirt Ayon. Made from a pre-shrunk 100% cotton loopback jersey exclusively knitted for Livid in Portugal. This particular fabric is developed for durability and comfortable hand feel, and made in a versatile weight that works well all year round. Made in a classic crewneck style with a relaxed fit.
</t>
  </si>
  <si>
    <t>ayon-fitguide</t>
  </si>
  <si>
    <t>Model is 188cm tall and wearing a size medium</t>
  </si>
  <si>
    <t>{"scale_min":"1.0","scale_max":"5.0","value":"4.0"}</t>
  </si>
  <si>
    <t>- 100% cotton
- Pre-shrunk loopback jersey
- Livid embroidery at chest
- Fine rib collar 
- Sewn with durrable poly-core cotton thread
- Jesey knitted by Etevimol in Portugal
- Made at Texgoios in Portugal</t>
  </si>
  <si>
    <t>core</t>
  </si>
  <si>
    <t>&lt;div style='display:none' class='jdgm-prev-badge' data-average-rating='4.00' data-number-of-reviews='1' data-number-of-questions='0'&gt; &lt;span class='jdgm-prev-badge__stars' data-score='4.00' tabindex='0' aria-label='4.00 stars' role='button'&gt; &lt;span class='jdgm-star jdgm--on'&gt;&lt;/span&gt;&lt;span class='jdgm-star jdgm--on'&gt;&lt;/span&gt;&lt;span class='jdgm-star jdgm--on'&gt;&lt;/span&gt;&lt;span class='jdgm-star jdgm--on'&gt;&lt;/span&gt;&lt;span class='jdgm-star jdgm--off'&gt;&lt;/span&gt; &lt;/span&gt; &lt;span class='jdgm-prev-badge__text'&gt; 1 review &lt;/span&gt; &lt;/div&gt;</t>
  </si>
  <si>
    <t>&lt;div class='jdgm-rev-widg' data-updated-at='2025-11-11T10:23:45Z' data-average-rating='4.00' data-number-of-reviews='1' data-number-of-questions='0' data-image-url='https://cdn.shopify.com/s/files/1/1394/5977/files/25.08.22-LIVIDAW25ECOM12981.jpg?v=1762588407'&gt; &lt;style class='jdgm-temp-hiding-style'&gt;.jdgm-rev-widg{ display: none }&lt;/style&gt; &lt;div class='jdgm-rev-widg__header'&gt; &lt;h2 class='jdgm-rev-widg__title'&gt;Customer Reviews&lt;/h2&gt;   &lt;div class='jdgm-rich-snippet' itemprop='aggregateRating' itemscope itemtype='http://schema.org/AggregateRating'&gt; &lt;meta itemprop='reviewCount' content='1'&gt; &lt;meta itemprop='ratingValue' content='4.00'&gt; &lt;/div&gt;   &lt;div class='jdgm-rev-widg__summary'&gt; &lt;div class='jdgm-rev-widg__summary-stars' aria-label='Average rating is 4.00 stars' role='img'&gt; &lt;span class='jdgm-star jdgm--on'&gt;&lt;/span&gt;&lt;span class='jdgm-star jdgm--on'&gt;&lt;/span&gt;&lt;span class='jdgm-star jdgm--on'&gt;&lt;/span&gt;&lt;span class='jdgm-star jdgm--on'&gt;&lt;/span&gt;&lt;span class='jdgm-star jdgm--off'&gt;&lt;/span&gt; &lt;/div&gt; &lt;div class='jdgm-rev-widg__summary-text'&gt;Based on 1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data-frequency='1' data-percentage='100'&gt;  &lt;div class='jdgm-histogram__star' role='button' aria-label="100% (1)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100%;'&gt; &lt;/div&gt; &lt;/div&gt; &lt;div class='jdgm-histogram__percentage'&gt;100%&lt;/div&gt; &lt;div class='jdgm-histogram__frequency'&gt;(1)&lt;/div&gt;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 class='jdgm-rev jdgm-divider-top' data-verified-buyer='true' data-review-id='69ba56a8-cb21-4110-a525-acacebdf26e1' data-review-language='' data-product-title='Ayon Grey' data-product-url='/products/ayon-grey' data-thumb-up-count='0' data-thumb-down-count='0'&gt; &lt;div class='jdgm-rev__header'&gt;  &lt;div class='jdgm-rev__icon' &gt; I &lt;/div&gt;  &lt;span class='jdgm-rev__rating' data-score='4' tabindex='0' aria-label='4 star review' role='img'&gt; &lt;span class='jdgm-star jdgm--on'&gt;&lt;/span&gt;&lt;span class='jdgm-star jdgm--on'&gt;&lt;/span&gt;&lt;span class='jdgm-star jdgm--on'&gt;&lt;/span&gt;&lt;span class='jdgm-star jdgm--on'&gt;&lt;/span&gt;&lt;span class='jdgm-star jdgm--off'&gt;&lt;/span&gt; &lt;/span&gt; &lt;span class='jdgm-rev__timestamp jdgm-spinner' data-content='2025-11-11 10:21:42 UTC'&gt;&lt;/span&gt;    &lt;div class='jdgm-rev__br'&gt;&lt;/div&gt; &lt;span class='jdgm-rev__buyer-badge-wrapper'&gt; &lt;span class='jdgm-rev__buyer-badge'&gt;&lt;/span&gt; &lt;/span&gt; &lt;span class='jdgm-rev__author-wrapper'&gt; &lt;span class='jdgm-rev__author'&gt;Iuliana Storvik&lt;/span&gt; &lt;span class='jdgm-rev__location' &gt;  &lt;/span&gt;  &lt;/span&gt; &lt;/div&gt; &lt;div class='jdgm-rev__content'&gt;  &lt;div class='jdgm-rev__custom-form'&gt;  &lt;/div&gt; &lt;b class='jdgm-rev__title'&gt;Perfekt til høst&lt;/b&gt; &lt;div class='jdgm-rev__body'&gt;&lt;p&gt;Passer godt til litt kaldt vær. Ville ikke anbefale det for vinter. 
&lt;br /&gt;Bra passform og behagelig stoff&lt;/p&gt;&lt;/div&gt; &lt;div class='jdgm-rev__pics'&gt;  &lt;/div&gt; &lt;div class='jdgm-rev__vids'&gt;   &lt;/div&gt; &lt;div class='jdgm-rev__transparency-badge-wrapper'&gt;  &lt;/div&gt; &lt;/div&gt; &lt;div class='jdgm-rev__actions'&gt; &lt;div class='jdgm-rev__social'&gt;&lt;/div&gt; &lt;div class='jdgm-rev__votes'&gt;&lt;/div&gt; &lt;/div&gt; &lt;div class='jdgm-rev__reply'&gt;  &lt;/div&gt; &lt;/div&gt;&lt;/div&gt; &lt;div class='jdgm-paginate' data-per-page='5' data-url='https://api.judge.me/reviews/reviews_for_widget' style="display: none;"&gt;&lt;/div&gt;  &lt;/div&gt; &lt;div class='jdgm-rev-widg__paginate-spinner-wrapper'&gt; &lt;div class='jdgm-spinner'&gt;&lt;/div&gt; &lt;/div&gt; &lt;/div&gt;</t>
  </si>
  <si>
    <t>barkle-yellow-check</t>
  </si>
  <si>
    <t>Barkle Yellow Check</t>
  </si>
  <si>
    <t>Barkle Yellow Check - Jacket</t>
  </si>
  <si>
    <t>Barkle, our brushed check midlayer jacket.</t>
  </si>
  <si>
    <t>25.09.03-LIVIDAW25ECOMD214848.jpg, 25.09.03-LIVIDAW25ECOMD215040.jpg, 25.09.03-LIVIDAW25ECOMD215047.jpg, 25.09.03-LIVIDAW25ECOMD215051.jpg, 25.09.03-LIVIDAW25ECOMD215055.jpg, 25.09.03-LIVIDAW25ECOMD215075.jpg, 25.09.03-LIVIDAW25ECOMD215062.jpg, 25.09.03-LIVIDAW25ECOMD215076.jpg, 25.09.03-LIVIDAW25ECOMD215070.jpg, 25.09.03-LIVIDAW25ECOMD215067.jpg</t>
  </si>
  <si>
    <t>25.09.02-LIVIDAW25ECOMD1_00752.jpg, 25.09.02-LIVIDAW25ECOMD1_00756.jpg, 25.09.02-LIVIDAW25ECOMD1_00763.jpg, 25.09.02-LIVIDAW25ECOMD1_00769.jpg, 25.09.02-LIVIDAW25ECOMD1_00773.jpg, 25.09.02-LIVIDAW25ECOMD1_00790.jpg, 25.09.02-LIVIDAW25ECOMD1_00793.jpg, 25.09.02-LIVIDAW25ECOMD1_00780.jpg, 25.09.02-LIVIDAW25ECOMD1_00783.jpg, 25.09.02-LIVIDAW25ECOMD1_00786.jpg</t>
  </si>
  <si>
    <t>copy-of-care-casentino-wool</t>
  </si>
  <si>
    <t xml:space="preserve">Made in Portugal
Our midlayer jacket, Barkle, made in a highly brushed wool mix fabric woven by Takisada Nagoya in Japan. 
Featuring two large pockets, and designed for layering. Wear it as a light jacket in mild weather, and in cold winter conditions it's a perfect mid-layer beneath a coat.
</t>
  </si>
  <si>
    <t>copy-of-bale-fitguide</t>
  </si>
  <si>
    <t>25.09.03-LIVIDAW25ECOMD215040.jpg</t>
  </si>
  <si>
    <t>Male model is 187cm tall and wearing a size medium, Female model is 175cm tall and wearing size small</t>
  </si>
  <si>
    <t>- Brushed wool mix fabric woven from Kowa, Japan
- 30% Wool, 70% polyester
- Two-way zipper from YKK
- Piped seams
- Stitched with durable poly-core cotton thread
- Made by Stork in Portugal</t>
  </si>
  <si>
    <t>&lt;div class='jdgm-rev-widg' data-updated-at='2025-09-16T08:38:23Z'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</si>
  <si>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beth-japan-black-dusk</t>
  </si>
  <si>
    <t>Beth Japan Black Dusk</t>
  </si>
  <si>
    <t>Beth Japan Black Dusk - Jeans</t>
  </si>
  <si>
    <t>beth-japan-dive, beth-japan-gravel</t>
  </si>
  <si>
    <t>Our low waist wide fit Beth, in a slightly washed black.</t>
  </si>
  <si>
    <t>25.10.15-LIVID_AW25-DAG517960.jpg, 25.10.15-LIVID_AW25-DAG517962.jpg, 25.10.15-LIVID_AW25-DAG517974.jpg, 25.10.15-LIVID_AW25-DAG517976.jpg, 25.10.15-LIVID_AW25-DAG517357.jpg, 25.10.15-LIVID_AW25-DAG517364.jpg</t>
  </si>
  <si>
    <t>25.10.15-LIVID_AW25-DAG618585.jpg, 25.10.15-LIVID_AW25-DAG618598.jpg, 25.10.15-LIVID_AW25-DAG618630.jpg, 25.10.15-LIVID_AW25-DAG618631.jpg, 25.10.15-LIVID_AW25-DAG617617.jpg, 25.10.15-LIVID_AW25-DAG617623.jpg</t>
  </si>
  <si>
    <t>Made in Portugal
Beth. Low at the waist, with an open waistband letting Beth hang effortlessly on the hip. The leg continues straight with a wide silhouette all the way to the leg opening.
In our slightly broken-in Japan Black Dusk wash. Made in a solid 13 Oz 100% cotton denim from the renowned Japanese denim mill Kuroki. Soft to the touch, the Japan Black Dusk is deep black with subtle fading at the the seams.</t>
  </si>
  <si>
    <t>BETH_BLACK_DUSK.jpg</t>
  </si>
  <si>
    <t>richmond-grey-melange, adonis-lis-noir</t>
  </si>
  <si>
    <t>naia-black</t>
  </si>
  <si>
    <t>- 13 Oz wideloom denim from Kuroki, Japan
- 100% Sanforized cotton
- Warp &amp; Weft sulphur dyed black
- 8 Oz 5 Oz ecru canvas pocketing
- Black leather patch w/ wax treatment, Made in Italy.
- YKK two-prong silver button and zip fly
- YKK solid copper washed-burr rivets
- Stitched with durable pol-core cotton thread
- Made at Lisama, Portugal</t>
  </si>
  <si>
    <t>&lt;div class='jdgm-rev-widg' data-updated-at='2025-09-16T08:39:12Z'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</si>
  <si>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beth-japan-gravel</t>
  </si>
  <si>
    <t>Beth Japan Gravel</t>
  </si>
  <si>
    <t>Beth Japan Gravel - Jeans</t>
  </si>
  <si>
    <t>beth-japan-dive, beth-japan-black-dusk</t>
  </si>
  <si>
    <t>Our low waist wide fit Beth, in a textured grey wash.</t>
  </si>
  <si>
    <t>25.10.15-LIVID_AW25-DAG518219.jpg, 25.10.15-LIVID_AW25-DAG518221.jpg, 25.10.15-LIVID_AW25-DAG518224.jpg, 25.10.15-LIVID_AW25-DAG518226.jpg, 25.10.15-LIVID_AW25-DAG517499.jpg, 25.10.15-LIVID_AW25-DAG517503.jpg, 25.10.15-LIVID_AW25-DAG517505.jpg</t>
  </si>
  <si>
    <t>25.10.15-LIVID_AW25-DAG618866.jpg, 25.10.15-LIVID_AW25-DAG618880.jpg, 25.10.15-LIVID_AW25-DAG618884.jpg, 25.10.15-LIVID_AW25-DAG618887.jpg, 25.10.15-LIVID_AW25-DAG617705.jpg, 25.10.15-LIVID_AW25-DAG617710.jpg, 25.10.15-LIVID_AW25-DAG617721.jpg, 25.10.15-LIVID_AW25-DAG617724.jpg, 25.10.15-LIVID_AW25-DAG617728.jpg</t>
  </si>
  <si>
    <t>Made in Portugal
Beth. Low at the waist, with an open waistband letting Beth hang effortlessly on the hip. The leg continues straight with a wide silhouette all the way to the leg opening.
In a structured grey wash. Made from a 13.8 Oz 100% cotton, dark grey wideloom denim woven by the artisanal Japanese denim mill, Collect. Washed down to a rough grey, showing off the wonderful texture of the denim.</t>
  </si>
  <si>
    <t>BETHGRAVEL.jpg</t>
  </si>
  <si>
    <t>adonis-lis-noir</t>
  </si>
  <si>
    <t>hyde-tee-black, kora-black</t>
  </si>
  <si>
    <t>- 13.8 Oz wideloom denim from Collect, Japan
- 100% Sanforized cotton
- Dark grey warp &amp; natural weft
- 8 Oz 5 Oz ecru canvas pocketing
- Vegetable tanned leather patch w/ wax treatment, made in Italy.
- YKK two-prong, silver button fly
- YKK solid copper washed-burr rivets
- Stitched with durable poly-core cotton thread
- Made at Lisama, Portugal</t>
  </si>
  <si>
    <t>&lt;div class='jdgm-rev-widg' data-updated-at='2025-09-29T12:37:32Z' data-average-rating='0.00' data-number-of-reviews='0' data-number-of-questions='0' data-image-url='https://cdn.shopify.com/s/files/1/1394/5977/files/BETHGRAVEL.jpg?v=1759149418'&gt;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</si>
  <si>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binou-grey</t>
  </si>
  <si>
    <t>Binou Grey</t>
  </si>
  <si>
    <t>Scarf</t>
  </si>
  <si>
    <t>Binou Grey - Scarf</t>
  </si>
  <si>
    <t>blythe-coat-black, blanche-black, noni-black</t>
  </si>
  <si>
    <t>Binou, a long boa crafted with soft Toscana lambskin.</t>
  </si>
  <si>
    <t>care-binou</t>
  </si>
  <si>
    <t>Made in Portugal
Crafted from long-haired Toscana lambskin, Binou is a long boa with dramatic presence.
Toscana lambskin is famous for its long, silky wool, and fur-like appearance. With even finer wool fibres than Merino, Toscana lambskin is both silky against the skin and comfortably warming.
Cut and sewn by Octa in Portugal, our long-time partner for leather goods, where only four people cut and sew the garments.</t>
  </si>
  <si>
    <t>- 100% Toscana lambskin
- Lambskin tanned in Spain
- Sourced from Toscana sheep living in the mountain ranges in Spain, the lambskin is a by-product of the food industry.
- Made from real lambskin, every garment is subtly unique, with wool fibres varying from soft waves to tighter curls.
- Produced by Octa, Portugal</t>
  </si>
  <si>
    <t>&lt;div class='jdgm-rev-widg' data-updated-at='2025-10-29T10:50:30Z' data-average-rating='0.00' data-number-of-reviews='0' data-number-of-questions='0' data-image-url='https://cdn.shopify.com/s/files/1/1394/5977/files/25.10.07-LIVIDAW25-DAG4_00718.jpg?v=1760713820'&gt;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</si>
  <si>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blanche-black</t>
  </si>
  <si>
    <t>Blanche Black</t>
  </si>
  <si>
    <t>Blanche Black - Skirt</t>
  </si>
  <si>
    <t>noni-black</t>
  </si>
  <si>
    <t>Long evening skirt made in an all-over stitched and smocked floral pattern.</t>
  </si>
  <si>
    <t>Made in China
Blanche. A statement full-length evening skirt made in an all-over stitched and smocked floral pattern.
Designed to be worn together with the Noni top for the full evening look, where both pieces can also be worn as separates.
The fabric of the skirt is stitched throughout to create the bubbly texture at the surface, which also provides a comfortable stretch, making the skirt mold to the hip, and allowing it to be worn higher or lower to acheive the desired length.</t>
  </si>
  <si>
    <t>blanche-fitguide</t>
  </si>
  <si>
    <t>- 100% Polyester
- Fabric woven by Takisada Nagoya, Japan
- Stitched to create a smocked floral pattern overall
- Cut and sewn by Yinmao, China</t>
  </si>
  <si>
    <t>&lt;div class='jdgm-rev-widg' data-updated-at='2025-09-16T08:49:45Z' data-average-rating='0.00' data-number-of-reviews='0' data-number-of-questions='0' data-image-url='https://cdn.shopify.com/s/files/1/1394/5977/files/25.09.02-LIVID_AW25_ECOM_D1_00890.jpg?v=1758000779'&gt;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</si>
  <si>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boden-black-rib</t>
  </si>
  <si>
    <t>Boden Black Rib</t>
  </si>
  <si>
    <t>Longsleeve</t>
  </si>
  <si>
    <t>Boden Black Rib - Longsleeve</t>
  </si>
  <si>
    <t>boden-white-rib</t>
  </si>
  <si>
    <t>keri-japan-sandbox, adonis-lis-noir</t>
  </si>
  <si>
    <t>Our oversized longsleeve Boden, made in a heavy rib jersey.</t>
  </si>
  <si>
    <t>Made in Portugal
Boden. Featuring dropped shoulders, a big oversized silhouette and wide, elongated sleeves.
Made in a heavyweight rib cotton jersey, creating a strong drape.</t>
  </si>
  <si>
    <t>boden-fitguide</t>
  </si>
  <si>
    <t>- 100% cotton
- Pre-shrunk rib jersey, knitted by Etevimol in Portugal
- Sewn with durable poly core cotton thread
- Made at Texgoios in Portugal</t>
  </si>
  <si>
    <t>&lt;div class='jdgm-rev-widg' data-updated-at='2025-09-16T08:53:28Z' data-average-rating='0.00' data-number-of-reviews='0' data-number-of-questions='0' data-image-url='https://cdn.shopify.com/s/files/1/1394/5977/files/25.09.03-LIVIDAW25ECOMD214644.jpg?v=1757595647'&gt;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</si>
  <si>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burley-japan-era</t>
  </si>
  <si>
    <t>Burley Japan Era</t>
  </si>
  <si>
    <t>Burley Japan Era - Jeans</t>
  </si>
  <si>
    <t>burley-5-pocket-japan-shadow</t>
  </si>
  <si>
    <t>keller-white</t>
  </si>
  <si>
    <t>Our maxi-fit jeans, Burley, in a faded indigo wash.</t>
  </si>
  <si>
    <t>Made in Portugal
The Burley, our maxi fit jeans. With a super high rise, the Burley is slim at the waistband, curving out to give ample room at the hip, flowing down to a wide leg opening of 29 cm in a size 31. Constructed with a sewn-in pleat running down each leg.
The Japan Era. Made with a 13 Oz 100% cotton, indigo wideloom denim woven by the renowned Japanese denim mill, Kuroki. Washed down to a faded indigo wash.</t>
  </si>
  <si>
    <t>burley-fitguide</t>
  </si>
  <si>
    <t>Model is 189cm tall and wearing a size 31/34</t>
  </si>
  <si>
    <t>- 13 Oz wideloom denim from Kuroki, Japan
- 100% sanforized cotton
- Warp dyed in indigo, natural coloured weft
- 8 Oz ecru canvas pocketing
- black leather patch w/ wax treatment, Made in Italy.
- YKK two-prong, silver button fly
- YKK solid copper washed-burr rivets
- Stitched with durable poly-core cotton thread
- Made at Lisama, Portugal</t>
  </si>
  <si>
    <t>men-fw25</t>
  </si>
  <si>
    <t>&lt;div class='jdgm-rev-widg' data-updated-at='2025-09-16T08:53:49Z' data-average-rating='0.00' data-number-of-reviews='0' data-number-of-questions='0' data-image-url='https://cdn.shopify.com/s/files/1/1394/5977/files/25.09.03-LIVIDAW25ECOMD214944.jpg?v=1757595736'&gt;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</si>
  <si>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buzz-black</t>
  </si>
  <si>
    <t>Buzz Black</t>
  </si>
  <si>
    <t>Buzz Black - Knitwear</t>
  </si>
  <si>
    <t>fuller-japan-black-dusk, chambord-noir</t>
  </si>
  <si>
    <t>Buzz, our boiled merino zip-sweater.</t>
  </si>
  <si>
    <t>care-knitwear</t>
  </si>
  <si>
    <t xml:space="preserve">Made in China 
Made in pure merino wool, boiled to acheive a perfect balance between warmth, breathabilty and softness. The weight of the boiled merino wool gives the Buzz zip sweater a soft and heavy drape.
Designed with dropped shoulders, a straight boxy fit, with a ribbed hem that hangs straight, with splits at the sides. Finished with a high ribbed collar with a full-length two-way ziper.
</t>
  </si>
  <si>
    <t>buzz-fitguide</t>
  </si>
  <si>
    <t>- 100% merino wool, boiled
- Merino wool yarn spun in Italy by Tollegno 1900
- Warm, breathable and hardwearing
- YKK silver two-way zipper
- Knitted by Goldfine in China</t>
  </si>
  <si>
    <t>&lt;div class='jdgm-rev-widg' data-updated-at='2025-09-12T08:27:38Z' data-average-rating='0.00' data-number-of-reviews='0' data-number-of-questions='0' data-image-url='https://cdn.shopify.com/s/files/1/1394/5977/files/25.08.22-LIVIDAW25ECOM14154.jpg?v=1757585895'&gt;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</si>
  <si>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carmy-mysterioso-fluff</t>
  </si>
  <si>
    <t>Carmy Mysterioso Fluff</t>
  </si>
  <si>
    <t>Carmy Mysterioso Fluff - Knitwear</t>
  </si>
  <si>
    <t>fealy-low-bisect-japan-broken</t>
  </si>
  <si>
    <t>Carmy, our brushed alpaca cardigan.</t>
  </si>
  <si>
    <t>25.10.31-LIVID_AW25-DAG7_20176.jpg, 25.10.31-LIVID_AW25-DAG7_18351.jpg, 25.10.31-LIVID_AW25-DAG7_18353.jpg, 25.10.31-LIVID_AW25-DAG7_18356.jpg, 25.10.31-LIVID_AW25-DAG7_18358.jpg, 25.10.31-LIVID_AW25-DAG7_18363.jpg, 25.10.31-LIVID_AW25-DAG7_18364.jpg, 25.10.31-LIVID_AW25-DAG7_18367.jpg</t>
  </si>
  <si>
    <t>25.09.02-LIVID_AW25_ECOM_D1_00927.jpg, 25.09.02-LIVID_AW25_ECOM_D1_00932.jpg, 25.09.02-LIVID_AW25_ECOM_D1_00936.jpg, 25.09.02-LIVID_AW25_ECOM_D1_00940.jpg, 25.09.02-LIVID_AW25_ECOM_D1_00946.jpg, 25.09.02-LIVID_AW25_ECOM_D1_00954.jpg, 25.09.02-LIVID_AW25_ECOM_D1_00951.jpg, 25.09.02-LIVID_AW25_ECOM_D1_00958.jpg, 25.09.02-LIVID_AW25_ECOM_D1_00962.jpg</t>
  </si>
  <si>
    <t>Made in China 
V-neck cardigan constructed with wide sleeves, dropped shoulders and boxy fit. Finished with mother of pear buttons.
Knitted in a super soft brushed alpaca yarn. The alpaca fibers in this yarn are spun around a nylon core for durability, with a touch of spandex to keep its shape over time.</t>
  </si>
  <si>
    <t>carmy-fitguide</t>
  </si>
  <si>
    <t>25.10.07-LIVID_AW25-DAG3_01182.jpg</t>
  </si>
  <si>
    <t>boden-black-rib, keri-japan-sandbox, adonis-lis-noir</t>
  </si>
  <si>
    <t>Male model is 186cm tall and wearing a size medium, 
 Female model is 174cm tall and wearing a size small</t>
  </si>
  <si>
    <t>- 79% Alpaca, 19% Nylon, 2% Spandex
- Alpaca yarn spun by QCYarn, China
- Brushed 7 guage knit
- Soft, elastic and super resistant.
- Mother of pearl buttons
- Knitted by Springair in China</t>
  </si>
  <si>
    <t>&lt;div class='jdgm-rev-widg' data-updated-at='2025-10-17T15:11:15Z' data-average-rating='0.00' data-number-of-reviews='0' data-number-of-questions='0' data-image-url='https://cdn.shopify.com/s/files/1/1394/5977/files/25.10.07-LIVIDAW25-DAG3_01182.jpg?v=1760713787'&gt;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</si>
  <si>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cavi-bone</t>
  </si>
  <si>
    <t>Cavi Bone</t>
  </si>
  <si>
    <t>Cavi Bone - Longsleeve</t>
  </si>
  <si>
    <t>Cavi, our waffle knit longsleeve top.</t>
  </si>
  <si>
    <t xml:space="preserve">Made in Portugal
Our waffle knit longsleeve Cavi. Designed with a bateau neckline and a relaxed fit with long sleeves. </t>
  </si>
  <si>
    <t>cavi-fitguide</t>
  </si>
  <si>
    <t>- 100% cotton
- Pre-shrunk waffle jersey, knitted at Etevimol, Portugal
- Sewn with durable poly-core cotton thread
- Made at Texgoios in Portugal</t>
  </si>
  <si>
    <t>&lt;div class='jdgm-rev-widg' data-updated-at='2025-09-16T08:41:14Z' data-average-rating='0.00' data-number-of-reviews='0' data-number-of-questions='0' data-image-url='https://cdn.shopify.com/s/files/1/1394/5977/files/25.09.02-LIVIDAW25ECOMD1_00470.jpg?v=1757937634'&gt;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</si>
  <si>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crystal-black</t>
  </si>
  <si>
    <t>Crystal Black</t>
  </si>
  <si>
    <t>Crystal Black - Knitwear</t>
  </si>
  <si>
    <t>Crystal, our brushed alpaca cardigan.</t>
  </si>
  <si>
    <t>Made in China 
Deep V cardigan, knitted in a super soft brushed alpaca yarn. Constructed with wide sleeves, dropped shoulders and relaxed, long body with long sideseam splits. Finished with mother of pear buttons.
The alpaca fibers in this yarn are spun around a nylon core for durability, with a touch of spandex to keep its shape over time.</t>
  </si>
  <si>
    <t>crystal-fitguide</t>
  </si>
  <si>
    <t>&lt;div class='jdgm-rev-widg' data-updated-at='2025-09-16T08:50:12Z' data-average-rating='0.00' data-number-of-reviews='0' data-number-of-questions='0' data-image-url='https://cdn.shopify.com/s/files/1/1394/5977/files/25.09.02-LIVIDAW25ECOMD1_00373.jpg?v=1757937686'&gt;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</si>
  <si>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daphne-black</t>
  </si>
  <si>
    <t>Daphne Black</t>
  </si>
  <si>
    <t>Daphne Black - Knitwear</t>
  </si>
  <si>
    <t>daphne-cream</t>
  </si>
  <si>
    <t>Daphne, our boiled merino wool crewneck sweater.</t>
  </si>
  <si>
    <t>Made in China 
Made in pure merino wool, boiled to acheive a perfect balance between warmth, breathabilty and softness. The weight of the boiled merino wool gives the Daphne sweater a soft and heavy drape.
The Daphne crewneck sweater features exposed seam details, constructed with a bold fit exhibiting the wool knit's drape, with side splits and a longer back.</t>
  </si>
  <si>
    <t>daphne-fitguide</t>
  </si>
  <si>
    <t>- 100% merino wool, boiled
- Merino wool yarn spun in Italy by Tollegno 1900
- Warm, breathable and hardwearing
- Knitted by Goldfine in China</t>
  </si>
  <si>
    <t>&lt;div class='jdgm-rev-widg' data-updated-at='2025-10-17T15:12:02Z' data-average-rating='0.00' data-number-of-reviews='0' data-number-of-questions='0' data-image-url='https://cdn.shopify.com/s/files/1/1394/5977/files/25.10.07-LIVIDAW25-DAG4_00075.jpg?v=1760713743'&gt;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</si>
  <si>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Daphne Cream</t>
  </si>
  <si>
    <t>Daphne Cream - Knitwear</t>
  </si>
  <si>
    <t>&lt;div class='jdgm-rev-widg' data-updated-at='2025-09-16T08:50:26Z' data-average-rating='0.00' data-number-of-reviews='0' data-number-of-questions='0' data-image-url='https://cdn.shopify.com/s/files/1/1394/5977/files/25.09.02-LIVIDAW25ECOMD1_00170.jpg?v=1757937758'&gt;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</si>
  <si>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deka-chestnut-stripe</t>
  </si>
  <si>
    <t>Deka Chestnut Stripe</t>
  </si>
  <si>
    <t>Deka Chestnut Stripe - Knitwear</t>
  </si>
  <si>
    <t>deka-violet-stripe</t>
  </si>
  <si>
    <t>Deka, our funnel neck mohair sweater.</t>
  </si>
  <si>
    <t>Made in China
Deka, funnel necked with a boxy fit, made with dropped shoulders and elongated sleeves. Knitted with a delicate stripe pattern in a lightweight mohair yarn.
Knitted in a light and soft brushed mohair yarn. The mohair fibers in this yarn are spun around a nylon core for durability, with a touch of spandex to keep the garment's shape over time.</t>
  </si>
  <si>
    <t>deka-fitguide</t>
  </si>
  <si>
    <t>- 72% mohair, 26% Nylon, 2% Spandex
- Mohar yarn spun by QC Yarn, China
- Soft, light and resistant
- Knitted by Springair in China</t>
  </si>
  <si>
    <t>&lt;div class='jdgm-rev-widg' data-updated-at='2025-10-27T18:43:16Z' data-average-rating='4.00' data-number-of-reviews='1' data-number-of-questions='0' data-image-url='https://cdn.shopify.com/s/files/1/1394/5977/files/25.09.02-LIVIDAW25ECOMD1_00572.jpg?v=1757937824'&gt; &lt;style class='jdgm-temp-hiding-style'&gt;.jdgm-rev-widg{ display: none }&lt;/style&gt; &lt;div class='jdgm-rev-widg__header'&gt; &lt;h2 class='jdgm-rev-widg__title'&gt;Customer Reviews&lt;/h2&gt;   &lt;div class='jdgm-rich-snippet' itemprop='aggregateRating' itemscope itemtype='http://schema.org/AggregateRating'&gt; &lt;meta itemprop='reviewCount' content='1'&gt; &lt;meta itemprop='ratingValue' content='4.00'&gt; &lt;/div&gt;   &lt;div class='jdgm-rev-widg__summary'&gt; &lt;div class='jdgm-rev-widg__summary-stars' aria-label='Average rating is 4.00 stars' role='img'&gt; &lt;span class='jdgm-star jdgm--on'&gt;&lt;/span&gt;&lt;span class='jdgm-star jdgm--on'&gt;&lt;/span&gt;&lt;span class='jdgm-star jdgm--on'&gt;&lt;/span&gt;&lt;span class='jdgm-star jdgm--on'&gt;&lt;/span&gt;&lt;span class='jdgm-star jdgm--off'&gt;&lt;/span&gt; &lt;/div&gt; &lt;div class='jdgm-rev-widg__summary-text'&gt;Based on 1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data-frequency='1' data-percentage='100'&gt;  &lt;div class='jdgm-histogram__star' role='button' aria-label="100% (1)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100%;'&gt; &lt;/div&gt; &lt;/div&gt; &lt;div class='jdgm-histogram__percentage'&gt;100%&lt;/div&gt; &lt;div class='jdgm-histogram__frequency'&gt;(1)&lt;/div&gt;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 class='jdgm-rev jdgm-divider-top' data-verified-buyer='true' data-review-id='bc01a02e-8e0b-4a99-b24d-e1c0887356cc' data-review-language='' data-product-title='Deka Chestnut Stripe' data-product-url='/products/deka-chestnut-stripe' data-thumb-up-count='0' data-thumb-down-count='0'&gt; &lt;div class='jdgm-rev__header'&gt;  &lt;div class='jdgm-rev__icon' &gt; S &lt;/div&gt;  &lt;span class='jdgm-rev__rating' data-score='4' tabindex='0' aria-label='4 star review' role='img'&gt; &lt;span class='jdgm-star jdgm--on'&gt;&lt;/span&gt;&lt;span class='jdgm-star jdgm--on'&gt;&lt;/span&gt;&lt;span class='jdgm-star jdgm--on'&gt;&lt;/span&gt;&lt;span class='jdgm-star jdgm--on'&gt;&lt;/span&gt;&lt;span class='jdgm-star jdgm--off'&gt;&lt;/span&gt; &lt;/span&gt; &lt;span class='jdgm-rev__timestamp jdgm-spinner' data-content='2025-10-27 18:41:26 UTC'&gt;&lt;/span&gt;    &lt;div class='jdgm-rev__br'&gt;&lt;/div&gt; &lt;span class='jdgm-rev__buyer-badge-wrapper'&gt; &lt;span class='jdgm-rev__buyer-badge'&gt;&lt;/span&gt; &lt;/span&gt; &lt;span class='jdgm-rev__author-wrapper'&gt; &lt;span class='jdgm-rev__author'&gt;Samantha O.&lt;/span&gt; &lt;span class='jdgm-rev__location' &gt;  &lt;/span&gt;  &lt;/span&gt; &lt;/div&gt; &lt;div class='jdgm-rev__content'&gt;  &lt;div class='jdgm-rev__custom-form'&gt;  &lt;/div&gt; &lt;b class='jdgm-rev__title'&gt;A Little Too Big&lt;/b&gt; &lt;div class='jdgm-rev__body'&gt;&lt;p&gt;As someone the size of 00 or XXS, I purchased the smallest size offered. Still, it was overwhelmingly large on me and not in the loose-boyfriend’s-sweater way. Too bad, because the quality is amazing!&lt;/p&gt;&lt;/div&gt; &lt;div class='jdgm-rev__pics'&gt;  &lt;/div&gt; &lt;div class='jdgm-rev__vids'&gt;   &lt;/div&gt; &lt;div class='jdgm-rev__transparency-badge-wrapper'&gt;  &lt;/div&gt; &lt;/div&gt; &lt;div class='jdgm-rev__actions'&gt; &lt;div class='jdgm-rev__social'&gt;&lt;/div&gt; &lt;div class='jdgm-rev__votes'&gt;&lt;/div&gt; &lt;/div&gt; &lt;div class='jdgm-rev__reply'&gt;  &lt;/div&gt; &lt;/div&gt;&lt;/div&gt; &lt;div class='jdgm-paginate' data-per-page='5' data-url='https://api.judge.me/reviews/reviews_for_widget' style="display: none;"&gt;&lt;/div&gt;  &lt;/div&gt; &lt;div class='jdgm-rev-widg__paginate-spinner-wrapper'&gt; &lt;div class='jdgm-spinner'&gt;&lt;/div&gt; &lt;/div&gt; &lt;/div&gt;</t>
  </si>
  <si>
    <t>Deka Violet Stripe</t>
  </si>
  <si>
    <t>Deka Violet Stripe - Knitwear</t>
  </si>
  <si>
    <t>&lt;div class='jdgm-rev-widg' data-updated-at='2025-10-21T15:33:44Z' data-average-rating='5.00' data-number-of-reviews='1' data-number-of-questions='0' data-image-url='https://cdn.shopify.com/s/files/1/1394/5977/files/25.09.02-LIVIDAW25ECOMD1_00281.jpg?v=1757937876'&gt; &lt;style class='jdgm-temp-hiding-style'&gt;.jdgm-rev-widg{ display: none }&lt;/style&gt; &lt;div class='jdgm-rev-widg__header'&gt; &lt;h2 class='jdgm-rev-widg__title'&gt;Customer Reviews&lt;/h2&gt;   &lt;div class='jdgm-rich-snippet' itemprop='aggregateRating' itemscope itemtype='http://schema.org/AggregateRating'&gt; &lt;meta itemprop='reviewCount' content='1'&gt; &lt;meta itemprop='ratingValue' content='5.00'&gt; &lt;/div&gt;   &lt;div class='jdgm-rev-widg__summary'&gt; &lt;div class='jdgm-rev-widg__summary-stars' aria-label='Average rating is 5.00 stars' role='img'&gt; &lt;span class='jdgm-star jdgm--on'&gt;&lt;/span&gt;&lt;span class='jdgm-star jdgm--on'&gt;&lt;/span&gt;&lt;span class='jdgm-star jdgm--on'&gt;&lt;/span&gt;&lt;span class='jdgm-star jdgm--on'&gt;&lt;/span&gt;&lt;span class='jdgm-star jdgm--on'&gt;&lt;/span&gt; &lt;/div&gt; &lt;div class='jdgm-rev-widg__summary-text'&gt;Based on 1 review&lt;/div&gt; &lt;/div&gt; &lt;a style='display: none' href='#' class='jdgm-write-rev-link' role='button'&gt;Write a review&lt;/a&gt; &lt;div class='jdgm-histogram jdgm-temp-hidden'&gt;  &lt;div class='jdgm-histogram__row' data-rating='5' data-frequency='1' data-percentage='100'&gt;  &lt;div class='jdgm-histogram__star' role='button' aria-label="100% (1)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100%;'&gt; &lt;/div&gt; &lt;/div&gt; &lt;div class='jdgm-histogram__percentage'&gt;100%&lt;/div&gt; &lt;div class='jdgm-histogram__frequency'&gt;(1)&lt;/div&gt;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 class='jdgm-rev jdgm-divider-top' data-verified-buyer='true' data-review-id='3354cd3c-ebd5-4fd0-bbe7-182d2b6ecec9' data-review-language='' data-product-title='Deka Violet Stripe' data-product-url='/products/deka-violet-stripe' data-thumb-up-count='0' data-thumb-down-count='0'&gt; &lt;div class='jdgm-rev__header'&gt;  &lt;div class='jdgm-rev__icon' &gt; A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data-content='2025-10-21 15:29:32 UTC'&gt;&lt;/span&gt;    &lt;div class='jdgm-rev__br'&gt;&lt;/div&gt; &lt;span class='jdgm-rev__buyer-badge-wrapper'&gt; &lt;span class='jdgm-rev__buyer-badge'&gt;&lt;/span&gt; &lt;/span&gt; &lt;span class='jdgm-rev__author-wrapper'&gt; &lt;span class='jdgm-rev__author'&gt;Anonymous&lt;/span&gt; &lt;span class='jdgm-rev__location' &gt;  &lt;/span&gt;  &lt;/span&gt; &lt;/div&gt; &lt;div class='jdgm-rev__content'&gt;  &lt;div class='jdgm-rev__custom-form'&gt;  &lt;/div&gt; &lt;b class='jdgm-rev__title'&gt;Fineste genseren jeg har kjøpt på veldig&lt;/b&gt; &lt;div class='jdgm-rev__body'&gt;&lt;p&gt;Fineste genseren jeg har kjøpt på veldig lenge!!&lt;/p&gt;&lt;/div&gt; &lt;div class='jdgm-rev__pics'&gt;  &lt;/div&gt; &lt;div class='jdgm-rev__vids'&gt;   &lt;/div&gt; &lt;div class='jdgm-rev__transparency-badge-wrapper'&gt;  &lt;/div&gt; &lt;/div&gt; &lt;div class='jdgm-rev__actions'&gt; &lt;div class='jdgm-rev__social'&gt;&lt;/div&gt; &lt;div class='jdgm-rev__votes'&gt;&lt;/div&gt; &lt;/div&gt; &lt;div class='jdgm-rev__reply'&gt;  &lt;/div&gt; &lt;/div&gt;&lt;/div&gt; &lt;div class='jdgm-paginate' data-per-page='5' data-url='https://api.judge.me/reviews/reviews_for_widget' style="display: none;"&gt;&lt;/div&gt;  &lt;/div&gt; &lt;div class='jdgm-rev-widg__paginate-spinner-wrapper'&gt; &lt;div class='jdgm-spinner'&gt;&lt;/div&gt; &lt;/div&gt; &lt;/div&gt;</t>
  </si>
  <si>
    <t>dunn-green</t>
  </si>
  <si>
    <t>Dunn Green</t>
  </si>
  <si>
    <t>Dunn Green - Cap</t>
  </si>
  <si>
    <t>dunn-navy-2, dunn-moon, dunn-grisalle, dunn-black-2, dunn-japan-optic</t>
  </si>
  <si>
    <t>nelson-white</t>
  </si>
  <si>
    <t>Our Dunn cap in a cotton twill.</t>
  </si>
  <si>
    <t>Made in China
Dunn features 6 panels with stitched eyelets on each panel, a broad brim with structural stitching, and a regular fit. Finished with an embroidered Livid logo at the front.</t>
  </si>
  <si>
    <t>- 100% cotton twill
- Sewn with durable poly-core cotton thread.
- Made by Labels Things, in China</t>
  </si>
  <si>
    <t>&lt;div class='jdgm-rev-widg' data-updated-at='2025-09-01T10:39:54Z' data-average-rating='0.00' data-number-of-reviews='0' data-number-of-questions='0' data-image-url='https://cdn.shopify.com/s/files/1/1394/5977/files/LIVID-AW25-ECOM_85.jpg?v=1756283252'&gt;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</si>
  <si>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fealy-bisect-japan-void</t>
  </si>
  <si>
    <t>Fealy Bisect Japan Void</t>
  </si>
  <si>
    <t>Fealy Bisect Japan Void - Jeans</t>
  </si>
  <si>
    <t>fealy-low-bisect-japan-broken, fealy-5-pocket-japan-optic-white</t>
  </si>
  <si>
    <t>richmond-grey-melange</t>
  </si>
  <si>
    <t>Fealy, our loose fit, bisected at the lower leg with a split at the outseam.</t>
  </si>
  <si>
    <t>Made in Portugal
The Fealy Bisect. The Fealy sits high and fitted at the waist and hip, similar to our Barnes fit, but slightly wider through the leg. Giving a loose, but not baggy, silhouette, with a dialed in fit. Featuring bisected panels at the bottom front leg, with a subtle split at the bottom outseams.
In our jet black Japan Void. Made in a solid 13 Oz 100% cotton denim from the renowned Japanese denim mill Kuroki. Rope dyed with sulphur black dye for a deep, long lasting black, which will fade beautifully over time. Sewn with contrasting seams.</t>
  </si>
  <si>
    <t>beth-fitguide</t>
  </si>
  <si>
    <t>- 13 Oz wideloom denim from Kuroki, Japan
- 100% Sanforized cotton
- 8 Oz ecru canvas pocketing
- Black leather patch w/ wax treatment, made in Italy.
- YKK two-prong, silver button fly
- YKK solid copper rivets
- Stitched with durable poly core cotton thread
- Made at Lisama, Portugal</t>
  </si>
  <si>
    <t>&lt;div class='jdgm-rev-widg' data-updated-at='2025-10-24T13:27:59Z' data-average-rating='0.00' data-number-of-reviews='0' data-number-of-questions='0' data-image-url='https://cdn.shopify.com/s/files/1/1394/5977/files/25.10.15-LIVIDAW25-DAG518134.jpg?v=1761312478'&gt;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</si>
  <si>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fir-black</t>
  </si>
  <si>
    <t>Fir Black</t>
  </si>
  <si>
    <t>Fir Black - Trouser</t>
  </si>
  <si>
    <t>Fir, our wide pleated trousers.</t>
  </si>
  <si>
    <t>25.09.02-LIVID_AW25_ECOM_D1_01121.jpg</t>
  </si>
  <si>
    <t>care-suit-pants</t>
  </si>
  <si>
    <t xml:space="preserve">Made in Portugal
Fir, our front pleat trouser. Constructed with a low rise, the Fir sits at the hip, flowing down to a wide leg opening.
Made in a light wool blend suiting fabric woven by Albano Morgado in Portugal, which is wrinkle resistant with a sharp press fold. The light tropical wool weight of the fabric combined with the wide pleated fit of the Fir trousers, creates an elegant drape with fluid movement. </t>
  </si>
  <si>
    <t>fir-fitguide</t>
  </si>
  <si>
    <t>25.07.30-LIVIDSS2611951.jpg</t>
  </si>
  <si>
    <t>Model is 175cm tall and wearing a size 36</t>
  </si>
  <si>
    <t>- 55% Polyester, 45% Wool Tropical wool blend
- Woven by Albano Morgado in Portugal
- YKK zip fly with silver metal hook and eye closure
- Stitched with durable poly-core cotton thread
- Made at JMF, Portugal</t>
  </si>
  <si>
    <t>&lt;div class='jdgm-rev-widg' data-updated-at='2025-10-20T13:10:00Z' data-average-rating='0.00' data-number-of-reviews='0' data-number-of-questions='0' data-image-url='https://cdn.shopify.com/s/files/1/1394/5977/files/25.07.30-LIVIDSS2611951.jpg?v=1759149144'&gt;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</si>
  <si>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fuller-japan-black-dusk</t>
  </si>
  <si>
    <t>Fuller Japan Black Dusk</t>
  </si>
  <si>
    <t>Fuller Japan Black Dusk - Jeans</t>
  </si>
  <si>
    <t>fuller-japan-indigo-dusk</t>
  </si>
  <si>
    <t>Our regular straight, Fuller, in a slightly washed black.</t>
  </si>
  <si>
    <t>Made in Portugal
Introducing Fuller. Mid-to-high rise, with a straight fit at the waist, a flat front and a straight leg. A modern take on the classic straight.
In our slightly broken-in Japan Black Dusk wash. Made in a solid 13 Oz 100% cotton denim from the renowned Japanese denim mill Kuroki. Soft to the touch, the Japan Black Dusk is deep black with subtle fading at the the seams.</t>
  </si>
  <si>
    <t>fuller-fitguide</t>
  </si>
  <si>
    <t>- 13 Oz wideloom denim from Kuroki, Japan
- 100% Sanforized cotton
- Warp &amp; Weft sulphur dyed black
- 8 Oz 5 Oz ecru canvas pocketing
- Black leather patch w/ wax treatment, Made in Italy.
- YKK two-prong, silver button and zip fly
- YKK solid copper washed-burr rivets
- Stitched with durable poly core cotton thread
- Made at Lisama, Portugal</t>
  </si>
  <si>
    <t>&lt;div class='jdgm-rev-widg' data-updated-at='2025-11-04T13:09:04Z' data-average-rating='0.00' data-number-of-reviews='0' data-number-of-questions='0' data-image-url='https://cdn.shopify.com/s/files/1/1394/5977/files/25.10.15-LIVIDAW25-DAG518314.jpg?v=1762260853'&gt;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</si>
  <si>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Fuller Japan Indigo Dusk</t>
  </si>
  <si>
    <t>Fuller Japan Indigo Dusk - Jeans</t>
  </si>
  <si>
    <t>Our regular straight, Fuller, in a deep blue wash.</t>
  </si>
  <si>
    <t>Made in Portugal
Introducing Fuller. Mid-to-high rise, with a straight fit at the waist, a flat front and a straight leg. A modern take on the classic straight.
In our deep blue wash, Japan Indigo Dusk. Made with a 13 Oz. 100% cotton, indigo wideloom denim woven by the renowned Japanese denim mill, Kuroki. Washed to a deep shade of indigo with subtle wear patterns for a natural look.</t>
  </si>
  <si>
    <t>- Deep blue washed rope-dyed indigo denim
- 13 Oz wideloom denim from Kuroki, Japan
- 100% Sanforized cotton
- Warp dyed in indigo, natural coloured weft
- 8 Oz ecru canvas pocketing
- Tanned leather patch w/ wax treatment, Made in Italy.
- YKK two-prong silver button fly
- YKK solid copper washed-burr rivets
- Stitched with poly-core cotton thread
- Made at Lisama, Portugal</t>
  </si>
  <si>
    <t>&lt;div class='jdgm-rev-widg' data-updated-at='2025-11-21T20:14:57Z' data-average-rating='4.00' data-number-of-reviews='1' data-number-of-questions='0' data-image-url='https://cdn.shopify.com/s/files/1/1394/5977/files/25.10.31-LIVIDAW25-DAG7_20315_94c1ff61-2dde-4205-85ba-2a41240c171b.jpg?v=1762518693'&gt; &lt;style class='jdgm-temp-hiding-style'&gt;.jdgm-rev-widg{ display: none }&lt;/style&gt; &lt;div class='jdgm-rev-widg__header'&gt; &lt;h2 class='jdgm-rev-widg__title'&gt;Customer Reviews&lt;/h2&gt;   &lt;div class='jdgm-rich-snippet' itemprop='aggregateRating' itemscope itemtype='http://schema.org/AggregateRating'&gt; &lt;meta itemprop='reviewCount' content='1'&gt; &lt;meta itemprop='ratingValue' content='4.00'&gt; &lt;/div&gt;   &lt;div class='jdgm-rev-widg__summary'&gt; &lt;div class='jdgm-rev-widg__summary-stars' aria-label='Average rating is 4.00 stars' role='img'&gt; &lt;span class='jdgm-star jdgm--on'&gt;&lt;/span&gt;&lt;span class='jdgm-star jdgm--on'&gt;&lt;/span&gt;&lt;span class='jdgm-star jdgm--on'&gt;&lt;/span&gt;&lt;span class='jdgm-star jdgm--on'&gt;&lt;/span&gt;&lt;span class='jdgm-star jdgm--off'&gt;&lt;/span&gt; &lt;/div&gt; &lt;div class='jdgm-rev-widg__summary-text'&gt;Based on 1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data-frequency='1' data-percentage='100'&gt;  &lt;div class='jdgm-histogram__star' role='button' aria-label="100% (1)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100%;'&gt; &lt;/div&gt; &lt;/div&gt; &lt;div class='jdgm-histogram__percentage'&gt;100%&lt;/div&gt; &lt;div class='jdgm-histogram__frequency'&gt;(1)&lt;/div&gt;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 class='jdgm-rev jdgm-divider-top' data-verified-buyer='true' data-review-id='518094c5-a52f-4504-ac53-1c695ac0232a' data-review-language='' data-product-title='Fuller Japan Indigo Dusk' data-product-url='/products/fuller-japan-indigo-dusk' data-thumb-up-count='0' data-thumb-down-count='0'&gt; &lt;div class='jdgm-rev__header'&gt;  &lt;div class='jdgm-rev__icon' &gt; A &lt;/div&gt;  &lt;span class='jdgm-rev__rating' data-score='4' tabindex='0' aria-label='4 star review' role='img'&gt; &lt;span class='jdgm-star jdgm--on'&gt;&lt;/span&gt;&lt;span class='jdgm-star jdgm--on'&gt;&lt;/span&gt;&lt;span class='jdgm-star jdgm--on'&gt;&lt;/span&gt;&lt;span class='jdgm-star jdgm--on'&gt;&lt;/span&gt;&lt;span class='jdgm-star jdgm--off'&gt;&lt;/span&gt; &lt;/span&gt; &lt;span class='jdgm-rev__timestamp jdgm-spinner' data-content='2025-11-21 20:10:20 UTC'&gt;&lt;/span&gt;    &lt;div class='jdgm-rev__br'&gt;&lt;/div&gt; &lt;span class='jdgm-rev__buyer-badge-wrapper'&gt; &lt;span class='jdgm-rev__buyer-badge'&gt;&lt;/span&gt; &lt;/span&gt; &lt;span class='jdgm-rev__author-wrapper'&gt; &lt;span class='jdgm-rev__author'&gt;Anonymous&lt;/span&gt; &lt;span class='jdgm-rev__location' &gt;  &lt;/span&gt;  &lt;/span&gt; &lt;/div&gt; &lt;div class='jdgm-rev__content'&gt;  &lt;div class='jdgm-rev__custom-form'&gt;  &lt;/div&gt; &lt;b class='jdgm-rev__title'&gt;Lovely jeans&lt;/b&gt; &lt;div class='jdgm-rev__body'&gt;&lt;p&gt;Lovely jeans. Very comfortable. I’m used to heavier raw selvage denim so this is like putting on sweatpants (in a good way). My only complaint is that the stitching near the fly was loose, and there are some uncomfortably sharp thread ends around the waistline at certain points. But that has softened out. Will buy another pair :)&lt;/p&gt;&lt;/div&gt; &lt;div class='jdgm-rev__pics'&gt;  &lt;/div&gt; &lt;div class='jdgm-rev__vids'&gt;   &lt;/div&gt; &lt;div class='jdgm-rev__transparency-badge-wrapper'&gt;  &lt;/div&gt; &lt;/div&gt; &lt;div class='jdgm-rev__actions'&gt; &lt;div class='jdgm-rev__social'&gt;&lt;/div&gt; &lt;div class='jdgm-rev__votes'&gt;&lt;/div&gt; &lt;/div&gt; &lt;div class='jdgm-rev__reply'&gt;  &lt;/div&gt; &lt;/div&gt;&lt;/div&gt; &lt;div class='jdgm-paginate' data-per-page='5' data-url='https://api.judge.me/reviews/reviews_for_widget' style="display: none;"&gt;&lt;/div&gt;  &lt;/div&gt; &lt;div class='jdgm-rev-widg__paginate-spinner-wrapper'&gt; &lt;div class='jdgm-spinner'&gt;&lt;/div&gt; &lt;/div&gt; &lt;/div&gt;</t>
  </si>
  <si>
    <t>gill-brown-wax</t>
  </si>
  <si>
    <t>Gill Brown Wax</t>
  </si>
  <si>
    <t>Gill Brown Wax - Jacket</t>
  </si>
  <si>
    <t>Gill, our short technical wax coat.</t>
  </si>
  <si>
    <t>25.10.31-LIVID_AW25-DAG7_18289.jpg, 25.10.31-LIVID_AW25-DAG7_18283.jpg, 25.10.31-LIVID_AW25-DAG7_20140.jpg, 25.10.31-LIVID_AW25-DAG7_18297.jpg, 25.10.31-LIVID_AW25-DAG7_18304.jpg, 25.10.31-LIVID_AW25-DAG7_18306.jpg, 25.10.31-LIVID_AW25-DAG7_18309.jpg, 25.10.31-LIVID_AW25-DAG7_18313.jpg, 25.10.31-LIVID_AW25-DAG7_18316.jpg, 25.10.31-LIVID_AW25-DAG7_18318.jpg, 25.10.31-LIVID_AW25-DAG7_18320.jpg</t>
  </si>
  <si>
    <t>25.10.07-LIVID_AW25-DAG4_01319.jpg, 25.10.07-LIVID_AW25-DAG4_01323.jpg, 25.10.07-LIVID_AW25-DAG4_01334.jpg, 25.10.07-LIVID_AW25-DAG4_01337.jpg, 25.10.07-LIVID_AW25-DAG4_01344.jpg, 25.10.07-LIVID_AW25-DAG4_01346.jpg, 25.10.07-LIVID_AW25-DAG4_01351.jpg, 25.10.07-LIVID_AW25-DAG4_01355.jpg, 25.10.07-LIVID_AW25-DAG4_01367.jpg, 25.10.07-LIVID_AW25-DAG4_01370.jpg</t>
  </si>
  <si>
    <t>Made in Portugal
Gill, our short technical wax coat. Made in a technical fabric from Olmetex in Italy, with a soft wax coating, protecting against the elements. Lined with a custom flannel lining.
Designed with slightly wide shoulders and a wide body perfect for layering, a long split in the back can be opened and closed with Riri snap buttons.
The bold silhouette is finished with a wide collar, a detachable throat latch, and two large flap pockets at the waist. Two-way full length zipper closure, covered by a flap secured with Riri snap buttons. 
Gill's boxy fit and light lining, allows for layering and transitions from summer, through autumn, and well into winter.</t>
  </si>
  <si>
    <t>gill-fitguide</t>
  </si>
  <si>
    <t>25.10.07-LIVID_AW25-DAG3_00797.jpg</t>
  </si>
  <si>
    <t>keri-japan-sandbox, kilmer-black-fluff, avoriaz-velours-graphite</t>
  </si>
  <si>
    <t>keri-japan-black, kora-black</t>
  </si>
  <si>
    <t>- Technical wax fabric made by Olmetex in Italy
- Outer: 45% Cotton, 39% Pl, 16% Pa
- Lined with a custom flannel woven by Somelos in Portugal
- Lining: 78% Cotton, 2% Lyocell
- Riri snap button closure at back split, pockets and zipper flaps
- YKK two-way silver zipper
- Cut &amp; Sewn by Dia in Portugal</t>
  </si>
  <si>
    <t>&lt;div class='jdgm-rev-widg' data-updated-at='2025-09-16T08:54:06Z' data-average-rating='0.00' data-number-of-reviews='0' data-number-of-questions='0' data-image-url='https://cdn.shopify.com/s/files/1/1394/5977/files/25.09.03-LIVIDAW25ECOMD214797.jpg?v=1757595838'&gt;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</si>
  <si>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gillish-black-wax</t>
  </si>
  <si>
    <t>Gillish Black Wax</t>
  </si>
  <si>
    <t>Gillish Black Wax - Jacket</t>
  </si>
  <si>
    <t>Gillish, our long technical wax coat.</t>
  </si>
  <si>
    <t>25.10.07-LIVID_AW25-DAG3_00038.jpg, 25.10.07-LIVID_AW25-DAG3_00041.jpg, 25.10.07-LIVID_AW25-DAG3_00044.jpg, 25.10.07-LIVID_AW25-DAG3_00058.jpg, 25.10.07-LIVID_AW25-DAG3_00068.jpg, 25.10.07-LIVID_AW25-DAG3_00071.jpg, 25.10.07-LIVID_AW25-DAG3_00080.jpg, 25.10.07-LIVID_AW25-DAG3_00083.jpg</t>
  </si>
  <si>
    <t>25.10.07-LIVID_AW25-DAG4_00887.jpg, 25.10.07-LIVID_AW25-DAG4_00922.jpg, 25.10.07-LIVID_AW25-DAG4_00925.jpg, 25.10.07-LIVID_AW25-DAG4_00928.jpg, 25.10.07-LIVID_AW25-DAG4_00949.jpg, 25.10.07-LIVID_AW25-DAG4_00934.jpg, 25.10.07-LIVID_AW25-DAG4_00946.jpg, 25.10.07-LIVID_AW25-DAG4_00956.jpg, 25.10.07-LIVID_AW25-DAG4_00943.jpg</t>
  </si>
  <si>
    <t>Made in Portugal
Gillish, our long technical wax coat. Made in a technical fabric from Olmetex in Italy, with a soft wax coating, protecting against the elements. Lined with a custom flannel lining.
Designed with slightly wide shoulders and a wide body perfect for layering, a long split in the back can be opened and closed with Riri snap buttons.
The bold silhouette is finished with a wide collar, a detachable throat latch, and two large flap pockets at the waist. Two-way full length zipper closure, covered by a flap secured with Riri snap buttons. 
Gillish' boxy fit and light lining, allows for layering and transitions from summer, through autumn, and well into winter.</t>
  </si>
  <si>
    <t>gillish-fitguide</t>
  </si>
  <si>
    <t>25.10.07-LIVID_AW25-DAG3_00024.jpg</t>
  </si>
  <si>
    <t>keri-japan-black, riley-charcoal, avoriaz-velours-graphite</t>
  </si>
  <si>
    <t>Male model is 186cm tall and wearing a size medium,
Female model is 174cm tall and wearing a size small</t>
  </si>
  <si>
    <t>&lt;div class='jdgm-rev-widg' data-updated-at='2025-10-17T15:11:15Z'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</si>
  <si>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hayes-suit-jacket-single-breasted-black</t>
  </si>
  <si>
    <t>Hayes Suit Jacket Single Breasted Black</t>
  </si>
  <si>
    <t>Suiting</t>
  </si>
  <si>
    <t>Hayes Suit Jacket Single Breasted Black - Suiting</t>
  </si>
  <si>
    <t>keri-japan-black, tim-celeste-pop</t>
  </si>
  <si>
    <t>Our single breasted Hayes suit jacket, in a heavy drape wool.</t>
  </si>
  <si>
    <t>care-suit-jackets</t>
  </si>
  <si>
    <t>Made in Portugal
Introducing our single breasted Hayes suit jacket. Designed with a full silhouette, but not oversized. The Hayes jacket fits precisely at the shoulders and fitted at the chest, while fuller in the body and ending at a classic length. 
Made to complete the Hayes Suit together with the wide Hayes trousers. Single breasted with mother of pearl buttoning, featuring peak lapels and flapped pockets at the waist.
Made in a smooth worsted wool fabric woven by Alfred Brown in the UK, giving the Hayes suit a heavy drape and a sharp appearance. Woven in a 450 gsm weight perfect for autumn, winter and spring, as well as many nordic summers.</t>
  </si>
  <si>
    <t>hayes-single-jacket-fitguide</t>
  </si>
  <si>
    <t>Model is 186cm tall and wearing a size medium</t>
  </si>
  <si>
    <t>- 450 gsm 100% worsted wool twill
- Woven by Alfred Brown in the UK
- Single breasted with Mother of Pearl buttoning
- Two inner pockets
- Flapped pockets at waist
- Single split at lower back
- Stitched with durable poly-core cotton thread
- Made at JMF, Portugal</t>
  </si>
  <si>
    <t>men-suiting</t>
  </si>
  <si>
    <t>&lt;div class='jdgm-rev-widg' data-updated-at='2025-10-17T15:47:55Z' data-average-rating='0.00' data-number-of-reviews='0' data-number-of-questions='0' data-image-url='https://cdn.shopify.com/s/files/1/1394/5977/files/25.10.07-LIVIDAW25-DAG3_01325.jpg?v=1760715967'&gt;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</si>
  <si>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hayes-suit-pant-black</t>
  </si>
  <si>
    <t>Hayes Suit Pant Black</t>
  </si>
  <si>
    <t>Hayes Suit Pant Black - Suiting</t>
  </si>
  <si>
    <t>hayes-stripe, hayes-suitpant-taupe</t>
  </si>
  <si>
    <t>tuck-black-1, adonis-lis-noir</t>
  </si>
  <si>
    <t>Our high-rise, wide straight suit trouser, Hayes. In a black wool twill.</t>
  </si>
  <si>
    <t>Made in Portugal
Our high-rise, wide suit trouser, Hayes. Constructed with a tailored fit at the waist, and relaxed and wide from the hip down.
Made in a worsted wool twill woven by Alfred Brown in the UK. This 450 gsm fabric has a smooth feel, and gives a heavy drape, perfect for autmn, winter and spring.
Made to complete the Hayes Suit together with the Hayes Suit Single Breasted Jacket, or worn casually on its own.</t>
  </si>
  <si>
    <t>hayes-suitpant-fitguide</t>
  </si>
  <si>
    <t>HAYES_BLACK_d68505cd-c12a-4a01-b100-48745099fa78.jpg</t>
  </si>
  <si>
    <t>- 450 gsm 100% worsted wool twill
- Woven by Alfred Brown in the UK
- YKK zip fly with silver metal hook and eye closure
- Welt back pockets with button closure
- Mother of pearl buttons
- Stitched with durable poly-core cotton thread
- Made at JMF, Portugal</t>
  </si>
  <si>
    <t>&lt;div class='jdgm-rev-widg' data-updated-at='2025-10-28T13:43:24Z' data-average-rating='0.00' data-number-of-reviews='0' data-number-of-questions='0' data-image-url='https://cdn.shopify.com/s/files/1/1394/5977/files/25.10.15-LIVIDAW25-DAG518494.jpg?v=1761312625'&gt;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</si>
  <si>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heist-charcoal</t>
  </si>
  <si>
    <t>Heist Charcoal</t>
  </si>
  <si>
    <t>Heist Charcoal - Knitwear</t>
  </si>
  <si>
    <t>mercer-charcoal-melange</t>
  </si>
  <si>
    <t>Heist, our boiled merino wool skirt.</t>
  </si>
  <si>
    <t>Made in China 
Made in pure merino wool, boiled to acheive a perfect balance between warmth, breathabilty and softness. The weight of the boiled merino wool gives the Heist skirt a soft and heavy drape.
The Heist skirt is made to be full length, constructed with a ribbed elastic waist, allowing it to be worn high or lower depending on preference.
Made to match the Mercer sweater for a full set, which can also be worn as separates.</t>
  </si>
  <si>
    <t>heist-fitguide</t>
  </si>
  <si>
    <t>&lt;div class='jdgm-rev-widg' data-updated-at='2025-09-16T08:51:18Z' data-average-rating='0.00' data-number-of-reviews='0' data-number-of-questions='0' data-image-url='https://cdn.shopify.com/s/files/1/1394/5977/files/25.09.02-LIVIDAW25ECOMD1_00614.jpg?v=1757937930'&gt;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</si>
  <si>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henrey-fade-oak-twill</t>
  </si>
  <si>
    <t>Henrey Fade Oak Twill</t>
  </si>
  <si>
    <t>Henrey Fade Oak Twill - Shirt</t>
  </si>
  <si>
    <t>henrey-graphite-twill, henrey-japan-indigo-dusk-1</t>
  </si>
  <si>
    <t>fuller-japan-indigo-dusk, chambord-noir</t>
  </si>
  <si>
    <t>Henrey, our regular fit overshirt.</t>
  </si>
  <si>
    <t>Made in Portugal
From our Core line comes our Oxford-style heavy twill shirt, Henrey. Made in a heavyweight 8.9 Oz. twill woven by the Portugese denim mill Troficolor, and washed for a softly faded look, making the Henrey twill shirt an ideal rugged overshirt.
Made with a regular fit, featuring a wide button-down collar, softly curved hems, a single chest pocket and a center hanger loop at the back yoke. Finished with mother of pearl buttons.</t>
  </si>
  <si>
    <t>henrey-fitguide</t>
  </si>
  <si>
    <t>- 100% cotton
- 8.9 Oz. twill woven by Troficolor in Portugal
- Mother of pearl buttons
- Extra button at the cuff, allowing a tighter adjustment at the wrist
- Hanger loop at back yoke
- Made at Stork, in Portugal</t>
  </si>
  <si>
    <t>&lt;div class='jdgm-rev-widg' data-updated-at='2025-09-12T08:28:26Z' data-average-rating='0.00' data-number-of-reviews='0' data-number-of-questions='0' data-image-url='https://cdn.shopify.com/s/files/1/1394/5977/files/25.08.22-LIVIDAW25ECOM14145.jpg?v=1757586261'&gt;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</si>
  <si>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henrey-graphite-twill</t>
  </si>
  <si>
    <t>Henrey Graphite Twill</t>
  </si>
  <si>
    <t>Henrey Graphite Twill - Shirt</t>
  </si>
  <si>
    <t>henrey-fade-oak-twill, henrey-japan-indigo-dusk-1</t>
  </si>
  <si>
    <t>&lt;div class='jdgm-rev-widg' data-updated-at='2025-09-12T08:28:21Z' data-average-rating='0.00' data-number-of-reviews='0' data-number-of-questions='0' data-image-url='https://cdn.shopify.com/s/files/1/1394/5977/files/25.08.22-LIVIDAW25ECOM14124.jpg?v=1757586138'&gt;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</si>
  <si>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hilda-black</t>
  </si>
  <si>
    <t>Hilda Black</t>
  </si>
  <si>
    <t>Hilda Black - Scarf</t>
  </si>
  <si>
    <t>hilda-charcoal, hilda-ivory</t>
  </si>
  <si>
    <t>Lerke, our brushed alpaca snood.</t>
  </si>
  <si>
    <t>25.10.07-LIVID_AW25-DAG3_01424.jpg, 25.10.07-LIVID_AW25-DAG3_01441.jpg, 25.10.07-LIVID_AW25-DAG3_01431.jpg, 25.10.07-LIVID_AW25-DAG3_01435.jpg, 25.10.07-LIVID_AW25-DAG3_01438.jpg, 25.10.07-LIVID_AW25-DAG3_01423.jpg</t>
  </si>
  <si>
    <t>25.10.07-LIVID_AW25-DAG4_01268.jpg, 25.10.07-LIVID_AW25-DAG4_01284.jpg, 25.10.07-LIVID_AW25-DAG4_01288.jpg, 25.10.07-LIVID_AW25-DAG4_01293.jpg, 25.10.07-LIVID_AW25-DAG4_01295.jpg, 25.10.07-LIVID_AW25-DAG4_01304.jpg, 25.10.07-LIVID_AW25-DAG4_01307.jpg, 25.10.07-LIVID_AW25-DAG4_01310.jpg</t>
  </si>
  <si>
    <t xml:space="preserve">Made in China
Versatile and warming snood in a brushed alpaca yarn. </t>
  </si>
  <si>
    <t>hilda-fitguide</t>
  </si>
  <si>
    <t>kilmer-black-fluff, keri-japan-gravel, adonis-lis-noir</t>
  </si>
  <si>
    <t>kerin-black, keri-japan-sandbox, kora-black</t>
  </si>
  <si>
    <t>- 79% Alpaca, 19% Nylon, 2% Spandex
- Alpaca yarn spun by QCYarn, China
- Brushed 7 guage knit
- Soft, elastic and super resistant.
- Knitted by Springair in China</t>
  </si>
  <si>
    <t>&lt;div class='jdgm-rev-widg' data-updated-at='2025-10-20T13:17:31Z'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</si>
  <si>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hilda-charcoal</t>
  </si>
  <si>
    <t>Hilda Charcoal</t>
  </si>
  <si>
    <t>Hilda Charcoal - Scarf</t>
  </si>
  <si>
    <t>hilda-black, hilda-ivory</t>
  </si>
  <si>
    <t>25.10.07-LIVID_AW25-DAG3_01498.jpg, 25.10.07-LIVID_AW25-DAG3_01512.jpg, 25.10.07-LIVID_AW25-DAG3_01493.jpg, 25.10.07-LIVID_AW25-DAG3_01505.jpg, 25.10.07-LIVID_AW25-DAG3_01508.jpg, 25.10.07-LIVID_AW25-DAG3_01491.jpg</t>
  </si>
  <si>
    <t>25.10.07-LIVID_AW25-DAG4_00991.jpg, 25.10.07-LIVID_AW25-DAG4_01000.jpg, 25.10.07-LIVID_AW25-DAG4_01011.jpg</t>
  </si>
  <si>
    <t>pennant-ash-wax, keri-japan-sandbox, richmond-2-pack-white, adonis-lis-noir</t>
  </si>
  <si>
    <t>blythe-coat-black, keri-japan-sandbox, kora-black</t>
  </si>
  <si>
    <t>&lt;div class='jdgm-rev-widg' data-updated-at='2025-10-17T15:11:13Z'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</si>
  <si>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hilda-ivory</t>
  </si>
  <si>
    <t>Hilda Ivory</t>
  </si>
  <si>
    <t>Hilda Ivory - Scarf</t>
  </si>
  <si>
    <t>hilda-black, hilda-charcoal</t>
  </si>
  <si>
    <t>25.10.07-LIVID_AW25-DAG3_01539.jpg, 25.10.07-LIVID_AW25-DAG3_01555.jpg, 25.10.07-LIVID_AW25-DAG3_01546.jpg, 25.10.07-LIVID_AW25-DAG3_01552.jpg</t>
  </si>
  <si>
    <t>25.10.07-LIVID_AW25-DAG4_01546.jpg, 25.10.07-LIVID_AW25-DAG4_01549.jpg, 25.10.07-LIVID_AW25-DAG4_01562.jpg, 25.10.07-LIVID_AW25-DAG4_01565.jpg</t>
  </si>
  <si>
    <t>hume-black-mole, richmond-2-pack-black, keri-japan-black, adonis-lis-noir</t>
  </si>
  <si>
    <t>gillish-black-wax, keri-japan-gravel, kora-black</t>
  </si>
  <si>
    <t>ida-shadow-washout</t>
  </si>
  <si>
    <t>Ida Shadow Washout</t>
  </si>
  <si>
    <t>Ida Shadow Washout - T-Shirt</t>
  </si>
  <si>
    <t>ida-violet-washout, ida-white, ida-black, ida-violet</t>
  </si>
  <si>
    <t>Our classic fit t-shirt Ida, in a seasonal colour, Shadow washout.</t>
  </si>
  <si>
    <t>Made in Portugal
The Ida is made from our signature pre-shrunk 100% cotton jersey exclusively made for Livid in Portugal. This is the same jersey fabric we've used on our men's Richmond tee for a decade, especially popular for its durability and comfortable handfeel.
Made in our classic t-shirt fit, Ida, featuring a regular slim fit. A wardrobe essential regardless of seasonal trends.</t>
  </si>
  <si>
    <t>ida-fitguide</t>
  </si>
  <si>
    <t>- 100% pre-shrunk cotton
- 220 gsm pre-shrunk jersey
- Knitted by Etevimol in Portugal
- Tonal Livid embroidery on the chest- Poly core cotton thread
- Made at Texgoios in Portugal.</t>
  </si>
  <si>
    <t>&lt;div class='jdgm-rev-widg' data-updated-at='2025-09-16T08:42:01Z' data-average-rating='0.00' data-number-of-reviews='0' data-number-of-questions='0' data-image-url='https://cdn.shopify.com/s/files/1/1394/5977/files/25.09.02-LIVIDAW25ECOMD1_00079.jpg?v=1757937985'&gt;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</si>
  <si>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ida-violet-washout</t>
  </si>
  <si>
    <t>Ida Violet Washout</t>
  </si>
  <si>
    <t>Ida Violet Washout - T-Shirt</t>
  </si>
  <si>
    <t>ida-shadow-washout, ida-white, ida-black, ida-violet</t>
  </si>
  <si>
    <t>Our classic fit t-shirt Ida, in a seasonal colour, Violet washout.</t>
  </si>
  <si>
    <t>&lt;div class='jdgm-rev-widg' data-updated-at='2025-09-16T08:42:14Z' data-average-rating='0.00' data-number-of-reviews='0' data-number-of-questions='0' data-image-url='https://cdn.shopify.com/s/files/1/1394/5977/files/25.09.02-LIVIDAW25ECOMD1_00710.jpg?v=1757938037'&gt;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</si>
  <si>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initial-celeste-candystripe-ox</t>
  </si>
  <si>
    <t>Initial Celeste Candystripe Ox</t>
  </si>
  <si>
    <t>Initial Celeste Candystripe Ox - Shirt</t>
  </si>
  <si>
    <t>initial-green-candystripe, initial-navy-pinstripe, initial-white-ox, initial-celeste-ox, initial-grey-ox</t>
  </si>
  <si>
    <t>initial-celeste-candystripe-ox, chambord-noir</t>
  </si>
  <si>
    <t>Initial, our staple Oxford shirt in a regular slim fit.</t>
  </si>
  <si>
    <t>Made in Portugal
From our Core line comes our staple Oxford shirt, Initial. Made with a regular slim fit, which fits precisely at the shoulders, while still allowing for some ease around the body. Featuring a button-down collar, softly curved hems, a single chest pocket and a center box pleat for increased mobility at the back yoke. 
Made from a cotton oxford fabric, developed and woven at Somelos in Portugal, with a classic look and comfortable handfeel. Finished with mother of pearl buttons, with an extra button added to the cuffs, allowing an adjustable fit arond the wrists.</t>
  </si>
  <si>
    <t>initial-fitguide</t>
  </si>
  <si>
    <t>- 100% cotton oxford cloth
- Woven by Somelos in Portugal
- Mother of pearl buttons
- Extra button at the cuff, allowing a tighter adjustment at the wrist
- Made at Afonso, in Portugal</t>
  </si>
  <si>
    <t>&lt;div class='jdgm-rev-widg' data-updated-at='2025-09-01T10:39:55Z' data-average-rating='0.00' data-number-of-reviews='0' data-number-of-questions='0' data-image-url='https://cdn.shopify.com/s/files/1/1394/5977/files/LIVID-AW25-ECOM_39.jpg?v=1756283486'&gt;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</si>
  <si>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initial-celeste-ox</t>
  </si>
  <si>
    <t>Initial Celeste Ox</t>
  </si>
  <si>
    <t>Initial Celeste Ox - Shirt</t>
  </si>
  <si>
    <t>initial-white-ox, initial-grey-ox, initial-green-candystripe, initial-navy-pinstripe, initial-celeste-candystripe-ox</t>
  </si>
  <si>
    <t>barnes-japan-rinse, chambord-noir</t>
  </si>
  <si>
    <t>&lt;div class='jdgm-rev-widg' data-updated-at='2025-09-01T10:39:55Z' data-average-rating='0.00' data-number-of-reviews='0' data-number-of-questions='0' data-image-url='https://cdn.shopify.com/s/files/1/1394/5977/files/LIVID-AW25-ECOM_22.jpg?v=1756282546'&gt;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</si>
  <si>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initial-green-candystripe</t>
  </si>
  <si>
    <t>Initial Green Candystripe</t>
  </si>
  <si>
    <t>Initial Green Candystripe - Shirt</t>
  </si>
  <si>
    <t>initial-navy-pinstripe, initial-celeste-candystripe-ox, initial-white-ox, initial-celeste-ox, initial-grey-ox</t>
  </si>
  <si>
    <t>barnes-japan-black, chambord-noir</t>
  </si>
  <si>
    <t>&lt;div class='jdgm-rev-widg' data-updated-at='2025-09-01T10:39:55Z' data-average-rating='0.00' data-number-of-reviews='0' data-number-of-questions='0' data-image-url='https://cdn.shopify.com/s/files/1/1394/5977/files/LIVID-AW25-ECOM_13_3faf42ff-1df3-473f-be33-35423202aac9.jpg?v=1756283574'&gt;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</si>
  <si>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initial-grey-ox</t>
  </si>
  <si>
    <t>Initial Grey Ox</t>
  </si>
  <si>
    <t>Initial Grey Ox - Shirt</t>
  </si>
  <si>
    <t>initial-white-ox, initial-celeste-ox, initial-green-candystripe, initial-navy-pinstripe, initial-celeste-candystripe-ox</t>
  </si>
  <si>
    <t>&lt;div class='jdgm-rev-widg' data-updated-at='2025-09-01T10:39:56Z' data-average-rating='0.00' data-number-of-reviews='0' data-number-of-questions='0' data-image-url='https://cdn.shopify.com/s/files/1/1394/5977/files/LIVID-AW25-ECOM_30.jpg?v=1756283751'&gt;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</si>
  <si>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initial-navy-pinstripe</t>
  </si>
  <si>
    <t>Initial Navy Pinstripe</t>
  </si>
  <si>
    <t>Initial Navy Pinstripe - Shirt</t>
  </si>
  <si>
    <t>initial-green-candystripe, initial-celeste-candystripe-ox, initial-white-ox, initial-celeste-ox, initial-grey-ox</t>
  </si>
  <si>
    <t>&lt;div class='jdgm-rev-widg' data-updated-at='2025-09-01T10:39:56Z' data-average-rating='0.00' data-number-of-reviews='0' data-number-of-questions='0' data-image-url='https://cdn.shopify.com/s/files/1/1394/5977/files/LIVID-AW25-ECOM_91.jpg?v=1756284899'&gt;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</si>
  <si>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initial-white-ox</t>
  </si>
  <si>
    <t>Initial White Ox</t>
  </si>
  <si>
    <t>Initial White Ox - Shirt</t>
  </si>
  <si>
    <t>initial-celeste-ox, initial-grey-ox, initial-green-candystripe, initial-navy-pinstripe, initial-celeste-candystripe-ox</t>
  </si>
  <si>
    <t>&lt;div class='jdgm-rev-widg' data-updated-at='2025-09-01T10:39:57Z' data-average-rating='0.00' data-number-of-reviews='0' data-number-of-questions='0' data-image-url='https://cdn.shopify.com/s/files/1/1394/5977/files/LIVID-AW25-ECOM_63.jpg?v=1756283674'&gt;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</si>
  <si>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kavon-mysterioso-violet-stripe</t>
  </si>
  <si>
    <t>Kavon Mysterioso Violet Stripe</t>
  </si>
  <si>
    <t>Kavon Mysterioso Violet Stripe - T-Shirt</t>
  </si>
  <si>
    <t>kavon-shadow</t>
  </si>
  <si>
    <t>Our box-fit longsleeve, Kavon.</t>
  </si>
  <si>
    <t>Made in Portugal
Kavon features a wider, shorter body for a loose box-fit, but sits more dialed in at the shoulders and upper chest compared to an ovesized fit. Made with long straight sleeves.
Made in our signature 6.5 Oz heavyweight 100% cotton jersey exclusively made for Livid in Portugal, with a knitted stripe design.</t>
  </si>
  <si>
    <t>kavon-fitguide</t>
  </si>
  <si>
    <t>- 100% cotton
- 220 gsm pre-shrunk jersey, knitted by Etevimol in Portugal
- Livid embroidery at chest
- Fine rib collar
- Sewn with durable poly core cotton thread
- Made at Texgoios in Portugal</t>
  </si>
  <si>
    <t>&lt;div class='jdgm-rev-widg' data-updated-at='2025-09-16T08:54:26Z' data-average-rating='0.00' data-number-of-reviews='0' data-number-of-questions='0' data-image-url='https://cdn.shopify.com/s/files/1/1394/5977/files/25.09.03-LIVIDAW25ECOMD214722.jpg?v=1757595875'&gt;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</si>
  <si>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Kavon Shadow</t>
  </si>
  <si>
    <t>Kavon Shadow - T-Shirt</t>
  </si>
  <si>
    <t>Made in Portugal
Kavon features a wider, shorter body for a loose box-fit, but sits more dialed in at the shoulders and upper chest compared to an ovesized fit. Made with long straight sleeves.
Made in our signature 6.5 Oz heavyweight 100% cotton jersey exclusively made for Livid in Portugal.</t>
  </si>
  <si>
    <t>&lt;div class='jdgm-rev-widg' data-updated-at='2025-09-16T08:54:43Z' data-average-rating='0.00' data-number-of-reviews='0' data-number-of-questions='0' data-image-url='https://cdn.shopify.com/s/files/1/1394/5977/files/25.09.03-LIVIDAW25ECOMD214672.jpg?v=1757596032'&gt;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</si>
  <si>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keen-black-fine-silk</t>
  </si>
  <si>
    <t>Keen Black Fine Silk</t>
  </si>
  <si>
    <t>Keen Black Fine Silk - Shirt</t>
  </si>
  <si>
    <t>keen-grisalle-fine-silk, keen-oak-fine-silk</t>
  </si>
  <si>
    <t>beth-japan-gravel, adonis-lis-noir</t>
  </si>
  <si>
    <t>Our box-fit shirt Keen, in fine silk.</t>
  </si>
  <si>
    <t>Made in China
Our box-fit shirt, Keen. Made in a fine silk fabric exhibiting flowy drape and movement.
Garment dyed, giving the silk fabric a deep black, but softer colour than a yarn dye. Designed with a generous straight cut and intended for normal layering. Featuring a box pleat at the back yoke, and a french placket with natural Mother of Pearl buttons.</t>
  </si>
  <si>
    <t>keen-fitguide</t>
  </si>
  <si>
    <t>- 100% fine silk
- Woven by Jianxin Silk in China
- Real mother of pearl buttons
- Garment dyed
- Stitched with durable poly-core cotton thread
- Made at Yinmao in China</t>
  </si>
  <si>
    <t>&lt;div class='jdgm-rev-widg' data-updated-at='2025-10-17T15:11:13Z' data-average-rating='0.00' data-number-of-reviews='0' data-number-of-questions='0' data-image-url='https://cdn.shopify.com/s/files/1/1394/5977/files/25.10.07-LIVIDAW25-DAG3_00682.jpg?v=1760713358'&gt;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</si>
  <si>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keen-grisalle-fine-silk</t>
  </si>
  <si>
    <t>Keen Grisalle Fine Silk</t>
  </si>
  <si>
    <t>Keen Grisalle Fine Silk - Shirt</t>
  </si>
  <si>
    <t>keen-oak-fine-silk, keen-black-fine-silk</t>
  </si>
  <si>
    <t>keri-japan-black, adonis-lis-noir</t>
  </si>
  <si>
    <t>Made in China
Our box-fit shirt, Keen. Made in a fine silk fabric exhibiting flowy drape and movement.
Garment dyed and washed down, giving the silk fabric a softer colour with a subtle variation and depth. Designed with a generous straight cut and intended for normal layering. Featuring a box pleat at the back yoke, and a french placket with natural Mother of Pearl buttons.</t>
  </si>
  <si>
    <t>&lt;div class='jdgm-rev-widg' data-updated-at='2025-10-17T15:11:13Z' data-average-rating='0.00' data-number-of-reviews='0' data-number-of-questions='0' data-image-url='https://cdn.shopify.com/s/files/1/1394/5977/files/25.10.07-LIVIDAW25-DAG3_00220.jpg?v=1760713336'&gt;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</si>
  <si>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keen-oak-fine-silk</t>
  </si>
  <si>
    <t>Keen Oak Fine Silk</t>
  </si>
  <si>
    <t>Keen Oak Fine Silk - Shirt</t>
  </si>
  <si>
    <t>keen-grisalle-fine-silk, keen-black-fine-silk</t>
  </si>
  <si>
    <t>beth-japan-gravel, adonis-lis-noir, lerke-ivory</t>
  </si>
  <si>
    <t>&lt;div class='jdgm-rev-widg' data-updated-at='2025-10-17T15:11:11Z' data-average-rating='0.00' data-number-of-reviews='0' data-number-of-questions='0' data-image-url='https://cdn.shopify.com/s/files/1/1394/5977/files/25.10.07-LIVIDAW25-DAG3_00372.jpg?v=1760713318'&gt;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</si>
  <si>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Keller White</t>
  </si>
  <si>
    <t>Keller White - T-Shirt</t>
  </si>
  <si>
    <t>Our box-fit tee Keller.</t>
  </si>
  <si>
    <t>Made in Portugal
Keller features a wider, shorter body for a loose box-fit, but sits more dialed in at the shoulders and upper chest compared to an ovesized tee.
Made in our signature 6.5 Oz heavyweight 100% cotton jersey exclusively made for Livid in Portugal.</t>
  </si>
  <si>
    <t>keller-fitguide-1</t>
  </si>
  <si>
    <t>Model is 187cm tall and wearing a size medium</t>
  </si>
  <si>
    <t>&lt;div class='jdgm-rev-widg' data-updated-at='2025-09-16T08:56:33Z' data-average-rating='0.00' data-number-of-reviews='0' data-number-of-questions='0' data-image-url='https://cdn.shopify.com/s/files/1/1394/5977/files/25.09.03-LIVIDAW25ECOMD214647.jpg?v=1757596184'&gt;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</si>
  <si>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keri-japan-sandbox</t>
  </si>
  <si>
    <t>Keri Japan Sandbox</t>
  </si>
  <si>
    <t>Keri Japan Sandbox - Jeans</t>
  </si>
  <si>
    <t>keri-japan-dawn, keri-japan-black, keri-japan-gravel</t>
  </si>
  <si>
    <t>Our unisex wide straight Keri in a dusty blue wash.</t>
  </si>
  <si>
    <t>25.10.15-LIVID_AW25-DAG518026.jpg, 25.10.15-LIVID_AW25-DAG517446.jpg, 25.10.15-LIVID_AW25-DAG518031.jpg, 25.10.15-LIVID_AW25-DAG518035.jpg, 25.10.15-LIVID_AW25-DAG517434.jpg, 25.10.15-LIVID_AW25-DAG517442.jpg, 25.10.15-LIVID_AW25-DAG518023.jpg</t>
  </si>
  <si>
    <t>25.10.15-LIVID_AW25-DAG618825.jpg, 25.10.15-LIVID_AW25-DAG618834.jpg, 25.10.15-LIVID_AW25-DAG618839.jpg, 25.10.15-LIVID_AW25-DAG618846.jpg, 25.10.15-LIVID_AW25-DAG617682.jpg, 25.10.15-LIVID_AW25-DAG617685.jpg, 25.10.15-LIVID_AW25-DAG617697.jpg, 25.10.15-LIVID_AW25-DAG617700.jpg, 25.10.15-LIVID_AW25-DAG617703.jpg</t>
  </si>
  <si>
    <t>Made in Portugal
Keri Japan Sandbox is made in a solid 13 Oz. 100% cotton denim from the renowned Japanese denim mill Kuroki. Washed down to a mid-blue vintage wash, and then overdyed to create a subtle dusty finish.
In our unisex wide straight Keri, which can sit either high waisted, or hang lower and baggy, depending on preferred sizing.</t>
  </si>
  <si>
    <t>nelson-charcoal-melange, adonis-lis-noir</t>
  </si>
  <si>
    <t>ida-black, kora-black</t>
  </si>
  <si>
    <t>Male model is 189cm tall and wearing a size 29/34, Female model is 176cm tall and wearing a size 25/34</t>
  </si>
  <si>
    <t>- 13 Oz wideloom denim from Kuroki, Japan
- 100% Sanforized cotton
- Warp rope-dyed in indigo, natural coloured weft
- Mid-blue washed jeans, overdyed
- 8 Oz ecru canvas pocketing
- Tanned leather patch w/ wax treatment, Made in Italy.
- YKK two-prong silver button fly
- YKK solid copper washed-burr rivets
- Stitched with durable poly-core cotton thread
- Made at Lisama, Portugal</t>
  </si>
  <si>
    <t>&lt;div style='display:none' class='jdgm-prev-badge' data-average-rating='5.00' data-number-of-reviews='2' data-number-of-questions='0'&gt; &lt;span class='jdgm-prev-badge__stars' data-score='5.00' tabindex='0' aria-label='5.00 stars' role='button'&gt; &lt;span class='jdgm-star jdgm--on'&gt;&lt;/span&gt;&lt;span class='jdgm-star jdgm--on'&gt;&lt;/span&gt;&lt;span class='jdgm-star jdgm--on'&gt;&lt;/span&gt;&lt;span class='jdgm-star jdgm--on'&gt;&lt;/span&gt;&lt;span class='jdgm-star jdgm--on'&gt;&lt;/span&gt; &lt;/span&gt; &lt;span class='jdgm-prev-badge__text'&gt; 2 reviews &lt;/span&gt; &lt;/div&gt;</t>
  </si>
  <si>
    <t>&lt;div class='jdgm-rev-widg' data-updated-at='2025-12-27T12:02:02Z' data-average-rating='5.00' data-number-of-reviews='2' data-number-of-questions='0' data-image-url=''&gt; &lt;style class='jdgm-temp-hiding-style'&gt;.jdgm-rev-widg{ display: none }&lt;/style&gt; &lt;div class='jdgm-rev-widg__header'&gt; &lt;h2 class='jdgm-rev-widg__title'&gt;Customer Reviews&lt;/h2&gt;   &lt;div class='jdgm-rich-snippet' itemprop='aggregateRating' itemscope itemtype='http://schema.org/AggregateRating'&gt; &lt;meta itemprop='reviewCount' content='2'&gt; &lt;meta itemprop='ratingValue' content='5.00'&gt; &lt;/div&gt;   &lt;div class='jdgm-rev-widg__summary'&gt; &lt;div class='jdgm-rev-widg__summary-stars' aria-label='Average rating is 5.00 stars' role='img'&gt; &lt;span class='jdgm-star jdgm--on'&gt;&lt;/span&gt;&lt;span class='jdgm-star jdgm--on'&gt;&lt;/span&gt;&lt;span class='jdgm-star jdgm--on'&gt;&lt;/span&gt;&lt;span class='jdgm-star jdgm--on'&gt;&lt;/span&gt;&lt;span class='jdgm-star jdgm--on'&gt;&lt;/span&gt; &lt;/div&gt; &lt;div class='jdgm-rev-widg__summary-text'&gt;Based on 2 reviews&lt;/div&gt; &lt;/div&gt; &lt;a style='display: none' href='#' class='jdgm-write-rev-link' role='button'&gt;Write a review&lt;/a&gt; &lt;div class='jdgm-histogram jdgm-temp-hidden'&gt;  &lt;div class='jdgm-histogram__row' data-rating='5' data-frequency='2' data-percentage='100'&gt;  &lt;div class='jdgm-histogram__star' role='button' aria-label="100% (2)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100%;'&gt; &lt;/div&gt; &lt;/div&gt; &lt;div class='jdgm-histogram__percentage'&gt;100%&lt;/div&gt; &lt;div class='jdgm-histogram__frequency'&gt;(2)&lt;/div&gt;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 class='jdgm-rev jdgm-divider-top' data-verified-buyer='true' data-review-id='b1112fe0-b74c-4a07-aaa1-bac9b5be219a' data-review-language='' data-product-title='Keri Japan Sandbox' data-product-url='/products/keri-japan-sandbox' data-thumb-up-count='0' data-thumb-down-count='0'&gt; &lt;div class='jdgm-rev__header'&gt;  &lt;div class='jdgm-rev__icon' &gt; A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data-content='2025-12-27 12:00:42 UTC'&gt;&lt;/span&gt;    &lt;div class='jdgm-rev__br'&gt;&lt;/div&gt; &lt;span class='jdgm-rev__buyer-badge-wrapper'&gt; &lt;span class='jdgm-rev__buyer-badge'&gt;&lt;/span&gt; &lt;/span&gt; &lt;span class='jdgm-rev__author-wrapper'&gt; &lt;span class='jdgm-rev__author'&gt;Anonymous&lt;/span&gt; &lt;span class='jdgm-rev__location' &gt;  &lt;/span&gt;  &lt;/span&gt; &lt;/div&gt; &lt;div class='jdgm-rev__content'&gt;  &lt;div class='jdgm-rev__custom-form'&gt;  &lt;/div&gt; &lt;b class='jdgm-rev__title'&gt;Great fit and&lt;/b&gt; &lt;div class='jdgm-rev__body'&gt;&lt;p&gt;Great fit and colour&lt;/p&gt;&lt;/div&gt; &lt;div class='jdgm-rev__pics'&gt;  &lt;/div&gt; &lt;div class='jdgm-rev__vids'&gt;   &lt;/div&gt; &lt;div class='jdgm-rev__transparency-badge-wrapper'&gt;  &lt;/div&gt; &lt;/div&gt; &lt;div class='jdgm-rev__actions'&gt; &lt;div class='jdgm-rev__social'&gt;&lt;/div&gt; &lt;div class='jdgm-rev__votes'&gt;&lt;/div&gt; &lt;/div&gt; &lt;div class='jdgm-rev__reply'&gt;  &lt;/div&gt; &lt;/div&gt;&lt;div class='jdgm-rev jdgm-divider-top' data-verified-buyer='true' data-review-id='ec2df2bb-690f-4823-bba3-09d4beccfa01' data-review-language='' data-product-title='Keri Japan Sandbox' data-product-url='/products/keri-japan-sandbox' data-thumb-up-count='0' data-thumb-down-count='0'&gt; &lt;div class='jdgm-rev__header'&gt;  &lt;div class='jdgm-rev__icon' &gt; R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data-content='2025-12-02 00:39:37 UTC'&gt;&lt;/span&gt;    &lt;div class='jdgm-rev__br'&gt;&lt;/div&gt; &lt;span class='jdgm-rev__buyer-badge-wrapper'&gt; &lt;span class='jdgm-rev__buyer-badge'&gt;&lt;/span&gt; &lt;/span&gt; &lt;span class='jdgm-rev__author-wrapper'&gt; &lt;span class='jdgm-rev__author'&gt;RYUTO KOIKE&lt;/span&gt; &lt;span class='jdgm-rev__location' &gt;  &lt;/span&gt;  &lt;/span&gt; &lt;/div&gt; &lt;div class='jdgm-rev__content'&gt;  &lt;div class='jdgm-rev__custom-form'&gt;  &lt;/div&gt; &lt;b class='jdgm-rev__title'&gt;The material and fit were perfect&lt;/b&gt; &lt;div class='jdgm-rev__body'&gt;&lt;p&gt;The material and fit were perfect. I wish they had a slightly slimmer version in this color—I'd definitely buy it.&lt;/p&gt;&lt;/div&gt; &lt;div class='jdgm-rev__pics'&gt;  &lt;/div&gt; &lt;div class='jdgm-rev__vids'&gt;   &lt;/div&gt; &lt;div class='jdgm-rev__transparency-badge-wrapper'&gt;  &lt;/div&gt; &lt;/div&gt; &lt;div class='jdgm-rev__actions'&gt; &lt;div class='jdgm-rev__social'&gt;&lt;/div&gt; &lt;div class='jdgm-rev__votes'&gt;&lt;/div&gt; &lt;/div&gt; &lt;div class='jdgm-rev__reply'&gt;  &lt;/div&gt; &lt;/div&gt;&lt;/div&gt; &lt;div class='jdgm-paginate' data-per-page='5' data-url='https://api.judge.me/reviews/reviews_for_widget' style="display: none;"&gt;&lt;/div&gt;  &lt;/div&gt; &lt;div class='jdgm-rev-widg__paginate-spinner-wrapper'&gt; &lt;div class='jdgm-spinner'&gt;&lt;/div&gt; &lt;/div&gt; &lt;/div&gt;</t>
  </si>
  <si>
    <t>kerin-charcoal</t>
  </si>
  <si>
    <t>Kerin Charcoal</t>
  </si>
  <si>
    <t>Kerin Charcoal - Knitwear</t>
  </si>
  <si>
    <t>kerin-black, kerin-taupe</t>
  </si>
  <si>
    <t>Kerin, our brushed alpaca sweater.</t>
  </si>
  <si>
    <t>Made in China 
Effortlessly draped sweater, knitted in a super soft brushed alpaca yarn. Constructed with wide sleeves, dropped shoulders and relaxed, long body. The Kerin is a go-to sweater for the whole autumn/winter season.
The alpaca fibers in this yarn are spun around a nylon core for durability, with a touch of spandex to keep its shape over time.</t>
  </si>
  <si>
    <t>kerin-fitguide</t>
  </si>
  <si>
    <t>&lt;div class='jdgm-rev-widg' data-updated-at='2025-09-16T08:47:38Z' data-average-rating='0.00' data-number-of-reviews='0' data-number-of-questions='0' data-image-url='https://cdn.shopify.com/s/files/1/1394/5977/files/25.09.02-LIVIDAW25ECOMD1_01162.jpg?v=1757938105'&gt;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</si>
  <si>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kevin-grey</t>
  </si>
  <si>
    <t>Kevin Grey</t>
  </si>
  <si>
    <t>Kevin Grey - Knitwear</t>
  </si>
  <si>
    <t>kevin-navy</t>
  </si>
  <si>
    <t>Kevin, our collared boiled merino quarter-zip.</t>
  </si>
  <si>
    <t>Made in China 
Made in pure merino wool, boiled to acheive a perfect balance between warmth, breathabilty and softness. The weight of the boiled merino wool gives the Kevin quarter-zip sweater a soft and heavy drape.
Designed with dropped shoulders, a straight boxy fit, with a ribbed hem that hangs straight, with splits at the sides. Finished with a ribbed collar with a quarter-zip.</t>
  </si>
  <si>
    <t>kevin-fitguide</t>
  </si>
  <si>
    <t>- 100% merino wool, boiled
- Merino wool yarn spun in Italy by Tollegno 1900
- Warm, breathable and hardwearing
- YKK silver zipper
- Knitted by Goldfine in China</t>
  </si>
  <si>
    <t>&lt;div class='jdgm-rev-widg' data-updated-at='2025-09-12T08:28:15Z' data-average-rating='0.00' data-number-of-reviews='0' data-number-of-questions='0' data-image-url='https://cdn.shopify.com/s/files/1/1394/5977/files/25.08.22-LIVID_AW25_ECOM14113.jpg?v=1757586865'&gt;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</si>
  <si>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Kevin Navy</t>
  </si>
  <si>
    <t>Kevin Navy - Knitwear</t>
  </si>
  <si>
    <t>&lt;div class='jdgm-rev-widg' data-updated-at='2025-09-12T08:28:08Z' data-average-rating='0.00' data-number-of-reviews='0' data-number-of-questions='0' data-image-url='https://cdn.shopify.com/s/files/1/1394/5977/files/25.08.22-LIVIDAW25ECOM14138.jpg?v=1757586976'&gt;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</si>
  <si>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kilmer-black-fluff</t>
  </si>
  <si>
    <t>Kilmer Black Fluff</t>
  </si>
  <si>
    <t>Kilmer Black Fluff - Knitwear</t>
  </si>
  <si>
    <t>Kilmer, our brushed alpaca sweater.</t>
  </si>
  <si>
    <t>Made in China 
Boldly proportioned sweater, knitted in a super soft brushed alpaca yarn. Constructed with wide sleeves, dropped shoulders and a boxy body.
Knitted in a super soft brushed alpaca yarn. The alpaca fibers in this yarn are spun around a nylon core for durability, with a touch of spandex to keep its shape over time.</t>
  </si>
  <si>
    <t>kilmer-fitguide</t>
  </si>
  <si>
    <t>- 79% Alpaca, 19% Nylon, 2% Spandex
- Alpaca yarn spun by QCYarn, China
- Soft, elastic and super resistant.
- Knitted by Springair in China</t>
  </si>
  <si>
    <t>&lt;div class='jdgm-rev-widg' data-updated-at='2025-09-16T09:01:21Z' data-average-rating='0.00' data-number-of-reviews='0' data-number-of-questions='0' data-image-url='https://cdn.shopify.com/s/files/1/1394/5977/files/25.09.03-LIVIDAW25ECOMD214761.jpg?v=1758013280'&gt;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</si>
  <si>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lefty-black-lattice</t>
  </si>
  <si>
    <t>Lefty Black Lattice</t>
  </si>
  <si>
    <t>Lefty Black Lattice - Shirt</t>
  </si>
  <si>
    <t>lefty-brown-check</t>
  </si>
  <si>
    <t>Lefty, our straight hemmed overshirt, in a textured waffle weave fabric.</t>
  </si>
  <si>
    <t>Made in Portugal
Designed with slightly wide shoulders, a straight fit and straight cut hem that ends perfectly at the hips. Lefty can be layered as an overshirt, or worn as a hefty shirt on its own.
Made in a highly textured waffle weave fabric woven by Somelos in Portugal exclusively for Livid. The weave gives this fabric a noticable thickness, while still keeping light. A great layering piece across seasons.</t>
  </si>
  <si>
    <t>lefty-fitguide</t>
  </si>
  <si>
    <t>- 100% cotton waffle weave
- Woven by Somelos in Portugal exclusively for Livid
- Mother of Pearl buttons
- Stitched with durable poly-core cotton thread
- Made at Stork in Portugal</t>
  </si>
  <si>
    <t>&lt;div class='jdgm-rev-widg' data-updated-at='2025-10-17T15:11:11Z' data-average-rating='0.00' data-number-of-reviews='0' data-number-of-questions='0' data-image-url='https://cdn.shopify.com/s/files/1/1394/5977/files/25.10.07-LIVIDAW25-DAG3_00899.jpg?v=1760713095'&gt;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</si>
  <si>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Lefty Brown Check</t>
  </si>
  <si>
    <t>Lefty Brown Check - Shirt</t>
  </si>
  <si>
    <t>keri-japan-sandbox, tuck-black-1, adonis-lis-noir</t>
  </si>
  <si>
    <t>Lefty, our straight hemmed shirt, in a soft check flanell.</t>
  </si>
  <si>
    <t>care-shirts-delicate</t>
  </si>
  <si>
    <t>Made in Portugal
Designed with slightly wide shoulders, a straight fit and straight cut hem that ends perfectly at the hips. Lefty can be layered as an overshirt, or worn as a shirt on its own.
Made in a soft flannel fabric designed by Livid and woven exclusively at Somelos in Portugal. This particular fabric is made from cotton, with 22% Lyocell, giving it a beautiful texture, soft handfeel and a fluid drape.</t>
  </si>
  <si>
    <t>- 78% Cotton, 2% Lyocell
- Woven by Somelos in Portugal exclusively for Livid
- Mother of Pearl buttons
- Stitched with durable poly-core cotton thread
- Made at Stork in Portugal</t>
  </si>
  <si>
    <t>&lt;div class='jdgm-rev-widg' data-updated-at='2025-10-10T20:23:05Z' data-average-rating='5.00' data-number-of-reviews='1' data-number-of-questions='0' data-image-url='https://cdn.shopify.com/s/files/1/1394/5977/files/25.09.03-LIVIDAW25ECOMD214875.jpg?v=1757596302'&gt; &lt;style class='jdgm-temp-hiding-style'&gt;.jdgm-rev-widg{ display: none }&lt;/style&gt; &lt;div class='jdgm-rev-widg__header'&gt; &lt;h2 class='jdgm-rev-widg__title'&gt;Customer Reviews&lt;/h2&gt;   &lt;div class='jdgm-rich-snippet' itemprop='aggregateRating' itemscope itemtype='http://schema.org/AggregateRating'&gt; &lt;meta itemprop='reviewCount' content='1'&gt; &lt;meta itemprop='ratingValue' content='5.00'&gt; &lt;/div&gt;   &lt;div class='jdgm-rev-widg__summary'&gt; &lt;div class='jdgm-rev-widg__summary-stars' aria-label='Average rating is 5.00 stars' role='img'&gt; &lt;span class='jdgm-star jdgm--on'&gt;&lt;/span&gt;&lt;span class='jdgm-star jdgm--on'&gt;&lt;/span&gt;&lt;span class='jdgm-star jdgm--on'&gt;&lt;/span&gt;&lt;span class='jdgm-star jdgm--on'&gt;&lt;/span&gt;&lt;span class='jdgm-star jdgm--on'&gt;&lt;/span&gt; &lt;/div&gt; &lt;div class='jdgm-rev-widg__summary-text'&gt;Based on 1 review&lt;/div&gt; &lt;/div&gt; &lt;a style='display: none' href='#' class='jdgm-write-rev-link' role='button'&gt;Write a review&lt;/a&gt; &lt;div class='jdgm-histogram jdgm-temp-hidden'&gt;  &lt;div class='jdgm-histogram__row' data-rating='5' data-frequency='1' data-percentage='100'&gt;  &lt;div class='jdgm-histogram__star' role='button' aria-label="100% (1)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100%;'&gt; &lt;/div&gt; &lt;/div&gt; &lt;div class='jdgm-histogram__percentage'&gt;100%&lt;/div&gt; &lt;div class='jdgm-histogram__frequency'&gt;(1)&lt;/div&gt;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 class='jdgm-rev jdgm-divider-top' data-verified-buyer='true' data-review-id='962b602a-3789-4f71-bd67-d32a2f6e6934' data-review-language='' data-product-title='Lefty Brown Check' data-product-url='/products/lefty-brown-check' data-thumb-up-count='0' data-thumb-down-count='0'&gt; &lt;div class='jdgm-rev__header'&gt;  &lt;div class='jdgm-rev__icon' &gt; J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data-content='2025-10-10 20:21:21 UTC'&gt;&lt;/span&gt;    &lt;div class='jdgm-rev__br'&gt;&lt;/div&gt; &lt;span class='jdgm-rev__buyer-badge-wrapper'&gt; &lt;span class='jdgm-rev__buyer-badge'&gt;&lt;/span&gt; &lt;/span&gt; &lt;span class='jdgm-rev__author-wrapper'&gt; &lt;span class='jdgm-rev__author'&gt;Jonathan Hobson&lt;/span&gt; &lt;span class='jdgm-rev__location' &gt;  &lt;/span&gt;  &lt;/span&gt; &lt;/div&gt; &lt;div class='jdgm-rev__content'&gt;  &lt;div class='jdgm-rev__custom-form'&gt;  &lt;/div&gt; &lt;b class='jdgm-rev__title'&gt;love the fit&lt;/b&gt; &lt;div class='jdgm-rev__body'&gt;&lt;p&gt;love the fit, and the quality is excellent&lt;/p&gt;&lt;/div&gt; &lt;div class='jdgm-rev__pics'&gt;  &lt;/div&gt; &lt;div class='jdgm-rev__vids'&gt;   &lt;/div&gt; &lt;div class='jdgm-rev__transparency-badge-wrapper'&gt;  &lt;/div&gt; &lt;/div&gt; &lt;div class='jdgm-rev__actions'&gt; &lt;div class='jdgm-rev__social'&gt;&lt;/div&gt; &lt;div class='jdgm-rev__votes'&gt;&lt;/div&gt; &lt;/div&gt; &lt;div class='jdgm-rev__reply'&gt;  &lt;/div&gt; &lt;/div&gt;&lt;/div&gt; &lt;div class='jdgm-paginate' data-per-page='5' data-url='https://api.judge.me/reviews/reviews_for_widget' style="display: none;"&gt;&lt;/div&gt;  &lt;/div&gt; &lt;div class='jdgm-rev-widg__paginate-spinner-wrapper'&gt; &lt;div class='jdgm-spinner'&gt;&lt;/div&gt; &lt;/div&gt; &lt;/div&gt;</t>
  </si>
  <si>
    <t>lerke-black</t>
  </si>
  <si>
    <t>Lerke Black</t>
  </si>
  <si>
    <t>Lerke Black - Scarf</t>
  </si>
  <si>
    <t>lerke-charcoal, lerke-ivory</t>
  </si>
  <si>
    <t>Lerke, our brushed alpaca scarf.</t>
  </si>
  <si>
    <t>25.09.03-LIVID_AW25_ECOM_D214796.jpg, 25.09.03-LIVID_AW25_ECOM_D214813.jpg, 25.09.03-LIVID_AW25_ECOM_D214768.jpg, 25.09.03-LIVID_AW25_ECOM_D214803.jpg</t>
  </si>
  <si>
    <t>25.10.07-LIVID_AW25-DAG4_01222.jpg, 25.10.07-LIVID_AW25-DAG4_01231.jpg, 25.10.07-LIVID_AW25-DAG4_01237.jpg, 25.10.07-LIVID_AW25-DAG4_01241.jpg, 25.10.07-LIVID_AW25-DAG4_01245.jpg, 25.10.07-LIVID_AW25-DAG4_01251.jpg, 25.10.07-LIVID_AW25-DAG4_01255.jpg, 25.10.07-LIVID_AW25-DAG4_01256.jpg</t>
  </si>
  <si>
    <t>Made in China
Brushed alpaca yarn scarf.</t>
  </si>
  <si>
    <t>lerke-fitguide</t>
  </si>
  <si>
    <t>hayes-black, kilmer-black-fluff</t>
  </si>
  <si>
    <t>kerin-black, fir-black, kora-black</t>
  </si>
  <si>
    <t>&lt;div class='jdgm-rev-widg' data-updated-at='2025-09-16T13:37:30Z'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</si>
  <si>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lerke-charcoal</t>
  </si>
  <si>
    <t>Lerke Charcoal</t>
  </si>
  <si>
    <t>Lerke Charcoal - Scarf</t>
  </si>
  <si>
    <t>lerke-ivory, lerke-black</t>
  </si>
  <si>
    <t>25.10.07-LIVID_AW25-DAG3_00872.jpg, 25.10.07-LIVID_AW25-DAG3_00884.jpg, 25.10.07-LIVID_AW25-DAG3_00879.jpg</t>
  </si>
  <si>
    <t>25.09.02-LIVID_AW25_ECOM_D1_01226.jpg, 25.09.02-LIVID_AW25_ECOM_D1_01252.jpg, 25.09.02-LIVID_AW25_ECOM_D1_01236.jpg, 25.09.02-LIVID_AW25_ECOM_D1_01240.jpg, 25.09.02-LIVID_AW25_ECOM_D1_01247.jpg, 25.09.02-LIVID_AW25_ECOM_D1_01249.jpg, 25.09.02-LIVID_AW25_ECOM_D1_01259.jpg</t>
  </si>
  <si>
    <t>25.10.07-LIVID_AW25-DAG3_00865.jpg</t>
  </si>
  <si>
    <t>kerin-charcoal, keri-japan-sandbox, avoriaz-velours-graphite</t>
  </si>
  <si>
    <t>kerin-charcoal, fir-black</t>
  </si>
  <si>
    <t>&lt;div class='jdgm-rev-widg' data-updated-at='2025-09-16T08:47:37Z' data-average-rating='0.00' data-number-of-reviews='0' data-number-of-questions='0' data-image-url='https://cdn.shopify.com/s/files/1/1394/5977/files/25.09.02-LIVIDAW25ECOMD1_01226.jpg?v=1757938152'&gt;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</si>
  <si>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lerke-ivory</t>
  </si>
  <si>
    <t>Lerke Ivory</t>
  </si>
  <si>
    <t>Lerke Ivory - Scarf</t>
  </si>
  <si>
    <t>lerke-black, lerke-charcoal</t>
  </si>
  <si>
    <t>25.10.07-LIVID_AW25-DAG3_00962.jpg, 25.10.07-LIVID_AW25-DAG3_00957.jpg, 25.10.07-LIVID_AW25-DAG3_00943.jpg</t>
  </si>
  <si>
    <t>25.10.07-LIVID_AW25-DAG4_01068.jpg, 25.10.07-LIVID_AW25-DAG4_01076.jpg, 25.10.07-LIVID_AW25-DAG4_01083.jpg, 25.10.07-LIVID_AW25-DAG4_01098.jpg</t>
  </si>
  <si>
    <t>25.10.07-LIVID_AW25-DAG3_00941.jpg</t>
  </si>
  <si>
    <t>keri-japan-black, tim-milk-bonded, adonis-lis-noir</t>
  </si>
  <si>
    <t>gill-brown-wax, keri-japan-sandbox</t>
  </si>
  <si>
    <t>&lt;div class='jdgm-rev-widg' data-updated-at='2025-10-17T15:11:12Z'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</si>
  <si>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lima-charcoal-washout</t>
  </si>
  <si>
    <t>Lima Charcoal Washout</t>
  </si>
  <si>
    <t>Lima Charcoal Washout - Longsleeve</t>
  </si>
  <si>
    <t>lima-stripe</t>
  </si>
  <si>
    <t>Cropped pique shirt, Lima.</t>
  </si>
  <si>
    <t>Made in Portugal
Inspired by sportswear, and tuned to suit our denim. Made in a pique knit, garment dyed and then acid washed for a textured and faded finish.
Built with dropped shoulders, a relaxed silhouette and a shorter length that ends perfectly at the hips. Finnished with a ribbed tipped collar and mother of pearl buttoning.</t>
  </si>
  <si>
    <t>copy-of-lefty-fitguide</t>
  </si>
  <si>
    <t>- 100% cotton pre-shrunk jersey
- Garment dyed
- Mother of pearl buttons
- Sewn with durable poly-core cotton thread
- Jersey knitted at Etevimol in Portugal
- Made at Texgoios in Portugal</t>
  </si>
  <si>
    <t>&lt;div class='jdgm-rev-widg' data-updated-at='2025-09-16T08:42:53Z' data-average-rating='0.00' data-number-of-reviews='0' data-number-of-questions='0' data-image-url='https://cdn.shopify.com/s/files/1/1394/5977/files/25.09.02-LIVIDAW25ECOMD1_00118.jpg?v=1757938402'&gt;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</si>
  <si>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maiko-japan-gravel</t>
  </si>
  <si>
    <t>Maiko Japan Gravel</t>
  </si>
  <si>
    <t>Maiko Japan Gravel - Shirt</t>
  </si>
  <si>
    <t>Maiko, our regular fit denim shirt.</t>
  </si>
  <si>
    <t>Made in Portugal
Maiko, our regular fit denim shirt, Henrey. Made with slightly dropped shoulders, a regular relaxed body, softly curved hems, a single square chest pocket and a center box pleat at the back yoke. 
Made in a 7 Oz. denim woven by the artisinal denim mill Collect in Japan washed to a structured grey. Finished with mother of pearl buttons.</t>
  </si>
  <si>
    <t>maiko-fitguide</t>
  </si>
  <si>
    <t>- 100% cotton
- 7 Oz. denim woven by Collect in Japan
- Mother of pearl buttons
- Extra button at the cuff, allowing a tighter adjustment at the wrist
- Box pleat at back yoke
- Made at Stork, in Portugal</t>
  </si>
  <si>
    <t>&lt;div class='jdgm-rev-widg' data-updated-at='2025-09-16T08:47:37Z' data-average-rating='0.00' data-number-of-reviews='0' data-number-of-questions='0' data-image-url='https://cdn.shopify.com/s/files/1/1394/5977/files/25.09.02-LIVIDAW25ECOMD1_01272.jpg?v=1757938208'&gt;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</si>
  <si>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Mercer Charcoal Melange</t>
  </si>
  <si>
    <t>Mercer Charcoal Melange - Knitwear</t>
  </si>
  <si>
    <t>Mercer, our boiled merino wool collared sweater.</t>
  </si>
  <si>
    <t>Made in China 
Made in pure merino wool, boiled to acheive a perfect balance between warmth, breathabilty and softness. The weight of the boiled merino wool gives the Mercer sweater a soft and heavy drape.
The Mercer sweater features a stand-up spread collar, constructed with a generous fit exhibiting the wool knit's drape, with side splits and a longer back.
Made to match the Heist skirt for a full set, which can also be worn as separates.</t>
  </si>
  <si>
    <t>mercer-fitguide</t>
  </si>
  <si>
    <t>&lt;div class='jdgm-rev-widg' data-updated-at='2025-09-16T08:47:37Z' data-average-rating='0.00' data-number-of-reviews='0' data-number-of-questions='0' data-image-url='https://cdn.shopify.com/s/files/1/1394/5977/files/25.09.02-LIVIDAW25ECOMD1_00806.jpg?v=1757938249'&gt;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</si>
  <si>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miko-japan-black-dusk</t>
  </si>
  <si>
    <t>Miko Japan Black Dusk</t>
  </si>
  <si>
    <t>Miko Japan Black Dusk - Jeans</t>
  </si>
  <si>
    <t>miko-japan-indigo-dusk, miko-japan-new-blue</t>
  </si>
  <si>
    <t>Our slim tapered, Miko, in a slightly washed black.</t>
  </si>
  <si>
    <t>Made in Portugal
Introducing Miko. Mid-rise, with a straight fit at the waist, a flat front and a slim tapered leg. A great fit for those who seek a slimmer silhouette.
In our slightly broken-in Japan Black Dusk wash. Made in a solid 13 Oz 100% cotton denim from the renowned Japanese denim mill Kuroki. Soft to the touch, the Japan Black Dusk is deep black with subtle fading at the the seams.</t>
  </si>
  <si>
    <t>miko-fitguide</t>
  </si>
  <si>
    <t>MIKO_JAPAN_BLACK_DUSK.jpg</t>
  </si>
  <si>
    <t>&lt;div class='jdgm-rev-widg' data-updated-at='2025-11-07T12:32:43Z' data-average-rating='0.00' data-number-of-reviews='0' data-number-of-questions='0' data-image-url='https://cdn.shopify.com/s/files/1/1394/5977/files/25.10.31-LIVIDAW25-DAG7_20360_50c2bc60-ebb8-4d99-947b-2e5eaf4b2007.jpg?v=1762518609'&gt;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</si>
  <si>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miko-japan-indigo-dusk</t>
  </si>
  <si>
    <t>Miko Japan Indigo Dusk</t>
  </si>
  <si>
    <t>Miko Japan Indigo Dusk - Jeans</t>
  </si>
  <si>
    <t>miko-japan-new-blue, miko-japan-black-dusk</t>
  </si>
  <si>
    <t>Our slim tapered, Miko, in a deep blue wash.</t>
  </si>
  <si>
    <t>Made in Portugal
Introducing Miko. Mid-rise, with a straight fit at the waist, a flat front and a slim tapered leg. A great fit for those who seek a slimmer silhouette.
In our deep blue wash, Japan Indigo Dusk. Made with a 13 Oz. 100% cotton, indigo wideloom denim woven by the renowned Japanese denim mill, Kuroki. Washed to a deep shade of indigo with subtle wear patterns for a natural look.</t>
  </si>
  <si>
    <t>MIKOJAPANINDIGODUSK.jpg</t>
  </si>
  <si>
    <t>&lt;div class='jdgm-rev-widg' data-updated-at='2025-11-07T12:32:34Z' data-average-rating='0.00' data-number-of-reviews='0' data-number-of-questions='0' data-image-url='https://cdn.shopify.com/s/files/1/1394/5977/files/25.10.31-LIVIDAW25-DAG7_20403_a0a593fc-55db-4679-9b27-002c23adbf03.jpg?v=1762518495'&gt;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</si>
  <si>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miko-japan-new-blue</t>
  </si>
  <si>
    <t>Miko Japan New Blue</t>
  </si>
  <si>
    <t>Miko Japan New Blue - Jeans</t>
  </si>
  <si>
    <t>miko-japan-indigo-dusk, miko-japan-black-dusk</t>
  </si>
  <si>
    <t>Our slim tapered, Miko, in a vintage mid-blue wash.</t>
  </si>
  <si>
    <t>Made in Portugal
Introducing Miko. Mid-rise, with a straight fit at the waist, a flat front and a slim tapered leg. A great fit for those who seek a slimmer silhouette.
In our mid-blue wash, Japan New Blue. Made with a 13 Oz. 100% cotton, indigo wideloom denim woven by the renowned Japanese denim mill, Kuroki. Washed to a light shade of indigo with subtle wear patterns for a classic vintage look.</t>
  </si>
  <si>
    <t>- Light blue washed rope-dyed indigo denim
- 13 Oz wideloom denim from Kuroki, Japan
- 100% Sanforized cotton
- Warp dyed in indigo, natural coloured weft
- 8 Oz ecru canvas pocketing
- Tanned leather patch w/ wax treatment, Made in Italy.
- YKK two-prong silver button fly
- YKK solid copper washed-burr rivets
- Stitched with durable poly-core cotton thread
- Made at Lisama, Portugal</t>
  </si>
  <si>
    <t>&lt;div class='jdgm-rev-widg' data-updated-at='2025-11-07T12:31:32Z' data-average-rating='0.00' data-number-of-reviews='0' data-number-of-questions='0' data-image-url='https://cdn.shopify.com/s/files/1/1394/5977/files/25.10.31-LIVIDAW25-DAG7_20460_61cd6ec3-795a-4e96-b498-ccdd34704558.jpg?v=1762518417'&gt;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</si>
  <si>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mila-brown-multistripe</t>
  </si>
  <si>
    <t>Mila Brown Multistripe</t>
  </si>
  <si>
    <t>Mila Brown Multistripe - Longsleeve</t>
  </si>
  <si>
    <t>mila-violet-ministripe-washout, mila-grey-melange, mila-black, mila-black-1</t>
  </si>
  <si>
    <t>Our relaxed longsleeve Mila, made in a seasona stripe design.</t>
  </si>
  <si>
    <t>Made in Portugal
Made from our signature 6.5 Oz pre-shrunk 100% cotton jersey exclusively made for Livid in Portugal. This particular fabric has been used in our heavyweight t-shirts for many years and has become very popular due to its durability and comfortable hand feel. Knitted in a stripe design, and then overdyed.
Mila features dropped shoulders and a relaxed silhouette, ideal for someone who likes a more relaxed look.</t>
  </si>
  <si>
    <t>mila-fitguide</t>
  </si>
  <si>
    <t>- 100% cotton
- 220 gsm pre-shrunk jersey
- Knitted by Etevimol in Portugal
- Fine rib collar
- Sewn with durable poly-core cotton thread
- Made at Texgoios in Portugal</t>
  </si>
  <si>
    <t>&lt;div class='jdgm-rev-widg' data-updated-at='2025-09-16T08:43:44Z' data-average-rating='0.00' data-number-of-reviews='0' data-number-of-questions='0' data-image-url='https://cdn.shopify.com/s/files/1/1394/5977/files/25.09.02-LIVIDAW25ECOMD1_00326.jpg?v=1757938311'&gt;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</si>
  <si>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mila-violet-ministripe-washout</t>
  </si>
  <si>
    <t>Mila Violet Ministripe Washout</t>
  </si>
  <si>
    <t>Mila Violet Ministripe Washout - Longsleeve</t>
  </si>
  <si>
    <t>mila-brown-multistripe, mila-grey-melange, mila-black, mila-black-1</t>
  </si>
  <si>
    <t>&lt;div class='jdgm-rev-widg' data-updated-at='2025-09-16T08:44:03Z' data-average-rating='0.00' data-number-of-reviews='0' data-number-of-questions='0' data-image-url='https://cdn.shopify.com/s/files/1/1394/5977/files/25.09.02-LIVIDAW25ECOMD1_00027.jpg?v=1757938462'&gt;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</si>
  <si>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needle-flint</t>
  </si>
  <si>
    <t>Needle Flint</t>
  </si>
  <si>
    <t>Needle Flint - Longsleeve</t>
  </si>
  <si>
    <t>needle-otter-ministripe</t>
  </si>
  <si>
    <t>Our relaxed fit longsleeve, Needle, in a seasonal colour.</t>
  </si>
  <si>
    <t>Made in Portugal
Needle, our relaxed longsleeve, made with dropped shoulders, a relaxed body, slits at the bottom hem, and a slightly longer back. Made in our signature 6.5 Oz. jersey.</t>
  </si>
  <si>
    <t>needle-fitguide</t>
  </si>
  <si>
    <t>- 100%cotton
- 220 gsm pre-shrunk jersey
- Knitted by Etevimol in Portugal
- Livid embroidery on chest
- Fine rib collar
- Sewn with durable poly-core cotton thread
- Made at Texgoios in Portugal</t>
  </si>
  <si>
    <t>&lt;div class='jdgm-rev-widg' data-updated-at='2025-09-16T08:47:37Z' data-average-rating='0.00' data-number-of-reviews='0' data-number-of-questions='0' data-image-url='https://cdn.shopify.com/s/files/1/1394/5977/files/25.09.03-LIVIDAW25ECOMD214865.jpg?v=1757596500'&gt;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</si>
  <si>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Needle Otter Ministripe</t>
  </si>
  <si>
    <t>Needle Otter Ministripe - Longsleeve</t>
  </si>
  <si>
    <t>barnes-japan-black</t>
  </si>
  <si>
    <t>Our relaxed fit longsleeve, Needle, in a seasonal stripe design.</t>
  </si>
  <si>
    <t>Made in Portugal
Needle, our relaxed longsleeve, made with dropped shoulders, a relaxed body, slits at the bottom hem, and a slightly longer back. Made in our signature 6.5 Oz. jersey. Knitted in a stripe design, and then overdyed.</t>
  </si>
  <si>
    <t>&lt;div class='jdgm-rev-widg' data-updated-at='2025-09-16T08:47:37Z' data-average-rating='0.00' data-number-of-reviews='0' data-number-of-questions='0' data-image-url='https://cdn.shopify.com/s/files/1/1394/5977/files/25.09.03-LIVIDAW25ECOMD214919.jpg?v=1757596566'&gt;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</si>
  <si>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nelson-bleek-eclipse</t>
  </si>
  <si>
    <t>Nelson Bleek Eclipse</t>
  </si>
  <si>
    <t>Nelson Bleek Eclipse - T-Shirt</t>
  </si>
  <si>
    <t>nelson-charcoal-melange, nelson-green, nelson-brown-multistripe</t>
  </si>
  <si>
    <t>Our relaxed fit tee, Nelson.</t>
  </si>
  <si>
    <t>Made in Portugal 
From our Core line comes our relaxed fit tee, Nelson. Made from a pre-shrunk 6.5 Oz heavyweight 100% cotton jersey exclusively made for Livid in Portugal. This particular fabric has been used in our Richmond t-shirts for more than a decade and has become very popular due to its durability and comfortable hand feel.
Featuring dropped shoulders, a wider body for a relaxed fit, and a slightly shorter length than our basic tee Richmond.</t>
  </si>
  <si>
    <t>nelson-fitguide</t>
  </si>
  <si>
    <t>- 100% cotton
- 220 gsm pre-shrunk jersey
- Livid embroidery on chest
- Fine rib collar
- Sewn with durable poly core cotton thread
- Jersey knitted by Etevimol in Portugal
- Made at Texgoios in Portugal</t>
  </si>
  <si>
    <t>&lt;div class='jdgm-rev-widg' data-updated-at='2025-09-01T10:39:57Z' data-average-rating='0.00' data-number-of-reviews='0' data-number-of-questions='0' data-image-url='https://cdn.shopify.com/s/files/1/1394/5977/files/LIVID-AW25-ECOM_202.jpg?v=1756368396'&gt;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</si>
  <si>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nelson-brown-multistripe</t>
  </si>
  <si>
    <t>Nelson Brown Multistripe</t>
  </si>
  <si>
    <t>Nelson Brown Multistripe - T-Shirt</t>
  </si>
  <si>
    <t>nelson-bleek-eclipse, nelson-charcoal-melange, nelson-green</t>
  </si>
  <si>
    <t>Our relaxed fit tee Nelson, made in a seasonal knitted stripe design.</t>
  </si>
  <si>
    <t>Made in Portugal
Our relaxed fit tee, Nelson. Made from a pre-shrunk 6.5 Oz heavyweight 100% cotton jersey exclusively made for Livid in Portugal, with a knitted stripe design. This particular fabric has been used in our Richmond t-shirts for more than a decade and has become very popular due to its durability and comfortable hand feel.
Featuring dropped shoulders, a wider body for a relaxed fit, and a slightly shorter length than our basic tee Richmond.</t>
  </si>
  <si>
    <t>&lt;div class='jdgm-rev-widg' data-updated-at='2025-09-01T10:39:57Z' data-average-rating='0.00' data-number-of-reviews='0' data-number-of-questions='0' data-image-url='https://cdn.shopify.com/s/files/1/1394/5977/files/LIVID-AW25-ECOM_188.jpg?v=1756367460'&gt;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</si>
  <si>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nelson-charcoal-melange</t>
  </si>
  <si>
    <t>Nelson Charcoal Melange</t>
  </si>
  <si>
    <t>Nelson Charcoal Melange - T-Shirt</t>
  </si>
  <si>
    <t>nelson-green, nelson-bleek-eclipse, nelson-brown-multistripe</t>
  </si>
  <si>
    <t>&lt;div class='jdgm-rev-widg' data-updated-at='2025-09-01T10:39:58Z' data-average-rating='0.00' data-number-of-reviews='0' data-number-of-questions='0' data-image-url='https://cdn.shopify.com/s/files/1/1394/5977/files/LIVID-AW25-ECOM_71.jpg?v=1756283954'&gt;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</si>
  <si>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nelson-green</t>
  </si>
  <si>
    <t>Nelson Green</t>
  </si>
  <si>
    <t>Nelson Green - T-Shirt</t>
  </si>
  <si>
    <t>nelson-charcoal-melange, nelson-bleek-eclipse, nelson-brown-multistripe</t>
  </si>
  <si>
    <t>nelson-charcoal-melange, barnes-japan-rinse</t>
  </si>
  <si>
    <t>&lt;div class='jdgm-rev-widg' data-updated-at='2025-09-01T10:39:58Z' data-average-rating='0.00' data-number-of-reviews='0' data-number-of-questions='0' data-image-url='https://cdn.shopify.com/s/files/1/1394/5977/files/LIVID-AW25-ECOM_155.jpg?v=1756367386'&gt;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</si>
  <si>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Noni Black</t>
  </si>
  <si>
    <t>Noni Black - Shirt</t>
  </si>
  <si>
    <t>Long sleeve funnel neck top made in an all-over stitched and smocked floral pattern.</t>
  </si>
  <si>
    <t>Made in China
Noni. A dramatic funnel neck long sleeve top made in an all-over stitched and smocked floral pattern.
Designed to be worn together with the Blanche skirt for the full evening look, where both pieces can also be worn as separates.
The fabric of the top is stitched throughout to create the bubbly texture at the surface, which also provides a comfortable stretch, making the top fit a variety of shapes and mold to the body.</t>
  </si>
  <si>
    <t>noni-fitguide</t>
  </si>
  <si>
    <t>- 100% Polyester
- Fabric woven by Takisada Nagoya, Japan
- Stitched to create a smocked floral pattern overall
- Zippered closure at the back neck
- Cut and sewn by Yinmao, China</t>
  </si>
  <si>
    <t>&lt;div class='jdgm-rev-widg' data-updated-at='2025-09-16T08:47:36Z' data-average-rating='0.00' data-number-of-reviews='0' data-number-of-questions='0' data-image-url='https://cdn.shopify.com/s/files/1/1394/5977/files/25.09.02-LIVIDAW25ECOMD1_00846_a1393b1c-1e02-4fb0-9c24-d415910a67c0.jpg?v=1758000671'&gt;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</si>
  <si>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page-japan-black-dusk</t>
  </si>
  <si>
    <t>Page Japan Black Dusk</t>
  </si>
  <si>
    <t>Page Japan Black Dusk - Jeans</t>
  </si>
  <si>
    <t>page-japan-indigo-dusk</t>
  </si>
  <si>
    <t>Our slim-straight, Page, in a slightly washed black.</t>
  </si>
  <si>
    <t>Made in Portugal
Our slim straight, Page. Constructed with a mid-rise and a straight fit at the waist, slim through hip and thigh and straight from the knee down. A great fit for a sharp and slim silhouette.
In our slightly washed black, the Japan Black Dusk. Made from a beautiful mid-weight wideloom denim woven at the renowned Japanese fabric mill, Kuroki. This particular fabric was developed by Kuroki, to be a comfortable stretch denim that both looks and ages as a rigid (100% cotton) denim. A super versatile denim providing great comfort, stretch and recovery after wear. A safe choice for all who loves a pair of genuine fitting jeans in their wardrobe.</t>
  </si>
  <si>
    <t>page-fitguide</t>
  </si>
  <si>
    <t>PAGEJAPANBLACKDUSK.jpg</t>
  </si>
  <si>
    <t>Model is 174cm tall and wearing a size 26/34</t>
  </si>
  <si>
    <t>- 13 Oz comfort wideloom denim from Kuroki, Japan. 
- 98% cotton, 2% polyurethane
- Warp &amp; weft dyed in black
- 5 Oz ecru canvas pocketing
- Black leather patch w/ wax treatment. Made in Italy
- YKK two-prong silver button and zip fly
- YKK solid copper washed-burr rivets
- Stitched with durable poly-core cotton thread
- Made at Lisama, Portugal</t>
  </si>
  <si>
    <t>&lt;div class='jdgm-rev-widg' data-updated-at='2025-10-28T11:04:39Z' data-average-rating='0.00' data-number-of-reviews='0' data-number-of-questions='0' data-image-url='https://cdn.shopify.com/s/files/1/1394/5977/files/25.10.15-LIVIDAW25-DAG619347.jpg?v=1761310659'&gt;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</si>
  <si>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Page Japan Indigo Dusk</t>
  </si>
  <si>
    <t>Page Japan Indigo Dusk - Jeans</t>
  </si>
  <si>
    <t>Our slim-straight, Page, in a deep blue wash.</t>
  </si>
  <si>
    <t>Made in Portugal
Our slim straight, Page. Constructed with a mid-rise and a straight fit at the waist, slim through hip and thigh and straight from the knee down. A great fit for a sharp and slim silhouette.
In our deep blue wash, the Japan Indigo Dusk. Made from a beautiful mid-weight wideloom denim woven at the renowned Japanese fabric mill, Kuroki. This particular fabric was developed by Kuroki, to be a comfortable stretch denim that both looks and ages as a rigid (100% cotton) denim. That is also why this denim has been one of the most widely used denim qualities throughout our collections, now being the fabric of choice for most of our comfort range. A super versatile denim, beautiful in all types of shades in addition to providing great comfort, stretch and recovery after wear. A safe choice for all who loves a pair of genuine fitting jeans in their wardrobe.</t>
  </si>
  <si>
    <t>PAGEJAPANINDIGO.jpg</t>
  </si>
  <si>
    <t>- 13 Oz comfort wideloom denim from Kuroki, Japan. 
- 98% cotton, 2% polyurethane
- Warp dyed in indigo, natural coloured weft
- 5 Oz ecru canvas pocketing 
- Tanned leather patch w/ wax treatment, Made in Italy. 
- YKK two-prong silver button and zip fly
- YKK solid copper washed-burr rivets
- Stitched with durable poly-core cotton thread
- Made at Lisama, Portugal</t>
  </si>
  <si>
    <t>&lt;div class='jdgm-rev-widg' data-updated-at='2025-10-24T12:59:15Z' data-average-rating='0.00' data-number-of-reviews='0' data-number-of-questions='0' data-image-url='https://cdn.shopify.com/s/files/1/1394/5977/files/25.10.15-LIVIDAW25-DAG619372.jpg?v=1761310753'&gt;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</si>
  <si>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pen-black-tech</t>
  </si>
  <si>
    <t>Pen Black Tech</t>
  </si>
  <si>
    <t>Pen Black Tech - Jacket</t>
  </si>
  <si>
    <t>pen-eclipse-tech</t>
  </si>
  <si>
    <t>Pen, our ultralight insulated jacket.</t>
  </si>
  <si>
    <t>25.09.03-LIVIDAW25ECOMD214974.jpg, 25.09.03-LIVIDAW25ECOMD214992.jpg, 25.09.03-LIVIDAW25ECOMD214984.jpg, 25.09.03-LIVIDAW25ECOMD214830.jpg, 25.09.03-LIVIDAW25ECOMD214989.jpg, 25.09.03-LIVIDAW25ECOMD215012.jpg, 25.09.03-LIVIDAW25ECOMD214994.jpg</t>
  </si>
  <si>
    <t>25.09.02-LIVID_AW25_ECOM_D1_01040.jpg, 25.09.02-LIVID_AW25_ECOM_D1_01049.jpg, 25.09.02-LIVID_AW25_ECOM_D1_01054.jpg, 25.09.02-LIVID_AW25_ECOM_D1_01061.jpg, 25.09.02-LIVID_AW25_ECOM_D1_01068.jpg, 25.09.02-LIVID_AW25_ECOM_D1_01075.jpg, 25.09.02-LIVID_AW25_ECOM_D1_01076.jpg, 25.09.02-LIVID_AW25_ECOM_D1_01081.jpg, 25.09.02-LIVID_AW25_ECOM_D1_01084.jpg, 25.09.02-LIVID_AW25_ECOM_D1_01087.jpg, 25.09.02-LIVID_AW25_ECOM_D1_01091.jpg</t>
  </si>
  <si>
    <t>Made in Portugal
Combining a boxy fit with versitile functionality, our Pen jacket is a warming short jacket in cold autumn weather, and transtions to a perfect midlayer under a coat in the coldest winters. 
Made with an ultralight technical material made by Olmetex in Italy, and insulated with Primaloft silver, the Pen jacket protects you against the elements with comfortable warmth. The boxy fit with dropped shoulders, a relaxed body and slightly cropped length makes it a perfect layering piece. Riri button fastening at the cuffs and side seams let you easily adjust the fit. Hand warmer pockets at the waist.</t>
  </si>
  <si>
    <t>pen-fitguide</t>
  </si>
  <si>
    <t>Pen.Black.Tech.jpg</t>
  </si>
  <si>
    <t>Male model is 187cm tall and wearing a size xlarge, Female model is 175cm tall and wearing size medium</t>
  </si>
  <si>
    <t>- Technical fabric made by Olmetex, Italy
- 100% polyamide fabric
- Ultralight, breathable and water repellent
- Insulated with Primaloft Silver
- Two-way silver zipper made by YKK
- Riri snap button fastening at cuffs and side hems
- Made at Stork in Portugal</t>
  </si>
  <si>
    <t>&lt;div class='jdgm-rev-widg' data-updated-at='2025-09-16T08:44:21Z'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</si>
  <si>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Pen Eclipse Tech</t>
  </si>
  <si>
    <t>Pen Eclipse Tech - Jacket</t>
  </si>
  <si>
    <t>25.09.03-LIVID_AW25_ECOM_D214779.jpg, 25.09.03-LIVID_AW25_ECOM_D214822.jpg, 25.09.03-LIVID_AW25_ECOM_D214819.jpg, 25.09.03-LIVID_AW25_ECOM_D214825.jpg, 25.09.03-LIVID_AW25_ECOM_D214831.jpg, 25.09.03-LIVID_AW25_ECOM_D214846.jpg, 25.09.03-LIVID_AW25_ECOM_D214851.jpg, 25.09.03-LIVID_AW25_ECOM_D214837.jpg, 25.09.03-LIVID_AW25_ECOM_D214839.jpg, 25.09.03-LIVID_AW25_ECOM_D214843.jpg, 25.09.03-LIVID_AW25_ECOM_D214854.jpg</t>
  </si>
  <si>
    <t>25.09.02-LIVID_AW25_ECOM_D1_00966.jpg, 25.09.02-LIVID_AW25_ECOM_D1_00984.jpg, 25.09.02-LIVID_AW25_ECOM_D1_00999.jpg, 25.09.02-LIVID_AW25_ECOM_D1_01001.jpg, 25.09.02-LIVID_AW25_ECOM_D1_00980.jpg, 25.09.02-LIVID_AW25_ECOM_D1_01006.jpg, 25.09.02-LIVID_AW25_ECOM_D1_01008.jpg, 25.09.02-LIVID_AW25_ECOM_D1_01013.jpg, 25.09.02-LIVID_AW25_ECOM_D1_01016.jpg, 25.09.02-LIVID_AW25_ECOM_D1_01019.jpg, 25.09.02-LIVID_AW25_ECOM_D1_01021.jpg</t>
  </si>
  <si>
    <t>keri-japan-black, tiki-silk-white</t>
  </si>
  <si>
    <t>&lt;div class='jdgm-rev-widg' data-updated-at='2025-11-15T13:55:20Z' data-average-rating='5.00' data-number-of-reviews='1' data-number-of-questions='0' data-image-url='https://cdn.shopify.com/s/files/1/1394/5977/files/25.09.03-LIVID_AW25_ECOM_D214779.jpg?v=1757596816'&gt; &lt;style class='jdgm-temp-hiding-style'&gt;.jdgm-rev-widg{ display: none }&lt;/style&gt; &lt;div class='jdgm-rev-widg__header'&gt; &lt;h2 class='jdgm-rev-widg__title'&gt;Customer Reviews&lt;/h2&gt;   &lt;div class='jdgm-rich-snippet' itemprop='aggregateRating' itemscope itemtype='http://schema.org/AggregateRating'&gt; &lt;meta itemprop='reviewCount' content='1'&gt; &lt;meta itemprop='ratingValue' content='5.00'&gt; &lt;/div&gt;   &lt;div class='jdgm-rev-widg__summary'&gt; &lt;div class='jdgm-rev-widg__summary-stars' aria-label='Average rating is 5.00 stars' role='img'&gt; &lt;span class='jdgm-star jdgm--on'&gt;&lt;/span&gt;&lt;span class='jdgm-star jdgm--on'&gt;&lt;/span&gt;&lt;span class='jdgm-star jdgm--on'&gt;&lt;/span&gt;&lt;span class='jdgm-star jdgm--on'&gt;&lt;/span&gt;&lt;span class='jdgm-star jdgm--on'&gt;&lt;/span&gt; &lt;/div&gt; &lt;div class='jdgm-rev-widg__summary-text'&gt;Based on 1 review&lt;/div&gt; &lt;/div&gt; &lt;a style='display: none' href='#' class='jdgm-write-rev-link' role='button'&gt;Write a review&lt;/a&gt; &lt;div class='jdgm-histogram jdgm-temp-hidden'&gt;  &lt;div class='jdgm-histogram__row' data-rating='5' data-frequency='1' data-percentage='100'&gt;  &lt;div class='jdgm-histogram__star' role='button' aria-label="100% (1)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100%;'&gt; &lt;/div&gt; &lt;/div&gt; &lt;div class='jdgm-histogram__percentage'&gt;100%&lt;/div&gt; &lt;div class='jdgm-histogram__frequency'&gt;(1)&lt;/div&gt;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 class='jdgm-rev jdgm-divider-top' data-verified-buyer='true' data-review-id='192d66f4-08c4-42c9-9794-96984e6c824c' data-review-language='' data-product-title='Pen Eclipse Tech' data-product-url='/products/pen-eclipse-tech' data-thumb-up-count='0' data-thumb-down-count='0'&gt; &lt;div class='jdgm-rev__header'&gt;  &lt;div class='jdgm-rev__icon' &gt; A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data-content='2025-11-15 13:53:52 UTC'&gt;&lt;/span&gt;    &lt;div class='jdgm-rev__br'&gt;&lt;/div&gt; &lt;span class='jdgm-rev__buyer-badge-wrapper'&gt; &lt;span class='jdgm-rev__buyer-badge'&gt;&lt;/span&gt; &lt;/span&gt; &lt;span class='jdgm-rev__author-wrapper'&gt; &lt;span class='jdgm-rev__author'&gt;Anonymous&lt;/span&gt; &lt;span class='jdgm-rev__location' &gt;  &lt;/span&gt;  &lt;/span&gt; &lt;/div&gt; &lt;div class='jdgm-rev__content'&gt;  &lt;div class='jdgm-rev__custom-form'&gt;  &lt;/div&gt; &lt;b class='jdgm-rev__title'&gt;this is my favourite jacket ever&lt;/b&gt; &lt;div class='jdgm-rev__body'&gt;&lt;p&gt;this is my favourite jacket ever. it's quite expensive but i love it so much.&lt;/p&gt;&lt;/div&gt; &lt;div class='jdgm-rev__pics'&gt;  &lt;/div&gt; &lt;div class='jdgm-rev__vids'&gt;   &lt;/div&gt; &lt;div class='jdgm-rev__transparency-badge-wrapper'&gt;  &lt;/div&gt; &lt;/div&gt; &lt;div class='jdgm-rev__actions'&gt; &lt;div class='jdgm-rev__social'&gt;&lt;/div&gt; &lt;div class='jdgm-rev__votes'&gt;&lt;/div&gt; &lt;/div&gt; &lt;div class='jdgm-rev__reply'&gt;  &lt;/div&gt; &lt;/div&gt;&lt;/div&gt; &lt;div class='jdgm-paginate' data-per-page='5' data-url='https://api.judge.me/reviews/reviews_for_widget' style="display: none;"&gt;&lt;/div&gt;  &lt;/div&gt; &lt;div class='jdgm-rev-widg__paginate-spinner-wrapper'&gt; &lt;div class='jdgm-spinner'&gt;&lt;/div&gt; &lt;/div&gt; &lt;/div&gt;</t>
  </si>
  <si>
    <t>pull-graphite-fluff</t>
  </si>
  <si>
    <t>Pull Graphite Fluff</t>
  </si>
  <si>
    <t>Pull Graphite Fluff - Knitwear</t>
  </si>
  <si>
    <t>Brushed alpaca zip cardigan, with a soft and fluffy texture.</t>
  </si>
  <si>
    <t>Made in China
Pull, our hefty alpaca zip-sweater. Made with a stand up collar and a two-way zip, with dropped shoulders, a relaxed fit and a straight hem.
Knitted in a chunky, soft and extra fluffy alpaca yarn. The pure alpaca is spun around a nylon core for durability, with a touch of spandex to keep its shape over time.</t>
  </si>
  <si>
    <t>pull-fitguide</t>
  </si>
  <si>
    <t>- 82% Alpaca, 16% Nylon, 2% Spandex
- Alpaca yarn spun by QCYarn, China
- Soft, elastic and super resistant.
- Knitted by Springair in China</t>
  </si>
  <si>
    <t>&lt;div class='jdgm-rev-widg' data-updated-at='2025-09-16T08:47:36Z' data-average-rating='0.00' data-number-of-reviews='0' data-number-of-questions='0' data-image-url='https://cdn.shopify.com/s/files/1/1394/5977/files/25.09.03-LIVIDAW25ECOMD214856.jpg?v=1757596994'&gt;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</si>
  <si>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Richmond 2-pack Grey Melange</t>
  </si>
  <si>
    <t>Richmond 2-pack Grey Melange - T-Shirt</t>
  </si>
  <si>
    <t>richmond-2-pack-white, richmond-2-pack-black, richmond-2-pack-light-grey, richmond-2-pack-navy</t>
  </si>
  <si>
    <t>Richmond, our staple T-shirt 2-pack. A regular slim fit, free of logos.</t>
  </si>
  <si>
    <t>Made in Portugal 
From our Core line comes our staple tee Richmond in a 2-pack. Made from a pre-shrunk 6.5 Oz heavy 100% cotton jersey exclusively made for Livid in Portugal. This particular fabric has been used in our t-shirts since our very first Richmond tee in 2013, and has become very popular due to its durability and comfortable hand feel. 
Richmond is classic tee, constructed in a regular slim fit.</t>
  </si>
  <si>
    <t>richmond-fitguide</t>
  </si>
  <si>
    <t>- 2-Pack tee
- 100% cotton
- 220 gsm pre-shrunk jersey
- Knitted by Etevimol in Portugal
- Fine rib collar 
- Top stitched shoulder seams
- Poly core cotton thread
- Made at Texgoios in Portugal</t>
  </si>
  <si>
    <t>&lt;div class='jdgm-rev-widg' data-updated-at='2025-09-01T10:39:58Z' data-average-rating='0.00' data-number-of-reviews='0' data-number-of-questions='0' data-image-url='https://cdn.shopify.com/s/files/1/1394/5977/files/LIVID-AW25-ECOM_46.jpg?v=1756284086'&gt;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</si>
  <si>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rickon-white</t>
  </si>
  <si>
    <t>Rickon White</t>
  </si>
  <si>
    <t>Rickon White - Longsleeve</t>
  </si>
  <si>
    <t>Rickon, our regular slim staple longsleeve.</t>
  </si>
  <si>
    <t>Made in Portugal 
From our Core line comes our staple longsleeve Rickon. Made in a lightweight 150 gsm cotton jersey making it ideal for use as an undershirt or on its own.
Based on our popular basic tee Richmond, Rickon is constructed in a regular slim fit, featuring long sleeves.</t>
  </si>
  <si>
    <t>rickon-fitguide</t>
  </si>
  <si>
    <t>- 100% cotton
- 150 gsm pre-shrunk jersey
- Knitted by Etevimol in Portugal
- Fine rib collar
- Poly core cotton thread
- Made at Texgoios in Portugal</t>
  </si>
  <si>
    <t>&lt;div class='jdgm-rev-widg' data-updated-at='2025-09-01T10:39:58Z' data-average-rating='0.00' data-number-of-reviews='0' data-number-of-questions='0' data-image-url='https://cdn.shopify.com/s/files/1/1394/5977/files/LIVID-AW25-ECOM_54.jpg?v=1756284203'&gt;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</si>
  <si>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siren-japan-black-dusk</t>
  </si>
  <si>
    <t>Siren Japan Black Dusk</t>
  </si>
  <si>
    <t>Siren Japan Black Dusk - Jeans</t>
  </si>
  <si>
    <t>siren-japan-era</t>
  </si>
  <si>
    <t>teta-grey-melange</t>
  </si>
  <si>
    <t>Our rigid straight, Siren, in a slightly washed black.</t>
  </si>
  <si>
    <t>Made in Portugal
Introducing Siren. An updated take on the classic straight. Mid-rise, with a straight waist, a flat front and a confident straight silhouette.
In our slightly broken-in Japan Black Dusk wash. Made in a solid 13 Oz 100% cotton denim from the renowned Japanese denim mill Kuroki. Soft to the touch, the Japan Black Dusk is deep black with subtle fading at the the seams.</t>
  </si>
  <si>
    <t>siren-fitguide</t>
  </si>
  <si>
    <t>SIREN_BLACK_DUSK.jpg</t>
  </si>
  <si>
    <t>Female model is 174cm and wearing 26/34.</t>
  </si>
  <si>
    <t>- 13 Oz wideloom denim from Kuroki, Japan
- 100% Sanforized cotton
- Warp &amp; Weft sulphur dyed black
- 8 Oz. ecru canvas pocketing
- Black leather patch w/ wax treatment, Made in Italy.
- YKK two-prong, silver button and zip fly
- YKK solid copper washed-burr rivets
- Stitched with durable poly core cotton thread
- Made at Lisama, Portugal</t>
  </si>
  <si>
    <t>&lt;div class='jdgm-rev-widg' data-updated-at='2025-10-24T12:57:45Z' data-average-rating='0.00' data-number-of-reviews='0' data-number-of-questions='0' data-image-url='https://cdn.shopify.com/s/files/1/1394/5977/files/25.10.15-LIVID_AW25-DAG618917.jpg?v=1761310120'&gt;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</si>
  <si>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Siren Japan Era</t>
  </si>
  <si>
    <t>Siren Japan Era - Jeans</t>
  </si>
  <si>
    <t>Our rigid straight, Siren, in a vintage mid-blue wash.</t>
  </si>
  <si>
    <t>Made in Portugal
Introducing Siren. An updated take on the classic straight. Mid-rise, with a straight waist, a flat front and a confident straight silhouette.
In our faded mid-blue wash, Japan Era. Made with a 13 Oz. 100% cotton, indigo wideloom denim woven by the renowned Japanese denim mill, Kuroki. Washed to a soft shade of indigo with subtle wear patterns for a classic vintage look.</t>
  </si>
  <si>
    <t>SIRENJAPANERA.jpg</t>
  </si>
  <si>
    <t>- Mid-blue washed rope-dyed indigo denim
- 13 Oz wideloom denim from Kuroki, Japan
- 100% Sanforized cotton
- Warp dyed in indigo, natural coloured weft
- 8 Oz ecru canvas pocketing
- Natural leather patch w/ wax treatment, Made in Italy.
- YKK two-prong silver button fly
- YKK solid copper washed-burr rivets
- Stitched with poly-core cotton thread
- Made at Lisama, Portugal</t>
  </si>
  <si>
    <t>&lt;div class='jdgm-rev-widg' data-updated-at='2025-09-16T08:45:06Z' data-average-rating='0.00' data-number-of-reviews='0' data-number-of-questions='0' data-image-url='https://cdn.shopify.com/s/files/1/1394/5977/files/25.09.02-LIVIDAW25ECOMD1_01311.jpg?v=1757938737'&gt;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</si>
  <si>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stack-black</t>
  </si>
  <si>
    <t>Stack Black</t>
  </si>
  <si>
    <t>Stack Black - Knitwear</t>
  </si>
  <si>
    <t>stack-charcoal</t>
  </si>
  <si>
    <t>Polo style cardigan knitted in a light alpaca/merino yarn.</t>
  </si>
  <si>
    <t>Made in China
Stack, our lightweight and warm buttoned cardigan. Made with a polo style collar, slightly dropped shoulders and regular straight body. Finished with mother of pearl buttons.
Knitted in an alpaca/merino blend yarn, with a soft and fuzzy handfeel. Lightweight and warm, spun around a nylon core for durability, with a touch of elastane to keep its shape over time.</t>
  </si>
  <si>
    <t>- 32% Alpaca, 32% Merino, 30% Nylon, 6% Elastan
- Alpaca yarn spun by Topline, China
- Soft, light and resistant
- Mother of pearl buttons
- Knitted by Springair in China</t>
  </si>
  <si>
    <t>&lt;div class='jdgm-rev-widg' data-updated-at='2025-09-16T08:47:35Z' data-average-rating='0.00' data-number-of-reviews='0' data-number-of-questions='0' data-image-url='https://cdn.shopify.com/s/files/1/1394/5977/files/25.09.03-LIVIDAW25ECOMD214823.jpg?v=1757597060'&gt;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</si>
  <si>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Stack Charcoal</t>
  </si>
  <si>
    <t>Stack Charcoal - Knitwear</t>
  </si>
  <si>
    <t>&lt;div class='jdgm-rev-widg' data-updated-at='2025-09-16T08:47:35Z' data-average-rating='0.00' data-number-of-reviews='0' data-number-of-questions='0' data-image-url='https://cdn.shopify.com/s/files/1/1394/5977/files/25.09.03-LIVIDAW25ECOMD214893.jpg?v=1757597122'&gt;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</si>
  <si>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tate-charcoal</t>
  </si>
  <si>
    <t>Tate Charcoal</t>
  </si>
  <si>
    <t>Tate Charcoal - Knitwear</t>
  </si>
  <si>
    <t>tate-black</t>
  </si>
  <si>
    <t>Tate, our boiled merino wool crewneck sweater.</t>
  </si>
  <si>
    <t xml:space="preserve">Made in China 
Made in pure merino wool, boiled to acheive a perfect balance between warmth, breathabilty and softness. The weight of the boiled merino wool gives the Tate sweater a soft and heavy drape.
Designed with dropped shoulders, a straight boxy fit, with a ribbed hem that hangs straight, with splits at the sides. </t>
  </si>
  <si>
    <t>tate-fitguide</t>
  </si>
  <si>
    <t>&lt;div class='jdgm-rev-widg' data-updated-at='2025-09-12T08:28:03Z' data-average-rating='0.00' data-number-of-reviews='0' data-number-of-questions='0' data-image-url='https://cdn.shopify.com/s/files/1/1394/5977/files/25.08.22-LIVIDAW25ECOM14213.jpg?v=1757588527'&gt;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</si>
  <si>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tia-japan-new-blue</t>
  </si>
  <si>
    <t>Tia Japan New Blue</t>
  </si>
  <si>
    <t>Tia Japan New Blue - Jeans</t>
  </si>
  <si>
    <t>tia-japan-indigo, tia-japan-black, tia-vapor</t>
  </si>
  <si>
    <t>Our high-waisted straight, in our mid-blue wash.</t>
  </si>
  <si>
    <t>Made in Portugal
Our high-rise straight leg, Tia. Constructed with a high back- and front- rise that is curved and fitted through the hip and seat, then straight from top of thigh all the way down, ending in a medium wide leg opening.
In our mid-blue wash, the Japan New Blue. Made from a beautiful mid-weight wideloom denim woven at the renowned Japanese fabric mill, Kuroki. This particular fabric was developed by Kuroki, to be a comfortable stretch denim that both looks and ages as a rigid (100% cotton) denim. That is also why this denim has been one of the most widely used denim qualities throughout our collections, now being the fabric of choice for most of our comfort range. A super versatile denim, beautiful in all types of shades in addition to providing great comfort, stretch and recovery after wear. A safe choice for all who loves a pair of genuine fitting jeans in their wardrobe.</t>
  </si>
  <si>
    <t>tia-fitguide</t>
  </si>
  <si>
    <t>TIAJAPANNEWBLUE__2.jpg</t>
  </si>
  <si>
    <t>- 13 Oz comfort wideloom denim from Kuroki, Japan. 
- 98% cotton / 2% polyurethane
- Warp dyed in indigo, natural coloured weft
- 5 Oz ecru canvas pocketing 
- Tanned leather patch w/ wax treatment, Made in Italy. 
- YKK two-prong silver button and zip fly
- YKK solid copper washed-burr rivets
- Stitched with poly core cotton thread
- Made at Lisama, Portugal</t>
  </si>
  <si>
    <t>&lt;div class='jdgm-rev-widg' data-updated-at='2025-10-24T12:05:40Z' data-average-rating='0.00' data-number-of-reviews='0' data-number-of-questions='0' data-image-url='https://cdn.shopify.com/s/files/1/1394/5977/files/25.10.15-LIVID_AW25-DAG619104.jpg?v=1761307410'&gt;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</si>
  <si>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tiki-silk-black</t>
  </si>
  <si>
    <t>Tiki Black Silk</t>
  </si>
  <si>
    <t>Tiki Black Silk - Shirt</t>
  </si>
  <si>
    <t>tiki-silk-white</t>
  </si>
  <si>
    <t>Our maxi-fit shirt, Tiki, in a pure fine silk.</t>
  </si>
  <si>
    <t>Made in China
Our maxi-fit shirt Tiki. Made with a lightweight 100% fine silk fabric, lending it a gentle sheen, fluid drape and smooth comfort against the skin.
Tiki is designed with a generous straight cut, featuring a clean front placket, box pleat at the back yoke, curved hem, and pleats at cuff. Mother of pearl buttons at cuffs and placket. Tiki is designed with a generous straight cut, featuring a clean front placket, box pleat at the back yoke, curved hem, and pleats at cuff. Mother of pearl buttons at cuffs and placket.</t>
  </si>
  <si>
    <t>- 100% silk
- Silk fabric woven by Jianxin Silk in China
- Mother of pearl buttons
- Sewn with durable poly core cotton threads
- Cut &amp; sewn by Yinmao in China</t>
  </si>
  <si>
    <t>&lt;div class='jdgm-rev-widg' data-updated-at='2025-09-16T08:47:35Z' data-average-rating='0.00' data-number-of-reviews='0' data-number-of-questions='0' data-image-url='https://cdn.shopify.com/s/files/1/1394/5977/files/25.09.02-LIVIDAW25ECOMD1_01387.jpg?v=1757938784'&gt;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</si>
  <si>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Tiki White Silk</t>
  </si>
  <si>
    <t>Tiki White Silk - Shirt</t>
  </si>
  <si>
    <t>&lt;div class='jdgm-rev-widg' data-updated-at='2025-09-16T08:47:34Z' data-average-rating='0.00' data-number-of-reviews='0' data-number-of-questions='0' data-image-url='https://cdn.shopify.com/s/files/1/1394/5977/files/25.09.02-LIVIDAW25ECOMD1_01121.jpg?v=1757938870'&gt;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</si>
  <si>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tim-black-bonded</t>
  </si>
  <si>
    <t>Tim Black Bonded</t>
  </si>
  <si>
    <t>Tim Black Bonded - Shirt</t>
  </si>
  <si>
    <t>tim-milk-bonded, tim-celeste-pop</t>
  </si>
  <si>
    <t>Tim, our oversized unisex shirt.</t>
  </si>
  <si>
    <t>25.10.31-LIVID_AW25-DAG7_20196_fc589821-ab08-43ba-b451-4ba03c055285.jpg, 25.10.31-LIVID_AW25-DAG7_18397_ffb5bdab-2fa7-43fc-aff9-b9f062432c33.jpg, 25.10.31-LIVID_AW25-DAG7_18378_ea2ab3d1-368b-4820-a155-9ddbaf525be8.jpg, 25.10.31-LIVID_AW25-DAG7_18381_fa58f17d-1339-4eec-aab8-4ed07675692c.jpg, 25.10.31-LIVID_AW25-DAG7_18387_419417b0-0e50-48f2-9bde-6cd91c12e43a.jpg, 25.10.31-LIVID_AW25-DAG7_18391_07e89ff2-6dd0-408d-8ae8-09750397e073.jpg, 25.10.31-LIVID_AW25-DAG7_18395_b4daf396-3c7d-4a9a-af10-8fe13f9d4cc1.jpg</t>
  </si>
  <si>
    <t>25.10.07-LIVID_AW25-DAG4_01109.jpg, 25.10.07-LIVID_AW25-DAG4_01156.jpg, 25.10.07-LIVID_AW25-DAG4_01123.jpg, 25.10.07-LIVID_AW25-DAG4_01127.jpg, 25.10.07-LIVID_AW25-DAG4_01130.jpg, 25.10.07-LIVID_AW25-DAG4_01139.jpg, 25.10.07-LIVID_AW25-DAG4_01141.jpg, 25.10.07-LIVID_AW25-DAG4_01144.jpg, 25.10.07-LIVID_AW25-DAG4_01153.jpg, 25.10.07-LIVID_AW25-DAG4_01159.jpg, 25.10.07-LIVID_AW25-DAG4_01162.jpg</t>
  </si>
  <si>
    <t>Made in Portugal
Tim, a shorter version of our unisex big shirt. Tim features oversized proportions with very dropped shoulders and a very wide body, but with a classic length and a softer curved hem.
Made in a textured fabric, consisting of a loosely woven cotton fabric with a wobbly weave pattern, bonded to a loosely woven linen fabric. The resulting fabric has an added thickness, while still remaining lightweight. The two loose weaves make the shirt highly breathable, while trapping air and insulating when used as a midlayer.
Designed to be unisex, the sleeve lengths have a greater jump between sizes S and M. XS and S fit most women and shorter men, M and L fit most men and taller women.</t>
  </si>
  <si>
    <t>tim-fitguide-1</t>
  </si>
  <si>
    <t>25.10.07-LIVID_AW25-DAG3_01234.jpg</t>
  </si>
  <si>
    <t>{"scale_min":"1.0","scale_max":"5.0","value":"2.0"}</t>
  </si>
  <si>
    <t>- 60% cotton, 40% linen
- Woven by Somelos in Portugal, exclusively for Livid
- Mother of pearl buttons
- Stitched with durable poly-core cotton thread
- Cut &amp; sewn by Stork, Portugal</t>
  </si>
  <si>
    <t>&lt;div style='display:none' class='jdgm-prev-badge' data-average-rating='2.00' data-number-of-reviews='1' data-number-of-questions='0'&gt; &lt;span class='jdgm-prev-badge__stars' data-score='2.00' tabindex='0' aria-label='2.00 stars' role='button'&gt; &lt;span class='jdgm-star jdgm--on'&gt;&lt;/span&gt;&lt;span class='jdgm-star jdgm--on'&gt;&lt;/span&gt;&lt;span class='jdgm-star jdgm--off'&gt;&lt;/span&gt;&lt;span class='jdgm-star jdgm--off'&gt;&lt;/span&gt;&lt;span class='jdgm-star jdgm--off'&gt;&lt;/span&gt; &lt;/span&gt; &lt;span class='jdgm-prev-badge__text'&gt; 1 review &lt;/span&gt; &lt;/div&gt;</t>
  </si>
  <si>
    <t>&lt;div class='jdgm-rev-widg' data-updated-at='2025-11-08T23:11:52Z' data-average-rating='2.00' data-number-of-reviews='1' data-number-of-questions='0' data-image-url=''&gt; &lt;style class='jdgm-temp-hiding-style'&gt;.jdgm-rev-widg{ display: none }&lt;/style&gt; &lt;div class='jdgm-rev-widg__header'&gt; &lt;h2 class='jdgm-rev-widg__title'&gt;Customer Reviews&lt;/h2&gt;   &lt;div class='jdgm-rich-snippet' itemprop='aggregateRating' itemscope itemtype='http://schema.org/AggregateRating'&gt; &lt;meta itemprop='reviewCount' content='1'&gt; &lt;meta itemprop='ratingValue' content='2.00'&gt; &lt;/div&gt;   &lt;div class='jdgm-rev-widg__summary'&gt; &lt;div class='jdgm-rev-widg__summary-stars' aria-label='Average rating is 2.00 stars' role='img'&gt; &lt;span class='jdgm-star jdgm--on'&gt;&lt;/span&gt;&lt;span class='jdgm-star jdgm--on'&gt;&lt;/span&gt;&lt;span class='jdgm-star jdgm--off'&gt;&lt;/span&gt;&lt;span class='jdgm-star jdgm--off'&gt;&lt;/span&gt;&lt;span class='jdgm-star jdgm--off'&gt;&lt;/span&gt; &lt;/div&gt; &lt;div class='jdgm-rev-widg__summary-text'&gt;Based on 1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data-frequency='1' data-percentage='100'&gt;  &lt;div class='jdgm-histogram__star' role='button' aria-label="100% (1)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100%;'&gt; &lt;/div&gt; &lt;/div&gt; &lt;div class='jdgm-histogram__percentage'&gt;100%&lt;/div&gt; &lt;div class='jdgm-histogram__frequency'&gt;(1)&lt;/div&gt;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 class='jdgm-rev jdgm-divider-top' data-verified-buyer='true' data-review-id='095dc1eb-2dd8-422b-8062-05c5041bfeb0' data-review-language='' data-product-title='Tim Black Bonded' data-product-url='/products/tim-black-bonded' data-thumb-up-count='0' data-thumb-down-count='0'&gt; &lt;div class='jdgm-rev__header'&gt;  &lt;div class='jdgm-rev__icon' &gt; A &lt;/div&gt;  &lt;span class='jdgm-rev__rating' data-score='2' tabindex='0' aria-label='2 star review' role='img'&gt; &lt;span class='jdgm-star jdgm--on'&gt;&lt;/span&gt;&lt;span class='jdgm-star jdgm--on'&gt;&lt;/span&gt;&lt;span class='jdgm-star jdgm--off'&gt;&lt;/span&gt;&lt;span class='jdgm-star jdgm--off'&gt;&lt;/span&gt;&lt;span class='jdgm-star jdgm--off'&gt;&lt;/span&gt; &lt;/span&gt; &lt;span class='jdgm-rev__timestamp jdgm-spinner' data-content='2025-11-08 23:10:38 UTC'&gt;&lt;/span&gt;    &lt;div class='jdgm-rev__br'&gt;&lt;/div&gt; &lt;span class='jdgm-rev__buyer-badge-wrapper'&gt; &lt;span class='jdgm-rev__buyer-badge'&gt;&lt;/span&gt; &lt;/span&gt; &lt;span class='jdgm-rev__author-wrapper'&gt; &lt;span class='jdgm-rev__author'&gt;Anonymous&lt;/span&gt; &lt;span class='jdgm-rev__location' &gt;  &lt;/span&gt;  &lt;/span&gt; &lt;/div&gt; &lt;div class='jdgm-rev__content'&gt;  &lt;div class='jdgm-rev__custom-form'&gt;  &lt;/div&gt; &lt;b class='jdgm-rev__title'&gt;Really great when i first got it,ruined after 3 wears.&lt;/b&gt; &lt;div class='jdgm-rev__body'&gt;&lt;p&gt;Really great when i first got it. Looked beutiful on the hanger in-store. After just 2-3 wears thelinen outiside fabric started getting holes. The linen threads also gets pulledout, leaving a loop. As a hardcore livid fan, im kind of dissapointed in this one.&lt;/p&gt;&lt;/div&gt; &lt;div class='jdgm-rev__pics'&gt;  &lt;/div&gt; &lt;div class='jdgm-rev__vids'&gt;   &lt;/div&gt; &lt;div class='jdgm-rev__transparency-badge-wrapper'&gt;  &lt;/div&gt; &lt;/div&gt; &lt;div class='jdgm-rev__actions'&gt; &lt;div class='jdgm-rev__social'&gt;&lt;/div&gt; &lt;div class='jdgm-rev__votes'&gt;&lt;/div&gt; &lt;/div&gt; &lt;div class='jdgm-rev__reply'&gt;  &lt;/div&gt; &lt;/div&gt;&lt;/div&gt; &lt;div class='jdgm-paginate' data-per-page='5' data-url='https://api.judge.me/reviews/reviews_for_widget' style="display: none;"&gt;&lt;/div&gt;  &lt;/div&gt; &lt;div class='jdgm-rev-widg__paginate-spinner-wrapper'&gt; &lt;div class='jdgm-spinner'&gt;&lt;/div&gt; &lt;/div&gt; &lt;/div&gt;</t>
  </si>
  <si>
    <t>tim-celeste-pop</t>
  </si>
  <si>
    <t>Tim Celeste Pop</t>
  </si>
  <si>
    <t>Tim Celeste Pop - Shirt</t>
  </si>
  <si>
    <t>tim-black-bonded, tim-milk-bonded</t>
  </si>
  <si>
    <t>25.10.31-LIVID_AW25-DAG7_20161.jpg, 25.10.31-LIVID_AW25-DAG7_18322.jpg, 25.10.31-LIVID_AW25-DAG7_18325.jpg, 25.10.31-LIVID_AW25-DAG7_18327.jpg, 25.10.31-LIVID_AW25-DAG7_18330.jpg, 25.10.31-LIVID_AW25-DAG7_18333.jpg, 25.10.31-LIVID_AW25-DAG7_18337.jpg, 25.10.31-LIVID_AW25-DAG7_18340.jpg, 25.10.31-LIVID_AW25-DAG7_18342.jpg</t>
  </si>
  <si>
    <t>25.10.07-LIVID_AW25-DAG4_01173.jpg, 25.10.07-LIVID_AW25-DAG4_01192.jpg, 25.10.07-LIVID_AW25-DAG4_01193.jpg, 25.10.07-LIVID_AW25-DAG4_01199.jpg, 25.10.07-LIVID_AW25-DAG4_01188.jpg, 25.10.07-LIVID_AW25-DAG4_01201.jpg, 25.10.07-LIVID_AW25-DAG4_01209.jpg, 25.10.07-LIVID_AW25-DAG4_01212.jpg, 25.10.07-LIVID_AW25-DAG4_01215.jpg, 25.10.07-LIVID_AW25-DAG4_01218.jpg</t>
  </si>
  <si>
    <t>Made in Portugal
Tim, a shorter version of our unisex big shirt. Tim features oversized proportions with very dropped shoulders and a very wide body, but with a classic length and a softer curved hem.
Made in a crisp office stripe poplin designed and developed by Livid, and woven by Somelos in Portugal. This particular poplin has vibrant feel due to the subtle marl of the light blue yarns of the background colour.
Designed to be unisex, the sleeve lengths have a greater jump between sizes S and M. XS and S fit most women and shorter men, M and L fit most men and taller women.</t>
  </si>
  <si>
    <t>25.10.07-LIVID_AW25-DAG3_01275.jpg</t>
  </si>
  <si>
    <t>- 100% cotton poplin
- Woven by Somelos in Portugal, exclusively for Livid
- Mother of pearl buttons
- Stitched with durable poly-core cotton thread
- Cut &amp; sewn by Stork, Portugal</t>
  </si>
  <si>
    <t>&lt;div class='jdgm-rev-widg' data-updated-at='2025-09-16T08:47:34Z' data-average-rating='0.00' data-number-of-reviews='0' data-number-of-questions='0' data-image-url='https://cdn.shopify.com/s/files/1/1394/5977/files/25.09.03-LIVIDAW25ECOMD214735.jpg?v=1757597488'&gt;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</si>
  <si>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tim-milk-bonded</t>
  </si>
  <si>
    <t>Tim Milk Bonded</t>
  </si>
  <si>
    <t>Tim Milk Bonded - Shirt</t>
  </si>
  <si>
    <t>tim-black-bonded, tim-celeste-pop</t>
  </si>
  <si>
    <t>25.10.31-LIVID_AW25-DAG7_20062.jpg, 25.10.31-LIVID_AW25-DAG7_18198.jpg, 25.10.31-LIVID_AW25-DAG7_18200.jpg, 25.10.31-LIVID_AW25-DAG7_18207.jpg, 25.10.31-LIVID_AW25-DAG7_18212.jpg, 25.10.31-LIVID_AW25-DAG7_18215.jpg, 25.10.31-LIVID_AW25-DAG7_18218.jpg, 25.10.31-LIVID_AW25-DAG7_18220.jpg, 25.10.31-LIVID_AW25-DAG7_18222.jpg</t>
  </si>
  <si>
    <t>25.10.07-LIVID_AW25-DAG4_00017.jpg, 25.10.07-LIVID_AW25-DAG4_00024.jpg, 25.10.07-LIVID_AW25-DAG4_00029.jpg, 25.10.07-LIVID_AW25-DAG4_00036.jpg, 25.10.07-LIVID_AW25-DAG4_00038.jpg, 25.10.07-LIVID_AW25-DAG4_00042.jpg, 25.10.07-LIVID_AW25-DAG4_00045.jpg, 25.10.07-LIVID_AW25-DAG4_00049.jpg, 25.10.07-LIVID_AW25-DAG4_00059.jpg, 25.10.07-LIVID_AW25-DAG4_00065.jpg, 25.10.07-LIVID_AW25-DAG4_00068.jpg, 25.10.07-LIVID_AW25-DAG4_00069.jpg</t>
  </si>
  <si>
    <t>25.10.07-LIVID_AW25-DAG3_00637.jpg</t>
  </si>
  <si>
    <t>beth-japan-black-dusk, kora-black</t>
  </si>
  <si>
    <t>&lt;div class='jdgm-rev-widg' data-updated-at='2025-09-16T08:47:33Z' data-average-rating='0.00' data-number-of-reviews='0' data-number-of-questions='0' data-image-url='https://cdn.shopify.com/s/files/1/1394/5977/files/25.09.03-LIVIDAW25ECOMD214815.jpg?v=1757597552'&gt;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</si>
  <si>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toucan-charcoal</t>
  </si>
  <si>
    <t>Toucan Charcoal</t>
  </si>
  <si>
    <t>Toucan Charcoal - Longsleeve</t>
  </si>
  <si>
    <t>toucan-black, toucan-white</t>
  </si>
  <si>
    <t xml:space="preserve">Made in Portugal
Our rib longsleeve top Toucan. Made in a light rib jersey knitted in a fine cotton yarn giving a light feeling against the skin.
Toucan is designed with a bateau neckline and fitted long sleeves. The lapped shoulder construction allows the Toucan to be worn off-the shoulder, lending a relaxed but fitted appearance to the body. </t>
  </si>
  <si>
    <t>- 100% cotton
- Pre-shrunk rib jersey, knitted at Etevimol, Portugal
- Sewn with durable poly-core cotton thread
- Made at Texgoios in Portugal</t>
  </si>
  <si>
    <t>&lt;div class='jdgm-rev-widg' data-updated-at='2025-09-16T08:45:45Z' data-average-rating='0.00' data-number-of-reviews='0' data-number-of-questions='0' data-image-url='https://cdn.shopify.com/s/files/1/1394/5977/files/25.09.02-LIVIDAW25ECOMD1_00411.jpg?v=1757938930'&gt;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</si>
  <si>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dunn-navy-2</t>
  </si>
  <si>
    <t>Dunn Navy</t>
  </si>
  <si>
    <t>Dunn Navy - Cap</t>
  </si>
  <si>
    <t>dunn-green, dunn-moon, dunn-grisalle, dunn-black-2, dunn-japan-optic</t>
  </si>
  <si>
    <t>&lt;div class='jdgm-rev-widg' data-updated-at='2025-09-01T10:39:58Z' data-average-rating='0.00' data-number-of-reviews='0' data-number-of-questions='0' data-image-url='https://cdn.shopify.com/s/files/1/1394/5977/files/LIVID-AW25-ECOM_79.jpg?v=1756283326'&gt;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</si>
  <si>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henrey-japan-indigo-dusk-1</t>
  </si>
  <si>
    <t>Henrey Japan Indigo Dusk</t>
  </si>
  <si>
    <t>Henrey Japan Indigo Dusk - Shirt</t>
  </si>
  <si>
    <t>henrey-fade-oak-twill, henrey-graphite-twill</t>
  </si>
  <si>
    <t>Henrey, our regular fit denim shirt.</t>
  </si>
  <si>
    <t>Made in Portugal
From our Core line comes our Oxford-style denim shirt, Henrey. Made with a regular fit, featuring a wide button-down collar, softly curved hems, a single chest pocket and a center hanger loop at the back yoke. 
Made in a 7 Oz. denim woven by the artisinal denim mill Collect in Japan washed to a deep shade of indigo. Finished with mother of pearl buttons, with an extra button added to the cuffs, allowing an adjustable fit arond the wrists.</t>
  </si>
  <si>
    <t>- 100% cotton
- 7 Oz. denim woven by Collect in Japan
- Mother of pearl buttons
- Extra button at the cuff, allowing a tighter adjustment at the wrist
- Hanger loop at back yoke
- Made at Stork, in Portugal</t>
  </si>
  <si>
    <t>&lt;div class='jdgm-rev-widg' data-updated-at='2025-09-12T08:27:56Z' data-average-rating='0.00' data-number-of-reviews='0' data-number-of-questions='0' data-image-url='https://cdn.shopify.com/s/files/1/1394/5977/files/25.08.22-LIVIDAW25ECOM14171.jpg?v=1757586207'&gt;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</si>
  <si>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burley-japan-shadow-1</t>
  </si>
  <si>
    <t>Burley Japan Shadow</t>
  </si>
  <si>
    <t>Burley Japan Shadow - Jeans</t>
  </si>
  <si>
    <t>nelson-black</t>
  </si>
  <si>
    <t>Our maxi-fit jeans, Burley, in a contrasted washed black.</t>
  </si>
  <si>
    <t>Made in Portugal
The Burley, our maxi fit jeans. With a super high rise the Burley is slim at the waistband, curving out to give ample room at the hip, flowing down to a wide leg opening of 29 cm in a size 31. Constructed with a sewn-in pleat running down each leg, showing off varying shades of grey in the fold.
The Japan Shadow. Made with a 13.8 Oz 100% cotton, black wideloom denim woven by the artisanal Japanese denim mill, Collect. Washed down to a contrasted greying black.</t>
  </si>
  <si>
    <t>BURLEY_JAPAN_SHADOW.jpg</t>
  </si>
  <si>
    <t>Model is 189cm tall and wearing a size 30/34</t>
  </si>
  <si>
    <t>- 13.8 Oz wideloom denim from Collect, Japan
- 100% Sanforized cotton
- Warp &amp; Weft sulphur dyed black
- 8 Oz 5 Oz ecru canvas pocketing
- Vegetable tanned leather patch w/ wax treatment, Made in Italy.
- YKK two-prong silver button and zip fly
- YKK solid copper rivets
- Stitched with durable poly core cotton thread
- Made at Lisama, Portugal</t>
  </si>
  <si>
    <t>&lt;div class='jdgm-rev-widg' data-updated-at='2025-10-28T12:10:27Z' data-average-rating='0.00' data-number-of-reviews='0' data-number-of-questions='0' data-image-url='https://cdn.shopify.com/s/files/1/1394/5977/files/25.10.15-LIVIDAW25-DAG518048.jpg?v=1761312295'&gt;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</si>
  <si>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edvard-japan-black-comfort</t>
  </si>
  <si>
    <t>Edvard Japan Black Comfort</t>
  </si>
  <si>
    <t>edvard-japan-blue, edvard-japan-indigo</t>
  </si>
  <si>
    <t>Made from premium black comfort denim at Kuroki, this fabric is dyed to maintain its dark shade longer, fading in contrast after wear with a special rope dye technique.</t>
  </si>
  <si>
    <t>care-jeans-black</t>
  </si>
  <si>
    <t>Made in Portugal
The Japan Black Comfort. Made from a 10,6 Oz black comfort wideloom denim woven at the renowned Japanese fabric mill, Kuroki. This particular fabric have been made with a premium black sulphur dye that keep the dark shade longer than most fabrics in the same segment. While all black denim loose colour, this particular denim fades in contrast after wear. This is due a special technique called rope dye, whereas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All black denim will loose its colour. Some transform into a dull grey version of itself, but this particular denim, fades in contrast giving more and more life, resulting in a denim that only get more beautiful with age.
Another small detail. The surface of this particular denim has been an anti-dust treatment, preventing lint from attaching to the surface of the fabric. 
Details &amp; Features
- 10,6 Oz comfort wideloom denim from Kuroki, Japan
- 96% cotton / 4% polyurethane
- Warp &amp; weft dyed in black
- 5 Oz ecru canvas pocketing
- Black leather patch w/ wax treatment. Made in Italy
- YKK two-prongtack, silver button and zip fly
- YKK solid copper washed-burr rivets
- Stitched with poly core cotton thread
- Made at Lisama, Portugal
Model is 183 cm and wears a size 31/32
Go to our fitguide to read more about the Edvard skinny fit.
Available sizes are 27-36 in 32″ inseam and 29-36 in 34″ inseam.</t>
  </si>
  <si>
    <t>edvard-fitguide</t>
  </si>
  <si>
    <t>[{"order" : "1","handle" : "shane-white-1","title" : "Shane White","imgsrc" : "https://cdn.shopify.com/s/files/1/1394/5977/products/Shane-White1.jpg?v=1489662271"},{"order" : "2","handle" : "joshua-japan-dubby-indigo","title" : "Joshua Japan Dobby Indigo","imgsrc" : "https://cdn.shopify.com/s/files/1/1394/5977/products/Joshua-Japan-Dubby-Indigo1-date.jpg?v=1489661413"},{"order" : "3","handle" : "joshua-japan-bullet-blue","title" : "Joshua Japan Bullet Blue","imgsrc" : "https://cdn.shopify.com/s/files/1/1394/5977/products/Joshua-Japan-Bullet-blue1.jpg?v=1490166909"},{"order" : "4","handle" : "buttero-b4006-brown","title" : "Buttero Brown","imgsrc" : "https://cdn.shopify.com/s/files/1/1394/5977/products/IMG_7138.jpg?v=1474014431"}]</t>
  </si>
  <si>
    <t>204</t>
  </si>
  <si>
    <t>{"products":{"6177c6bcaccbb81b0b000627":["MEN_Jeans"]},"updated_at":"2021-10-26T09:49:11.37830893Z"}</t>
  </si>
  <si>
    <t>var-japan-black-comfort</t>
  </si>
  <si>
    <t>Vår Japan Black Comfort</t>
  </si>
  <si>
    <t>var-japan-indigo-rinse</t>
  </si>
  <si>
    <t>Made with premium black sulphur dye, this fabric from Kuroki keeps its dark shade longer, offering a contrast fade after wear through a special rope dye technique.</t>
  </si>
  <si>
    <t>Made in Portugal
The Japan Black Comfort. Made from a 10,6 Oz black comfort wideloom denim woven at the renowned Japanese fabric mill, Kuroki. This particular fabric have been made with a premium black sulphur dye that keep the dark shade longer than most fabrics in the same segment. While all black denim loose colour, this particular denim fades in contrast after wear. This is due a special technique called rope dye, whereas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All black denim will loose its colour. Some transform into a dull grey version of itself, but this particular denim, fades in contrast giving more and more life, resulting in a denim that only get more beautiful with age.
Another small detail. The surface of this particular denim has been an anti-dust treatment, preventing lint from attaching to the surface of the fabric. 
Details &amp; Features
- 10,6 Oz comfort wideloom denim from Kuroki, Japan
- 96% cotton / 4% polyurethane
- Warp &amp; weft dyed in black
- 5 Oz ecru canvas pocketing
- Black leather patch w/ wax treatment. Made in Italy
- YKK two-prongtack, silver button and zip fly
- YKK solid copper washed-burr rivets
- Stitched with poly core cotton thread
- Made at Lisama, Portugal
Model is 178 cm and wears a size 26/34
Go to our fitguide to read more about the Vår skinny fit.
Available sizes are 24-34 in 32″ inseam and 26-34 in 34″ inseam.</t>
  </si>
  <si>
    <t>var-fitguide</t>
  </si>
  <si>
    <t>[{"order" : "1","handle" : "pin-up-short-indigo-mix","title" : "Wrangler by Peter Max PIN UP SHORT ...","imgsrc" : "https://cdn.shopify.com/s/files/1/1394/5977/products/Wrangler_Peter_Max_-_PIN_UP_SHORT_INDIGO_MIX.JPG?v=1495794879"},{"order" : "2","handle" : "smile-sweat-offwhite-women","title" : "Wrangler by Peter Max SMILE SWEAT O...","imgsrc" : "https://cdn.shopify.com/s/files/1/1394/5977/products/Wrangler_by_Peter_Max_2-_SMILE_SWEAT_OFFWHITE_18ee84ef-1533-4d2e-a0c1-2af6ee54ebc2.JPG?v=1495807793"},{"order" : "3","handle" : "western-jacket-red-colorblock","title" : "Wrangler by Peter Max WESTERN JACKE...","imgsrc" : "https://cdn.shopify.com/s/files/1/1394/5977/products/Wrangler_by_Peter_Max_2-_WESTERN_JACKET_RED_CoLoRBOCK.JPG?v=1495808068"},{"order" : "4","handle" : "gsm-d5k2y0190-white-black","title" : "Asics Onitsuka Tiger Black","imgsrc" : "https://cdn.shopify.com/s/files/1/1394/5977/products/Asics_Onitsuka_Tiger_White_Black-hvit.jpg?v=1491377637"}]</t>
  </si>
  <si>
    <t>{"products":{"6177c6f6accbb81af800069b":["WOMEN_Jeans"]},"updated_at":"2021-10-26T11:10:04.842296914Z"}</t>
  </si>
  <si>
    <t>gift-card</t>
  </si>
  <si>
    <t>Gift Card</t>
  </si>
  <si>
    <t>Gift Cards</t>
  </si>
  <si>
    <t>Shopping for someone else but not sure what to give them? Give them the gift of choice with a Livid gift card.</t>
  </si>
  <si>
    <t>Gift cards are delivered by email and contain instructions to redeem them at checkout. Our gift cards have no additional processing fees.</t>
  </si>
  <si>
    <t>95</t>
  </si>
  <si>
    <t>{"products":{"6177c6bcaccbb81b0b000627":["MEN_Gift Cards"]},"updated_at":"2021-10-26T11:23:03.869496914Z"}</t>
  </si>
  <si>
    <t>ella-japan-indigo</t>
  </si>
  <si>
    <t>Ella Japan Indigo</t>
  </si>
  <si>
    <t>ella-japan-black</t>
  </si>
  <si>
    <t>The Japan Indigo is made with a goal to create a comfortable denim that looks rigid while offering comfort, stretch, and recovery after wear. Perfect for those loving genuine fitting jeans.</t>
  </si>
  <si>
    <t>Made in Portugal
The Japan Indigo. Made from a beautiful mid-weight wideloom denim woven at the renowned Japanese fabric mill, Kuroki. This particular fabric was built by Kuroki with a main goal at hand, creating a comfortable stretch denim that maintained the look of a rigid (100% cotton) denim. That is also particularly why this denim is the most widely used denim-article throughout our collections, now being the fabric of choice for 10 different core-styles in our rage. A super versatile denim, beautiful in all types of shades in addition to providing great comfort, stretch and recovery after wear. A safe choice for all who loves a pair of genuine fitting jeans in their wardrobe.
Made in our slim/straight leg jeans, Ella.
Details &amp; Features
- 13 Oz comfort wideloom denim from Kuroki, Japan. 
- 98% cotton / 2% polyurethane
- Warp dyed in indigo, natural coloured weft
- 5 Oz ecru canvas pocketing 
- Tanned leather patch w/ wax treatment, Made in Italy. 
- YKK two-prongtack, silver button and zip fly
- YKK solid copper washed-burr rivets
- Stitched with poly core cotton thread
- Made at Lisama, Portugal
Model is 178 cm and wears a size 26/34
Go to our fit guide to read more about the Ella Slim/straight. 
Available sizes are 24-34 in 32” inseam and 26-34 in 34” inseam.</t>
  </si>
  <si>
    <t>ella-fitguide</t>
  </si>
  <si>
    <t>[{"order" : "1","handle" : "ella-japan-old-vintage","title" : "Ella Japan Old Vintage","imgsrc" : "https://cdn.shopify.com/s/files/1/1394/5977/products/Livid-Femme-Jeans-Ella-Japan-Old-Vintage-2_large.jpg?v=1540554262"},{"order" : "2","handle" : "aya-whale-cord","title" : "Aya Whale Cord","imgsrc" : "https://cdn.shopify.com/s/files/1/1394/5977/products/Livid-Femme-Jacket-Aya-Whale-Cord-1_large.jpg?v=1540554145"},{"order" : "3","handle" : "suna-long-jacket","title" : "Suna Check Wool","imgsrc" : "https://cdn.shopify.com/s/files/1/1394/5977/products/Livid-Femme-Jacket-Suna-1_large.jpg?v=1540554779"},{"order" : "4","handle" : "mie-indigo-dress","title" : "Mie Indigo Dress","imgsrc" : "https://cdn.shopify.com/s/files/1/1394/5977/products/Livid-Femme-Dress-Mie-Indigo-1_large.jpg?v=1540554715"}]</t>
  </si>
  <si>
    <t>{"products":{"6177c6f6accbb81af800069b":["WOMEN_Jeans"]},"updated_at":"2021-10-26T09:49:55.733427891Z"}</t>
  </si>
  <si>
    <t>ida-white</t>
  </si>
  <si>
    <t>Ida White</t>
  </si>
  <si>
    <t>ida-black, ida-violet</t>
  </si>
  <si>
    <t>joelle-japan-black</t>
  </si>
  <si>
    <t>Our classic fit T-shirt Ida.</t>
  </si>
  <si>
    <t>Made in Portugal
The Ida is made from a pre-shrunk 100% cotton jersey exclusively made for Livid in Portugal. This is the same jersey fabric we've used on our men's Richmond tee for many years, especially popular for its durability and comfortable handfeel.
Made in our classic t-shirt fit, Ida features a regular slim fit built to rest close to the body for consistency of comfort. A wardrobe essential regardless of seasonal trends.
The garment features:
- 100% pre-shrunk cotton
- 220 gsm jersey
- Tonal Livid embroidery on the chest- Poly core cotton thread
- Made at Texgoios in Portugal.
Model is 176 cm and wears a size small
Go to our fit guide to read more about the Ida. 
Available sizes xsmall to xlarge</t>
  </si>
  <si>
    <t>Ida-White.jpg</t>
  </si>
  <si>
    <t>[{"order" : "1","handle" : "ana-black","title" : "Ana Black","imgsrc" : "https://cdn.shopify.com/s/files/1/1394/5977/products/Livid-Femme-Sweater-Ana-Black-1_large.jpg?v=1540553374"},{"order" : "2","handle" : "fia-black","title" : "Fia Black","imgsrc" : "https://cdn.shopify.com/s/files/1/1394/5977/products/Livid-Femme-Sweater-Fia-Black-2_large.jpg?v=1540554346"},{"order" : "3","handle" : "ann-japan-grey","title" : "Ann Japan Grey","imgsrc" : "https://cdn.shopify.com/s/files/1/1394/5977/products/Livid-Femme-Jeans-Ann-Japan-Grey-1_large.jpg?v=1540553455"},{"order" : "4","handle" : "ann-japan-prime-vintage","title" : "Ann Japan Prime Vintage","imgsrc" : "https://cdn.shopify.com/s/files/1/1394/5977/products/Livid-Femme-Jeans-Ann-Japan-Prime-Vintage-1_large.jpg?v=1540553488"}]</t>
  </si>
  <si>
    <t>212</t>
  </si>
  <si>
    <t>{"products":{"6177c6f6accbb81af800069b":["WOMEN_T-shirt"]},"updated_at":"2021-10-26T10:01:08.139544688Z"}</t>
  </si>
  <si>
    <t>tia-japan-black</t>
  </si>
  <si>
    <t>Tia Japan Black</t>
  </si>
  <si>
    <t>Our high-waisted straight, in black.</t>
  </si>
  <si>
    <t>Made in Portugal
Our high-rise straight leg, Tia. Constructed with a high back- and front- rise that is curved and fitted through the hip and seat, then straight from top of thigh all the way down, ending in a medium wide leg opening.
Made in our sharp black, the Japan Black Comfort. Made from a 10,6 Oz black comfort wideloom denim woven at the renowned Japanese fabric mill, Kuroki. This particular fabric has been made with a premium black sulphur dye that keeps the dark shade longer than most fabrics in the same segment. While all black denim loose colour over time, this particular denim fades in contrast after wear, like real indigo denim. This is due a special technique called rope dyeing, where the yarns are dipped in short intervals between oxidation. This prevents the dye from completely penetrating the core of the fibres, leaving it fresh, natural and untouched. This makes our black jeans age beautifully over time, instead of ending up a dull grey. As the black colour is gradually worn down, the natural coloured cotton core will appear, leaving a contrasting and highly personal fade from wear.
Model is 178 cm and wears a size 26/34</t>
  </si>
  <si>
    <t>TIA_JAPAN_BLACK_b359ace6-444e-4dc2-b9ba-afef9e97c2bc.jpg</t>
  </si>
  <si>
    <t>- 10,6 Oz comfort wideloom denim from Kuroki, Japan
- 96% cotton / 4% polyurethane
- Warp &amp; weft dyed in black
- 5 Oz ecru canvas pocketing
- Black leather patch w/ wax treatment. Made in Italy
- YKK two-prong silver button and zip fly
- YKK solid copper washed-burr rivets
- Stitched with poly core cotton thread
- Made at Lisama, Portugal</t>
  </si>
  <si>
    <t>women-fw25</t>
  </si>
  <si>
    <t>[{"order" : "1","handle" : "tia-japan-indigo","title" : "Tia Japan Indigo","imgsrc" : "https://cdn.shopify.com/s/files/1/1394/5977/products/Livid-Femme-Jeans-Tia-Japan-Indigo-1_large.jpg?v=1540555136"},{"order" : "2","handle" : "thea-mustard-cord","title" : "Thea Mustard Cord","imgsrc" : "https://cdn.shopify.com/s/files/1/1394/5977/products/Livid-Femme-Jeans-Thea-Mustard-Cord-2_large.jpg?v=1540557397"},{"order" : "3","handle" : "suna-long-jacket","title" : "Suna Check Wool","imgsrc" : "https://cdn.shopify.com/s/files/1/1394/5977/products/Livid-Femme-Jacket-Suna-1_large.jpg?v=1540554779"},{"order" : "4","handle" : "ana-black","title" : "Ana Black","imgsrc" : "https://cdn.shopify.com/s/files/1/1394/5977/products/Livid-Femme-Sweater-Ana-Black-1_large.jpg?v=1540553374"}]</t>
  </si>
  <si>
    <t>{"products":{"6177c6f6accbb81af800069b":["WOMEN_Jeans"]},"updated_at":"2021-10-26T11:04:35.303341389Z"}</t>
  </si>
  <si>
    <t>tia-japan-indigo</t>
  </si>
  <si>
    <t>Tia Japan Indigo</t>
  </si>
  <si>
    <t>tia-japan-new-blue, tia-japan-black, tia-vapor</t>
  </si>
  <si>
    <t>Our high-waisted straight, in our deep blue wash.</t>
  </si>
  <si>
    <t>Made in Portugal
Our high-rise straight leg, Tia. Constructed with a high back- and front- rise that is curved and fitted through the hip and seat, then straight from top of thigh all the way down, ending in a medium wide leg opening.
In our deep blue wash, the Japan Indigo. Made from a beautiful mid-weight wideloom denim woven at the renowned Japanese fabric mill, Kuroki. This particular fabric was developed by Kuroki, to be a comfortable stretch denim that both looks and ages as a rigid (100% cotton) denim. That is also why this denim has been one of the most widely used denim qualities throughout our collections, now being the fabric of choice for most of our comfort range. A super versatile denim, beautiful in all types of shades in addition to providing great comfort, stretch and recovery after wear. A safe choice for all who loves a pair of genuine fitting jeans in their wardrobe.
Model is 178 cm and wears a size 26/34</t>
  </si>
  <si>
    <t>TIA_JAPAN_INDIGO_b009ec14-b860-4118-8bef-398d015e9a29.jpg</t>
  </si>
  <si>
    <t>[{"order" : "1","handle" : "tia-japan-black","title" : "Tia Japan Black","imgsrc" : "https://cdn.shopify.com/s/files/1/1394/5977/products/Livid-Femme-Jeans-Tia-Japan-Black-1_large.jpg?v=1540555079"},{"order" : "2","handle" : "suna-long-jacket","title" : "Suna Check Wool","imgsrc" : "https://cdn.shopify.com/s/files/1/1394/5977/products/Livid-Femme-Jacket-Suna-1_large.jpg?v=1540554779"},{"order" : "3","handle" : "fia-black","title" : "Fia Black","imgsrc" : "https://cdn.shopify.com/s/files/1/1394/5977/products/Livid-Femme-Sweater-Fia-Black-2_large.jpg?v=1540554346"},{"order" : "4","handle" : "aya-whale-cord","title" : "Aya Whale Cord","imgsrc" : "https://cdn.shopify.com/s/files/1/1394/5977/products/Livid-Femme-Jacket-Aya-Whale-Cord-1_large.jpg?v=1540554145"}]</t>
  </si>
  <si>
    <t>{"products":{"6177c6f6accbb81af800069b":["WOMEN_Jeans"]},"updated_at":"2021-10-26T11:04:48.485031517Z"}</t>
  </si>
  <si>
    <t>Nelson White</t>
  </si>
  <si>
    <t>Nelson White - T-Shirt</t>
  </si>
  <si>
    <t>nelson-black, nelson-charcoal-melange, nelson-grey-melange, nelson-green, nelson-white, nelson-bleek-eclipse, nelson-brown-multistripe</t>
  </si>
  <si>
    <t>From our All Seasons collection comes Nelson, our maxi-fit tee made from a pre-shrunk, heavy 100% organic cotton jersey. Designed for durability and comfort in our box fit.</t>
  </si>
  <si>
    <t>Made in Portugal 
From our All Seasons line comes our relaxed fit tee, Nelson. Made from a pre-shrunk 6.5 Oz heavyweight 100% cotton jersey exclusively made for Livid in Portugal. This particular fabric has been used in our Richmond t-shirts for a decade and has become very popular due to its durability and comfortable hand feel.
Featuring dropped shoulders, a wider body for a relaxed fit, and a slightly shorter length than our basic tee Richmond. A wardrobe staple that works in any occasion regardless of seasonal trends.</t>
  </si>
  <si>
    <t>nelson-fw24-fitguide</t>
  </si>
  <si>
    <t>Nelson-White.jpg</t>
  </si>
  <si>
    <t>{"updated_at":"2022-06-02T18:42:54.092592758Z"}</t>
  </si>
  <si>
    <t>jone-japan-indigo</t>
  </si>
  <si>
    <t>Jone Japan Indigo</t>
  </si>
  <si>
    <t>jone-japan-black, jone-japan-blue-1, jone-13-oz-japan-dry-selvage, jone-japan-trouser-stone</t>
  </si>
  <si>
    <t>Made from mid-weight denim woven at Kuroki. Fabric was built with a goal, creating a stretch denim that maintained the look of a rigid denim.</t>
  </si>
  <si>
    <t>Made in Portugal
The Japan Indigo. Made from a beautiful mid-weight wideloom denim woven at the renowned Japanese fabric mill, Kuroki. This particular fabric was built by Kuroki with a main goal at hand, creating a comfortable stretch denim that maintained the look of a rigid (100% cotton) denim. That is also particularly why this denim is the most widely used denim-article throughout our collections, now being the fabric of choice for 10 different core-styles in our rage. A super versatile denim, beautiful in all types of shades in addition to providing great comfort, stretch and recovery after wear. A safe choice for all who loves a pair of genuine fitting jeans in their wardrobe.
Made in our slim leg jeans, Jone.
Details &amp; Features
- 13 Oz comfort wideloom denim from Kuroki, Japan. 
- 98% cotton / 2% polyurethane
- Warp dyed in indigo, natural coloured weft
- 8 Oz ecru canvas pocketing 
- Tanned leather patch w/ wax treatment, Made in Italy. 
- YKK two-prongtack, silver button and zip fly
- YKK solid copper washed-burr rivets
- Stitched with poly core cotton thread
- Made at Lisama, Portugal
Model is 190 cm, weight 78 kg and wears a size 31/32.
Go to our fit guide to read more about the Jone Slim. 
Available sizes are 27-36 in 32” inseam and 29-40 in 34” inseam.</t>
  </si>
  <si>
    <t>jone-fitguide</t>
  </si>
  <si>
    <t>{"scale_min":"1.0","scale_max":"5.0","value":"3.5"}</t>
  </si>
  <si>
    <t>&lt;div style='display:none' class='jdgm-prev-badge' data-average-rating='3.50' data-number-of-reviews='2' data-number-of-questions='0'&gt; &lt;span class='jdgm-prev-badge__stars' data-score='3.50' tabindex='0' aria-label='3.50 stars' role='button'&gt; &lt;span class='jdgm-star jdgm--on'&gt;&lt;/span&gt;&lt;span class='jdgm-star jdgm--on'&gt;&lt;/span&gt;&lt;span class='jdgm-star jdgm--on'&gt;&lt;/span&gt;&lt;span class='jdgm-star jdgm--half'&gt;&lt;/span&gt;&lt;span class='jdgm-star jdgm--off'&gt;&lt;/span&gt; &lt;/span&gt; &lt;span class='jdgm-prev-badge__text'&gt; 2 reviews &lt;/span&gt; &lt;/div&gt;</t>
  </si>
  <si>
    <t>&lt;div class='jdgm-rev-widg' data-updated-at='2025-09-23T08:02:26Z' data-average-rating='3.50' data-number-of-reviews='2' data-number-of-questions='0' data-image-url='https://cdn.shopify.com/s/files/1/1394/5977/products/Jeans-E-com-april-2022-0888.jpg?v=1650473846'&gt; &lt;style class='jdgm-temp-hiding-style'&gt;.jdgm-rev-widg{ display: none }&lt;/style&gt; &lt;div class='jdgm-rev-widg__header'&gt; &lt;h2 class='jdgm-rev-widg__title'&gt;Customer Reviews&lt;/h2&gt;   &lt;div class='jdgm-rich-snippet' itemprop='aggregateRating' itemscope itemtype='http://schema.org/AggregateRating'&gt; &lt;meta itemprop='reviewCount' content='2'&gt; &lt;meta itemprop='ratingValue' content='3.50'&gt; &lt;/div&gt;   &lt;div class='jdgm-rev-widg__summary'&gt; &lt;div class='jdgm-rev-widg__summary-stars' aria-label='Average rating is 3.50 stars' role='img'&gt; &lt;span class='jdgm-star jdgm--on'&gt;&lt;/span&gt;&lt;span class='jdgm-star jdgm--on'&gt;&lt;/span&gt;&lt;span class='jdgm-star jdgm--on'&gt;&lt;/span&gt;&lt;span class='jdgm-star jdgm--half'&gt;&lt;/span&gt;&lt;span class='jdgm-star jdgm--off'&gt;&lt;/span&gt; &lt;/div&gt; &lt;div class='jdgm-rev-widg__summary-text'&gt;Based on 2 reviews&lt;/div&gt; &lt;/div&gt; &lt;a style='display: none' href='#' class='jdgm-write-rev-link' role='button'&gt;Write a review&lt;/a&gt; &lt;div class='jdgm-histogram jdgm-temp-hidden'&gt;  &lt;div class='jdgm-histogram__row' data-rating='5' data-frequency='1' data-percentage='50'&gt;  &lt;div class='jdgm-histogram__star' role='button' aria-label="50% (1)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50%;'&gt; &lt;/div&gt; &lt;/div&gt; &lt;div class='jdgm-histogram__percentage'&gt;50%&lt;/div&gt; &lt;div class='jdgm-histogram__frequency'&gt;(1)&lt;/div&gt;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data-frequency='1' data-percentage='50'&gt;  &lt;div class='jdgm-histogram__star' role='button' aria-label="50% (1)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50%;'&gt; &lt;/div&gt; &lt;/div&gt; &lt;div class='jdgm-histogram__percentage'&gt;50%&lt;/div&gt; &lt;div class='jdgm-histogram__frequency'&gt;(1)&lt;/div&gt;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 class='jdgm-rev jdgm-divider-top' data-verified-buyer='true' data-review-id='cff2536f-14dc-4802-b371-bd9ec9b36044' data-review-language='' data-product-title='Jone Japan Indigo' data-product-url='/products/jone-japan-indigo' data-thumb-up-count='0' data-thumb-down-count='0'&gt; &lt;div class='jdgm-rev__header'&gt;  &lt;div class='jdgm-rev__icon' &gt; R &lt;/div&gt;  &lt;span class='jdgm-rev__rating' data-score='2' tabindex='0' aria-label='2 star review' role='img'&gt; &lt;span class='jdgm-star jdgm--on'&gt;&lt;/span&gt;&lt;span class='jdgm-star jdgm--on'&gt;&lt;/span&gt;&lt;span class='jdgm-star jdgm--off'&gt;&lt;/span&gt;&lt;span class='jdgm-star jdgm--off'&gt;&lt;/span&gt;&lt;span class='jdgm-star jdgm--off'&gt;&lt;/span&gt; &lt;/span&gt; &lt;span class='jdgm-rev__timestamp jdgm-spinner' data-content='2025-09-23 07:56:37 UTC'&gt;&lt;/span&gt;    &lt;div class='jdgm-rev__br'&gt;&lt;/div&gt; &lt;span class='jdgm-rev__buyer-badge-wrapper'&gt; &lt;span class='jdgm-rev__buyer-badge'&gt;&lt;/span&gt; &lt;/span&gt; &lt;span class='jdgm-rev__author-wrapper'&gt; &lt;span class='jdgm-rev__author'&gt;Ruben&lt;/span&gt; &lt;span class='jdgm-rev__location' &gt;  &lt;/span&gt;  &lt;/span&gt; &lt;/div&gt; &lt;div class='jdgm-rev__content'&gt;  &lt;div class='jdgm-rev__custom-form'&gt;  &lt;/div&gt; &lt;b class='jdgm-rev__title'&gt;The pants I ordered seemed great&lt;/b&gt; &lt;div class='jdgm-rev__body'&gt;&lt;p&gt;The pants I ordered seemed great, but unfortunately, they were too small for me. I have already returned them but have not yet received any confirmation or response regarding the return.&lt;/p&gt;&lt;/div&gt; &lt;div class='jdgm-rev__pics'&gt;  &lt;/div&gt; &lt;div class='jdgm-rev__vids'&gt;   &lt;/div&gt; &lt;div class='jdgm-rev__transparency-badge-wrapper'&gt;  &lt;/div&gt; &lt;/div&gt; &lt;div class='jdgm-rev__actions'&gt; &lt;div class='jdgm-rev__social'&gt;&lt;/div&gt; &lt;div class='jdgm-rev__votes'&gt;&lt;/div&gt; &lt;/div&gt; &lt;div class='jdgm-rev__reply'&gt;  &lt;/div&gt; &lt;/div&gt;&lt;div class='jdgm-rev jdgm-divider-top' data-verified-buyer='true' data-review-id='799197d3-1d51-436c-ad7f-641320f92ef4' data-review-language='' data-product-title='Jone Japan Indigo' data-product-url='/products/jone-japan-indigo' data-thumb-up-count='0' data-thumb-down-count='0'&gt; &lt;div class='jdgm-rev__header'&gt;  &lt;div class='jdgm-rev__icon' &gt; J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data-content='2025-06-04 09:14:22 UTC'&gt;&lt;/span&gt;    &lt;div class='jdgm-rev__br'&gt;&lt;/div&gt; &lt;span class='jdgm-rev__buyer-badge-wrapper'&gt; &lt;span class='jdgm-rev__buyer-badge'&gt;&lt;/span&gt; &lt;/span&gt; &lt;span class='jdgm-rev__author-wrapper'&gt; &lt;span class='jdgm-rev__author'&gt;Jan Erik Bøyum&lt;/span&gt; &lt;span class='jdgm-rev__location' &gt;  &lt;/span&gt;  &lt;/span&gt; &lt;/div&gt; &lt;div class='jdgm-rev__content'&gt;  &lt;div class='jdgm-rev__custom-form'&gt;  &lt;/div&gt; &lt;b class='jdgm-rev__title'&gt;Veldig fornøyd&lt;/b&gt; &lt;div class='jdgm-rev__body'&gt;&lt;p&gt;Flott, komfortabel og robust. Passer meg perfekt, har alle tre fargene 👍 Svært god kvalitet - anbefales.&lt;/p&gt;&lt;/div&gt; &lt;div class='jdgm-rev__pics'&gt;  &lt;/div&gt; &lt;div class='jdgm-rev__vids'&gt;   &lt;/div&gt; &lt;div class='jdgm-rev__transparency-badge-wrapper'&gt;  &lt;/div&gt; &lt;/div&gt; &lt;div class='jdgm-rev__actions'&gt; &lt;div class='jdgm-rev__social'&gt;&lt;/div&gt; &lt;div class='jdgm-rev__votes'&gt;&lt;/div&gt; &lt;/div&gt; &lt;div class='jdgm-rev__reply'&gt;  &lt;/div&gt; &lt;/div&gt;&lt;/div&gt; &lt;div class='jdgm-paginate' data-per-page='5' data-url='https://api.judge.me/reviews/reviews_for_widget' style="display: none;"&gt;&lt;/div&gt;  &lt;/div&gt; &lt;div class='jdgm-rev-widg__paginate-spinner-wrapper'&gt; &lt;div class='jdgm-spinner'&gt;&lt;/div&gt; &lt;/div&gt; &lt;/div&gt;</t>
  </si>
  <si>
    <t>{"products":{"6177c6bcaccbb81b0b000627":["MEN_Jeans"]},"updated_at":"2021-10-26T10:04:34.846592764Z"}</t>
  </si>
  <si>
    <t>edvard-japan-indigo</t>
  </si>
  <si>
    <t>Edvard Japan Indigo</t>
  </si>
  <si>
    <t>edvard-japan-black-comfort, edvard-japan-blue</t>
  </si>
  <si>
    <t>Made from light weight denim, woven at Kuroki. Top garment, soft, comfortable hand feel. 98% cotton, 2% polyurethane for comfort, wearability. Molds to body, keeps shape.</t>
  </si>
  <si>
    <t>Made in Portugal
The Japan Indigo. Made from a light weight wideloom denim woven at the renowned Japanese fabric mill, Kuroki. This top of the line garment has a soft and comfortable hand feel. Made from 98% long staple conventional cotton with a 2% added polyurethane for increase comfort and wearability. This fabric will mold neatly to the body while keeping its shape after wear.
Made in our skinny fit jeans, Edvard. 
Details &amp; Features
- 11 Oz comfort wideloom denim from Kuroki, Japan. 
- 98% cotton / 2% polyurethane
- Warp dyed in indigo, natural coloured weft
- 8 Oz ecru canvas pocketing
- Tanned leather patch w/ wax treatment, Made in Italy. 
- YKK two-prongtack, silver button and zip fly
- YKK solid copper washed-burr rivets
- Stitched with poly core cotton thread
- Made at Lisama, Portugal
Model is 183 cm and wears a size 31/32.
Go to our fit guide to read more about the Edvard Skinny
Available sizes are 27-36 in 32” inseam and 29-36 in 34” inseam</t>
  </si>
  <si>
    <t>{"products":{"6177c6bcaccbb81b0b000627":["MEN_Jeans"]},"updated_at":"2021-10-26T09:49:21.439289552Z"}</t>
  </si>
  <si>
    <t>Nelson Black</t>
  </si>
  <si>
    <t>Nelson Black - T-Shirt</t>
  </si>
  <si>
    <t>Nelson-Black.jpg</t>
  </si>
  <si>
    <t>&lt;div class='jdgm-rev-widg' data-updated-at='2025-07-02T12:30:52Z' data-average-rating='5.00' data-number-of-reviews='1' data-number-of-questions='0' data-image-url='https://cdn.shopify.com/s/files/1/1394/5977/files/25.02.18-LividSS25Dag28318.jpg?v=1740059486'&gt; &lt;style class='jdgm-temp-hiding-style'&gt;.jdgm-rev-widg{ display: none }&lt;/style&gt; &lt;div class='jdgm-rev-widg__header'&gt; &lt;h2 class='jdgm-rev-widg__title'&gt;Customer Reviews&lt;/h2&gt;   &lt;div class='jdgm-rich-snippet' itemprop='aggregateRating' itemscope itemtype='http://schema.org/AggregateRating'&gt; &lt;meta itemprop='reviewCount' content='1'&gt; &lt;meta itemprop='ratingValue' content='5.00'&gt; &lt;/div&gt;   &lt;div class='jdgm-rev-widg__summary'&gt; &lt;div class='jdgm-rev-widg__summary-stars' aria-label='Average rating is 5.00 stars' role='img'&gt; &lt;span class='jdgm-star jdgm--on'&gt;&lt;/span&gt;&lt;span class='jdgm-star jdgm--on'&gt;&lt;/span&gt;&lt;span class='jdgm-star jdgm--on'&gt;&lt;/span&gt;&lt;span class='jdgm-star jdgm--on'&gt;&lt;/span&gt;&lt;span class='jdgm-star jdgm--on'&gt;&lt;/span&gt; &lt;/div&gt; &lt;div class='jdgm-rev-widg__summary-text'&gt;Based on 1 review&lt;/div&gt; &lt;/div&gt; &lt;a style='display: none' href='#' class='jdgm-write-rev-link' role='button'&gt;Write a review&lt;/a&gt; &lt;div class='jdgm-histogram jdgm-temp-hidden'&gt;  &lt;div class='jdgm-histogram__row' data-rating='5' data-frequency='1' data-percentage='100'&gt;  &lt;div class='jdgm-histogram__star' role='button' aria-label="100% (1)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100%;'&gt; &lt;/div&gt; &lt;/div&gt; &lt;div class='jdgm-histogram__percentage'&gt;100%&lt;/div&gt; &lt;div class='jdgm-histogram__frequency'&gt;(1)&lt;/div&gt;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 class='jdgm-rev jdgm-divider-top' data-verified-buyer='true' data-review-id='acb173b6-b400-46f5-9de0-e0d59511b23f' data-review-language='' data-product-title='Nelson Black' data-product-url='/products/nelson-black' data-thumb-up-count='0' data-thumb-down-count='0'&gt; &lt;div class='jdgm-rev__header'&gt;  &lt;div class='jdgm-rev__icon' &gt; E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data-content='2025-07-02 12:26:04 UTC'&gt;&lt;/span&gt;    &lt;div class='jdgm-rev__br'&gt;&lt;/div&gt; &lt;span class='jdgm-rev__buyer-badge-wrapper'&gt; &lt;span class='jdgm-rev__buyer-badge'&gt;&lt;/span&gt; &lt;/span&gt; &lt;span class='jdgm-rev__author-wrapper'&gt; &lt;span class='jdgm-rev__author'&gt;Erik&lt;/span&gt; &lt;span class='jdgm-rev__location' &gt;  &lt;/span&gt;  &lt;/span&gt; &lt;/div&gt; &lt;div class='jdgm-rev__content'&gt;  &lt;div class='jdgm-rev__custom-form'&gt;  &lt;/div&gt; &lt;b class='jdgm-rev__title'&gt;Great quality with a modern look&lt;/b&gt; &lt;div class='jdgm-rev__body'&gt;&lt;p&gt;Great quality with a modern look. Pluss excellent and quick service.&lt;/p&gt;&lt;/div&gt; &lt;div class='jdgm-rev__pics'&gt;  &lt;/div&gt; &lt;div class='jdgm-rev__vids'&gt;   &lt;/div&gt; &lt;div class='jdgm-rev__transparency-badge-wrapper'&gt;  &lt;/div&gt; &lt;/div&gt; &lt;div class='jdgm-rev__actions'&gt; &lt;div class='jdgm-rev__social'&gt;&lt;/div&gt; &lt;div class='jdgm-rev__votes'&gt;&lt;/div&gt; &lt;/div&gt; &lt;div class='jdgm-rev__reply'&gt;  &lt;/div&gt; &lt;/div&gt;&lt;/div&gt; &lt;div class='jdgm-paginate' data-per-page='5' data-url='https://api.judge.me/reviews/reviews_for_widget' style="display: none;"&gt;&lt;/div&gt;  &lt;/div&gt; &lt;div class='jdgm-rev-widg__paginate-spinner-wrapper'&gt; &lt;div class='jdgm-spinner'&gt;&lt;/div&gt; &lt;/div&gt; &lt;/div&gt;</t>
  </si>
  <si>
    <t>{"updated_at":"2022-06-02T18:41:02.001402106Z"}</t>
  </si>
  <si>
    <t>bailey-japan-black</t>
  </si>
  <si>
    <t>Bailey Japan Black</t>
  </si>
  <si>
    <t>bailey-japan-indigo, bailey-japan-blue</t>
  </si>
  <si>
    <t>Our curved slim tapered fit, Bailey, offering room in the thigh and seat, with a fitted waistband and tapered leg.</t>
  </si>
  <si>
    <t>Made in Portugal
The Japan Black Comfort. Made from a 11,9 Oz black wideloom denim woven at the renowned Japanese fabric mill, Kuroki. Developed to have the solid textural handfeel of classic pure cotton black jeans, but with 2% stretch for added comfort.
While all black denim will loose colour eventually, this particular denim fades in contrast after wear, evolving a beautiful personal pattern. This is due a special technique called rope dye, whereas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Made in a one-wash finish to increase softness of touch. Available in our tapered fit, Bailey. 
Details &amp; Features
- 11,9 Oz comfort wideloom denim from Kuroki, Japan
- One wash to increase softness
- 98% cotton / 2% polyurethane
- Warp &amp; weft dyed in black
- 8 Oz ecru canvas pocketing
- Black leather patch w/ wax treatment. Made in Italy
- YKK two-prongtack, silver button and zip fly
- YKK solid copper washed-burr rivets
- Stitched with poly core cotton thread
- Made at Lisama, Portugal
Model is 183 cm and wears a size 32/32.
Go to our fit guide to read more about the tapered leg fit, Bailey.
Available sizes are 28-36 in 32” inseam and 30-40 in 34” inseam.</t>
  </si>
  <si>
    <t>bailey-fitguide</t>
  </si>
  <si>
    <t>{"products":{"6177c6bcaccbb81b0b000627":["MEN_Jeans"]},"updated_at":"2021-10-26T09:30:38.12713027Z"}</t>
  </si>
  <si>
    <t>addison-japan-indigo</t>
  </si>
  <si>
    <t>Addison Japan Indigo</t>
  </si>
  <si>
    <t>addison-japan-black, addison-japan-rinse-selvage</t>
  </si>
  <si>
    <t>Addison slim straight. Made in a dark washed 13 oz denim from Kuroki in Japan.</t>
  </si>
  <si>
    <t>Made in Portugal
The Japan Indigo. Made from a beautiful mid-weight wideloom denim woven at the renowned Japanese fabric mill, Kuroki. This particular fabric was built by Kuroki with a main goal at hand, creating a comfortable stretch denim that maintained the look of a rigid (100% cotton) denim. That is also particularly why this denim is the most widely used denim-article throughout our collections, now being the fabric of choice for 10 different core-styles in our rage. A super versatile denim, beautiful in all types of shades in addition to providing great comfort, stretch and recovery after wear. A safe choice for all who loves a pair of genuine fitting jeans in their wardrobe.
Made in our slim straight jeans, Addison. 
Details &amp; Features
- 13 Oz comfort wideloom denim from Kuroki, Japan. 
- 98% cotton / 2% polyurethane
- Warp dyed in indigo, natural coloured weft
- 8 Oz ecru canvas pocketing 
- Tanned leather patch w/ wax treatment, Made in Italy. 
- YKK two-prongtack, silver button and zip fly
- YKK solid copper washed-burr rivets
- Stitched with poly core cotton thread
- Made at Lisama, Portugal
Model is 183 cm and wears a size 32/32.
Go to our fit guide to read more about the Addison Slim Straight. 
Available sizes are 28-36 in 32” inseam and 30-40 in 34” inseam.</t>
  </si>
  <si>
    <t>addison-fitguide</t>
  </si>
  <si>
    <t>LividFlats38251.jpg</t>
  </si>
  <si>
    <t>{"products":{"6177c6bcaccbb81b0b000627":["MEN_Jeans"]},"updated_at":"2021-10-26T09:26:23.77184578Z"}</t>
  </si>
  <si>
    <t>Barnes Japan Black</t>
  </si>
  <si>
    <t>barnes-japan-gravel, barnes-japan-rinse, barnes-japan-dawn, barnes-japan-fade</t>
  </si>
  <si>
    <t>The high-rise wide straight Barnes, in the original 13 Oz sulphur black rope-dyed denim woven by Kuroki in Japan.</t>
  </si>
  <si>
    <t>Made in Portugal
The Barnes Japan Black. Made from a 13 Oz 100% cotton, black wideloom denim woven by the renowned Japanese fabric mill, Kuroki. 
While all black denim will lose colour eventually, this particular denim fades in contrast after wear, evolving a beautiful personal pattern. This is due a special technique called rope dye, whereas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Made in a one-wash finish to increase softness of touch. Available in our wideleg fit, Barnes. 
Model is 183 cm and wears a size 32/32.
Go to our fit guide to read more about the wide leg fit, Barnes.</t>
  </si>
  <si>
    <t>barnes-fitguide</t>
  </si>
  <si>
    <t>BARNES-JAPAN_BLACK.jpg</t>
  </si>
  <si>
    <t>{"scale_min":"1.0","scale_max":"5.0","value":"4.5"}</t>
  </si>
  <si>
    <t>- 13 Oz wideloom denim from Kuroki, Japan
- One wash to increase softness
- 100% Sanforized cotton
- Warp &amp; Weft dyed in black
- 8 Oz 5 Oz ecru canvas pocketing
- Black leather patch w/ wax treatment, Made in Italy. 
- YKK two-prongtack, silver button and zip fly
- YKK solid copper washed-burr rivets
- Stitched with poly core cotton thread
- Made at Lisama, Portugal</t>
  </si>
  <si>
    <t>&lt;div style='display:none' class='jdgm-prev-badge' data-average-rating='4.50' data-number-of-reviews='2' data-number-of-questions='0'&gt; &lt;span class='jdgm-prev-badge__stars' data-score='4.50' tabindex='0' aria-label='4.50 stars' role='button'&gt; &lt;span class='jdgm-star jdgm--on'&gt;&lt;/span&gt;&lt;span class='jdgm-star jdgm--on'&gt;&lt;/span&gt;&lt;span class='jdgm-star jdgm--on'&gt;&lt;/span&gt;&lt;span class='jdgm-star jdgm--on'&gt;&lt;/span&gt;&lt;span class='jdgm-star jdgm--half'&gt;&lt;/span&gt; &lt;/span&gt; &lt;span class='jdgm-prev-badge__text'&gt; 2 reviews &lt;/span&gt; &lt;/div&gt;</t>
  </si>
  <si>
    <t>&lt;div class='jdgm-rev-widg' data-updated-at='2025-10-31T08:00:09Z' data-average-rating='4.50' data-number-of-reviews='2' data-number-of-questions='0' data-image-url='https://cdn.shopify.com/s/files/1/1394/5977/files/25.10.15-LIVIDAW25-DAG518009.jpg?v=1761311683'&gt; &lt;style class='jdgm-temp-hiding-style'&gt;.jdgm-rev-widg{ display: none }&lt;/style&gt; &lt;div class='jdgm-rev-widg__header'&gt; &lt;h2 class='jdgm-rev-widg__title'&gt;Customer Reviews&lt;/h2&gt;   &lt;div class='jdgm-rich-snippet' itemprop='aggregateRating' itemscope itemtype='http://schema.org/AggregateRating'&gt; &lt;meta itemprop='reviewCount' content='2'&gt; &lt;meta itemprop='ratingValue' content='4.50'&gt; &lt;/div&gt;   &lt;div class='jdgm-rev-widg__summary'&gt; &lt;div class='jdgm-rev-widg__summary-stars' aria-label='Average rating is 4.50 stars' role='img'&gt; &lt;span class='jdgm-star jdgm--on'&gt;&lt;/span&gt;&lt;span class='jdgm-star jdgm--on'&gt;&lt;/span&gt;&lt;span class='jdgm-star jdgm--on'&gt;&lt;/span&gt;&lt;span class='jdgm-star jdgm--on'&gt;&lt;/span&gt;&lt;span class='jdgm-star jdgm--half'&gt;&lt;/span&gt; &lt;/div&gt; &lt;div class='jdgm-rev-widg__summary-text'&gt;Based on 2 reviews&lt;/div&gt; &lt;/div&gt; &lt;a style='display: none' href='#' class='jdgm-write-rev-link' role='button'&gt;Write a review&lt;/a&gt; &lt;div class='jdgm-histogram jdgm-temp-hidden'&gt;  &lt;div class='jdgm-histogram__row' data-rating='5' data-frequency='1' data-percentage='50'&gt;  &lt;div class='jdgm-histogram__star' role='button' aria-label="50% (1)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50%;'&gt; &lt;/div&gt; &lt;/div&gt; &lt;div class='jdgm-histogram__percentage'&gt;50%&lt;/div&gt; &lt;div class='jdgm-histogram__frequency'&gt;(1)&lt;/div&gt; &lt;/div&gt;  &lt;div class='jdgm-histogram__row' data-rating='4' data-frequency='1' data-percentage='50'&gt;  &lt;div class='jdgm-histogram__star' role='button' aria-label="50% (1)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50%;'&gt; &lt;/div&gt; &lt;/div&gt; &lt;div class='jdgm-histogram__percentage'&gt;50%&lt;/div&gt; &lt;div class='jdgm-histogram__frequency'&gt;(1)&lt;/div&gt;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 class='jdgm-rev jdgm-divider-top' data-verified-buyer='true' data-review-id='c6bf498c-20f4-4fdc-8610-d475dd3bb281' data-review-language='' data-product-title='Barnes Japan Black' data-product-url='/products/barnes-japan-black' data-thumb-up-count='0' data-thumb-down-count='0'&gt; &lt;div class='jdgm-rev__header'&gt;  &lt;div class='jdgm-rev__icon' &gt; P &lt;/div&gt;  &lt;span class='jdgm-rev__rating' data-score='4' tabindex='0' aria-label='4 star review' role='img'&gt; &lt;span class='jdgm-star jdgm--on'&gt;&lt;/span&gt;&lt;span class='jdgm-star jdgm--on'&gt;&lt;/span&gt;&lt;span class='jdgm-star jdgm--on'&gt;&lt;/span&gt;&lt;span class='jdgm-star jdgm--on'&gt;&lt;/span&gt;&lt;span class='jdgm-star jdgm--off'&gt;&lt;/span&gt; &lt;/span&gt; &lt;span class='jdgm-rev__timestamp jdgm-spinner' data-content='2025-10-31 07:53:52 UTC'&gt;&lt;/span&gt;    &lt;div class='jdgm-rev__br'&gt;&lt;/div&gt; &lt;span class='jdgm-rev__buyer-badge-wrapper'&gt; &lt;span class='jdgm-rev__buyer-badge'&gt;&lt;/span&gt; &lt;/span&gt; &lt;span class='jdgm-rev__author-wrapper'&gt; &lt;span class='jdgm-rev__author'&gt;Persijn&lt;/span&gt; &lt;span class='jdgm-rev__location' &gt;  &lt;/span&gt;  &lt;/span&gt; &lt;/div&gt; &lt;div class='jdgm-rev__content'&gt;  &lt;div class='jdgm-rev__custom-form'&gt;  &lt;/div&gt; &lt;b class='jdgm-rev__title'&gt;The largest waist size was a bit tight for me&lt;/b&gt; &lt;div class='jdgm-rev__body'&gt;&lt;p&gt;The largest waist size was a bit tight for me. (34.)
&lt;br /&gt;Otherwise really good jeans.&lt;/p&gt;&lt;/div&gt; &lt;div class='jdgm-rev__pics'&gt;  &lt;/div&gt; &lt;div class='jdgm-rev__vids'&gt;   &lt;/div&gt; &lt;div class='jdgm-rev__transparency-badge-wrapper'&gt;  &lt;/div&gt; &lt;/div&gt; &lt;div class='jdgm-rev__actions'&gt; &lt;div class='jdgm-rev__social'&gt;&lt;/div&gt; &lt;div class='jdgm-rev__votes'&gt;&lt;/div&gt; &lt;/div&gt; &lt;div class='jdgm-rev__reply'&gt;  &lt;/div&gt; &lt;/div&gt;&lt;div class='jdgm-rev jdgm-divider-top' data-verified-buyer='true' data-review-id='bf292e53-bc47-4c8b-bfc0-a2a221c0804f' data-review-language='' data-product-title='Barnes Japan Black' data-product-url='/products/barnes-japan-black' data-thumb-up-count='0' data-thumb-down-count='0'&gt; &lt;div class='jdgm-rev__header'&gt;  &lt;div class='jdgm-rev__icon' &gt; K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data-content='2025-07-30 12:19:41 UTC'&gt;&lt;/span&gt;    &lt;div class='jdgm-rev__br'&gt;&lt;/div&gt; &lt;span class='jdgm-rev__buyer-badge-wrapper'&gt; &lt;span class='jdgm-rev__buyer-badge'&gt;&lt;/span&gt; &lt;/span&gt; &lt;span class='jdgm-rev__author-wrapper'&gt; &lt;span class='jdgm-rev__author'&gt;Khai Sigve Nguyen Litleskare&lt;/span&gt; &lt;span class='jdgm-rev__location' &gt;  &lt;/span&gt;  &lt;/span&gt; &lt;/div&gt; &lt;div class='jdgm-rev__content'&gt;  &lt;div class='jdgm-rev__custom-form'&gt;  &lt;/div&gt; &lt;b class='jdgm-rev__title'&gt;Veldig&lt;/b&gt; &lt;div class='jdgm-rev__body'&gt;&lt;p&gt;Veldig fin&lt;/p&gt;&lt;/div&gt; &lt;div class='jdgm-rev__pics'&gt;  &lt;/div&gt; &lt;div class='jdgm-rev__vids'&gt;   &lt;/div&gt; &lt;div class='jdgm-rev__transparency-badge-wrapper'&gt;  &lt;/div&gt; &lt;/div&gt; &lt;div class='jdgm-rev__actions'&gt; &lt;div class='jdgm-rev__social'&gt;&lt;/div&gt; &lt;div class='jdgm-rev__votes'&gt;&lt;/div&gt; &lt;/div&gt; &lt;div class='jdgm-rev__reply'&gt;  &lt;/div&gt; &lt;/div&gt;&lt;/div&gt; &lt;div class='jdgm-paginate' data-per-page='5' data-url='https://api.judge.me/reviews/reviews_for_widget' style="display: none;"&gt;&lt;/div&gt;  &lt;/div&gt; &lt;div class='jdgm-rev-widg__paginate-spinner-wrapper'&gt; &lt;div class='jdgm-spinner'&gt;&lt;/div&gt; &lt;/div&gt; &lt;/div&gt;</t>
  </si>
  <si>
    <t>{"products":{"6177c6bcaccbb81b0b000627":["MEN_Jeans"]},"updated_at":"2021-10-26T09:31:20.783769368Z"}</t>
  </si>
  <si>
    <t>Vår Japan Indigo Rinse</t>
  </si>
  <si>
    <t>Woven with dual core-spun yarns, improves stretch, recovery, comfort, flexibility. Dual core-spun yarns composed of filament contribute durability, long-lasting quality. Fabric molds to body, maintains shape, lasts longer in aesthetics, durability.</t>
  </si>
  <si>
    <t>care-jeans-dry-rinse</t>
  </si>
  <si>
    <t>Made in Portugal
The Japan Indigo Rinse. Made from a mid-weight wideloom denim woven at the renowned Japanese fabric mill, Kuroki. This particular denim has been woven with dual core-spun yarns which greatly improves the stretch, recovery, comfort and flexibility properties in the denim. Dual core-spun yarns are also composed of filament – fibers having extreme length - that contributes durability and long-lasting quality. In short terms a fabric that molds to the body, keeps it shape and is made to last longer both in regards to esthetics and simple durability.
Made in our skinny fit jeans, Vår. 
Details &amp; Features
- 11,8 Oz comfort wideloom denim from Kuroki, Japan. 
- 96% cotton / 2% polyurethane / 2% polyethylene
- Woven with dual core-spun yarns
- Warp dyed in indigo, natural coloured weft
- 8 Oz / 5 Oz ecru canvas pocketing
- Tanned leather patch w/ wax treatment, Made in Italy 
- YKK two-prongtack, silver button and zip fly
- YKK solid copper washed-burr rivets
- Stitched with poly core cotton thread
- Made at Lisama, Portugal
Model is 178 cm and wears a size 26/34
Go to our fit guide to read more about the Vår Skinny
Available sizes are 24-34 in 32” inseam and 26-34 in 34” inseam.</t>
  </si>
  <si>
    <t>{"products":{"6177c6f6accbb81af800069b":["WOMEN_Jeans"]},"updated_at":"2021-10-26T11:10:10.893132501Z"}</t>
  </si>
  <si>
    <t>bailey-japan-blue</t>
  </si>
  <si>
    <t>Bailey Japan Blue</t>
  </si>
  <si>
    <t>bailey-japan-indigo, bailey-japan-black</t>
  </si>
  <si>
    <t>Made in Portugal
The Japan Blue. Made from a beautiful mid-weight wideloom denim woven at the renowned Japanese fabric mill, Kuroki. This particular fabric was built by Kuroki with a main goal at hand, creating a comfortable stretch denim that maintained the look of a rigid (100% cotton) denim. That is also particularly why this denim is the most widely used denim-article throughout our collections, now being the fabric of choice for 10 different core-styles in our rage. A super versatile denim, beautiful in all types of shades in addition to providing great comfort, stretch and recovery after wear. A safe choice for all who loves a pair of genuine fitting jeans in their wardrobe.
Made in our tapered leg jeans, Bailey.
Details &amp; Features
- 13 Oz comfort wideloom denim from Kuroki, Japan. 
- 98% cotton / 2% polyurethane
- Warp dyed in indigo, natural coloured weft
- 8 Oz ecru canvas pocketing 
- Tanned leather patch w/ wax treatment, Made in Italy. 
- YKK two-prongtack, silver button and zip fly
- YKK solid copper washed-burr rivets
- Stitched with poly core cotton thread
- Made at Lisama, Portugal
Model is 183 cm and wears a size 32/32.
Go to our fit guide to read more about the Bailey Tapered. 
Available sizes are 28-36 in 32” inseam and 30-40 in 34” inseam.</t>
  </si>
  <si>
    <t>{"products":{"6177c6bcaccbb81b0b000627":["MEN_Jeans"]},"updated_at":"2021-10-26T09:30:41.796800215Z"}</t>
  </si>
  <si>
    <t>jone-japan-black</t>
  </si>
  <si>
    <t>Jone Japan Black</t>
  </si>
  <si>
    <t>jone-japan-indigo, jone-japan-blue-1, jone-13-oz-japan-dry-selvage, jone-japan-trouser-stone</t>
  </si>
  <si>
    <t>Made from black denim with comfort and stretch, developed for a classic feel and added ease. Evolves with wear, revealing a unique pattern through contrast fade.</t>
  </si>
  <si>
    <t>Made in Portugal
The Japan Black Comfort. Made from a 11,9 Oz black wideloom denim woven at the renowned Japanese fabric mill, Kuroki. Developed to have the solid textural handfeel of classic pure cotton black jeans, but with 2% stretch for added comfort.
While all black denim will loose colour eventually, this particular denim fades in contrast after wear, evolving a beautiful personal pattern. This is due a special technique called rope dye, whereas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Made in a one-wash finish to increase softness of touch. Available in our slim fit, Jone. 
Details &amp; Features
- 11,9 Oz comfort wideloom denim from Kuroki, Japan
- One wash to increase softness
- 98% cotton / 2% polyurethane
- Warp &amp; weft dyed in black
- 8 Oz ecru canvas pocketing
- Black leather patch w/ wax treatment. Made in Italy
- YKK two-prongtack, silver button and zip fly
- YKK solid copper washed-burr rivets
- Stitched with poly core cotton thread
- Made at Lisama, Portugal
Model is 190 cm, weight 78 kg and wears a size 31/32.
Go to our fit guide to read more about the silm leg fit, Jone.
Available sizes are 28-36 in 32” inseam and 29-40 in 34” inseam.</t>
  </si>
  <si>
    <t>&lt;div class='jdgm-rev-widg' data-updated-at='2025-09-26T22:18:51Z' data-average-rating='5.00' data-number-of-reviews='2' data-number-of-questions='0' data-image-url='https://cdn.shopify.com/s/files/1/1394/5977/products/Jeans-E-com-april-2022-1143.jpg?v=1650533729'&gt; &lt;style class='jdgm-temp-hiding-style'&gt;.jdgm-rev-widg{ display: none }&lt;/style&gt; &lt;div class='jdgm-rev-widg__header'&gt; &lt;h2 class='jdgm-rev-widg__title'&gt;Customer Reviews&lt;/h2&gt;   &lt;div class='jdgm-rich-snippet' itemprop='aggregateRating' itemscope itemtype='http://schema.org/AggregateRating'&gt; &lt;meta itemprop='reviewCount' content='2'&gt; &lt;meta itemprop='ratingValue' content='5.00'&gt; &lt;/div&gt;   &lt;div class='jdgm-rev-widg__summary'&gt; &lt;div class='jdgm-rev-widg__summary-stars' aria-label='Average rating is 5.00 stars' role='img'&gt; &lt;span class='jdgm-star jdgm--on'&gt;&lt;/span&gt;&lt;span class='jdgm-star jdgm--on'&gt;&lt;/span&gt;&lt;span class='jdgm-star jdgm--on'&gt;&lt;/span&gt;&lt;span class='jdgm-star jdgm--on'&gt;&lt;/span&gt;&lt;span class='jdgm-star jdgm--on'&gt;&lt;/span&gt; &lt;/div&gt; &lt;div class='jdgm-rev-widg__summary-text'&gt;Based on 2 reviews&lt;/div&gt; &lt;/div&gt; &lt;a style='display: none' href='#' class='jdgm-write-rev-link' role='button'&gt;Write a review&lt;/a&gt; &lt;div class='jdgm-histogram jdgm-temp-hidden'&gt;  &lt;div class='jdgm-histogram__row' data-rating='5' data-frequency='2' data-percentage='100'&gt;  &lt;div class='jdgm-histogram__star' role='button' aria-label="100% (2)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100%;'&gt; &lt;/div&gt; &lt;/div&gt; &lt;div class='jdgm-histogram__percentage'&gt;100%&lt;/div&gt; &lt;div class='jdgm-histogram__frequency'&gt;(2)&lt;/div&gt;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 class='jdgm-rev jdgm-divider-top' data-verified-buyer='true' data-review-id='c8fd85e5-4405-48e8-8b14-e8409cdd4f13' data-review-language='' data-product-title='Jone Japan Black' data-product-url='/products/jone-japan-black' data-thumb-up-count='0' data-thumb-down-count='0'&gt; &lt;div class='jdgm-rev__header'&gt;  &lt;div class='jdgm-rev__icon' &gt; l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data-content='2025-09-26 22:16:00 UTC'&gt;&lt;/span&gt;    &lt;div class='jdgm-rev__br'&gt;&lt;/div&gt; &lt;span class='jdgm-rev__buyer-badge-wrapper'&gt; &lt;span class='jdgm-rev__buyer-badge'&gt;&lt;/span&gt; &lt;/span&gt; &lt;span class='jdgm-rev__author-wrapper'&gt; &lt;span class='jdgm-rev__author'&gt;lrZ&lt;/span&gt; &lt;span class='jdgm-rev__location' &gt;  &lt;/span&gt;  &lt;/span&gt; &lt;/div&gt; &lt;div class='jdgm-rev__content'&gt;  &lt;div class='jdgm-rev__custom-form'&gt;  &lt;/div&gt; &lt;b class='jdgm-rev__title'&gt;Fits well&lt;/b&gt; &lt;div class='jdgm-rev__body'&gt;&lt;p&gt;Fits well.&lt;/p&gt;&lt;/div&gt; &lt;div class='jdgm-rev__pics'&gt;  &lt;/div&gt; &lt;div class='jdgm-rev__vids'&gt;   &lt;/div&gt; &lt;div class='jdgm-rev__transparency-badge-wrapper'&gt;  &lt;/div&gt; &lt;/div&gt; &lt;div class='jdgm-rev__actions'&gt; &lt;div class='jdgm-rev__social'&gt;&lt;/div&gt; &lt;div class='jdgm-rev__votes'&gt;&lt;/div&gt; &lt;/div&gt; &lt;div class='jdgm-rev__reply'&gt;  &lt;/div&gt; &lt;/div&gt;&lt;div class='jdgm-rev jdgm-divider-top' data-verified-buyer='true' data-review-id='94e9026b-2e7c-4de7-bdaa-629e4f22c5dc' data-review-language='' data-product-title='Jone Japan Black' data-product-url='/products/jone-japan-black' data-thumb-up-count='0' data-thumb-down-count='0'&gt; &lt;div class='jdgm-rev__header'&gt;  &lt;div class='jdgm-rev__icon' &gt; H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data-content='2025-06-03 08:20:35 UTC'&gt;&lt;/span&gt;    &lt;div class='jdgm-rev__br'&gt;&lt;/div&gt; &lt;span class='jdgm-rev__buyer-badge-wrapper'&gt; &lt;span class='jdgm-rev__buyer-badge'&gt;&lt;/span&gt; &lt;/span&gt; &lt;span class='jdgm-rev__author-wrapper'&gt; &lt;span class='jdgm-rev__author'&gt;Hallgrim Barlaup&lt;/span&gt; &lt;span class='jdgm-rev__location' &gt;  &lt;/span&gt;  &lt;/span&gt; &lt;/div&gt; &lt;div class='jdgm-rev__content'&gt;  &lt;div class='jdgm-rev__custom-form'&gt;  &lt;/div&gt; &lt;b class='jdgm-rev__title'&gt;&lt;/b&gt; &lt;div class='jdgm-rev__body'&gt;&lt;p&gt;Herleg.&lt;/p&gt;&lt;/div&gt; &lt;div class='jdgm-rev__pics'&gt;  &lt;/div&gt; &lt;div class='jdgm-rev__vids'&gt;   &lt;/div&gt; &lt;div class='jdgm-rev__transparency-badge-wrapper'&gt;  &lt;/div&gt; &lt;/div&gt; &lt;div class='jdgm-rev__actions'&gt; &lt;div class='jdgm-rev__social'&gt;&lt;/div&gt; &lt;div class='jdgm-rev__votes'&gt;&lt;/div&gt; &lt;/div&gt; &lt;div class='jdgm-rev__reply'&gt;  &lt;/div&gt; &lt;/div&gt;&lt;/div&gt; &lt;div class='jdgm-paginate' data-per-page='5' data-url='https://api.judge.me/reviews/reviews_for_widget' style="display: none;"&gt;&lt;/div&gt;  &lt;/div&gt; &lt;div class='jdgm-rev-widg__paginate-spinner-wrapper'&gt; &lt;div class='jdgm-spinner'&gt;&lt;/div&gt; &lt;/div&gt; &lt;/div&gt;</t>
  </si>
  <si>
    <t>{"products":{"6177c6bcaccbb81b0b000627":["MEN_Jeans"]},"updated_at":"2021-10-26T10:04:17.171840263Z"}</t>
  </si>
  <si>
    <t>richmond-2-pack-light-grey</t>
  </si>
  <si>
    <t>Richmond 2-pack Light Grey</t>
  </si>
  <si>
    <t>Richmond 2-pack Light Grey - T-Shirt</t>
  </si>
  <si>
    <t>richmond-2-pack-black, richmond-2-pack-navy, richmond-2-pack-white</t>
  </si>
  <si>
    <t>Richmond, our staple T-shirt 2-pack. Made in a 100% pre-shrunk heavy cotton jersey, with a regular slim fit. Free of logos.</t>
  </si>
  <si>
    <t>Made in Portugal 
From our All Seasons collection-line comes our staple tee Richmond in a 2-pack. Made from a pre-shrunk 6.5 Oz heavy 100% cotton jersey exclusively made for Livid in Portugal. This particular fabric has been used in our t-shirts since our very first Richmond tee in 2013, and has become very popular due to its durability and comfortable hand feel. 
Richmond is classic tee, constructed as a regular slim built to rest close to the body. A wardrobe staple piece that works in any occasion regardless of seasonal trends.</t>
  </si>
  <si>
    <t>Richmond2-pack-LightGrey.jpg</t>
  </si>
  <si>
    <t>- 2-Pack tee
- 100% cotton
- 220 gsm pre-shrunk jersey
- Knitted by Etevimol in Portugal
- Fine rib collar 
- Top stitched shoulder seams
- Straight cut hem
- Poly core cotton thread
- Made at Texgoios in Portugal</t>
  </si>
  <si>
    <t>&lt;div class='jdgm-rev-widg' data-updated-at='2025-12-25T11:21:50Z' data-average-rating='0.00' data-number-of-reviews='0' data-number-of-questions='0' data-image-url='https://cdn.shopify.com/s/files/1/1394/5977/products/LIVIDECOM-SS23-DAG40977.jpg?v=1676471846'&gt;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</si>
  <si>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{"products":{"6177c6bcaccbb81b0b000627":["MEN_T-Shirt"]},"updated_at":"2021-10-26T10:50:14.322020856Z"}</t>
  </si>
  <si>
    <t>richmond-2-pack-white</t>
  </si>
  <si>
    <t>Richmond 2-pack White</t>
  </si>
  <si>
    <t>Richmond 2-pack White - T-Shirt</t>
  </si>
  <si>
    <t>richmond-2-pack-black, richmond-2-pack-navy, richmond-2-pack-light-grey</t>
  </si>
  <si>
    <t>Richmond2-pack-White.jpg</t>
  </si>
  <si>
    <t>&lt;div class='jdgm-rev-widg' data-updated-at='2025-11-17T09:28:17Z' data-average-rating='4.50' data-number-of-reviews='2' data-number-of-questions='0' data-image-url='https://cdn.shopify.com/s/files/1/1394/5977/files/25.10.07-LIVIDAW25-DAG3_01018.jpg?v=1760716081'&gt; &lt;style class='jdgm-temp-hiding-style'&gt;.jdgm-rev-widg{ display: none }&lt;/style&gt; &lt;div class='jdgm-rev-widg__header'&gt; &lt;h2 class='jdgm-rev-widg__title'&gt;Customer Reviews&lt;/h2&gt;   &lt;div class='jdgm-rich-snippet' itemprop='aggregateRating' itemscope itemtype='http://schema.org/AggregateRating'&gt; &lt;meta itemprop='reviewCount' content='2'&gt; &lt;meta itemprop='ratingValue' content='4.50'&gt; &lt;/div&gt;   &lt;div class='jdgm-rev-widg__summary'&gt; &lt;div class='jdgm-rev-widg__summary-stars' aria-label='Average rating is 4.50 stars' role='img'&gt; &lt;span class='jdgm-star jdgm--on'&gt;&lt;/span&gt;&lt;span class='jdgm-star jdgm--on'&gt;&lt;/span&gt;&lt;span class='jdgm-star jdgm--on'&gt;&lt;/span&gt;&lt;span class='jdgm-star jdgm--on'&gt;&lt;/span&gt;&lt;span class='jdgm-star jdgm--half'&gt;&lt;/span&gt; &lt;/div&gt; &lt;div class='jdgm-rev-widg__summary-text'&gt;Based on 2 reviews&lt;/div&gt; &lt;/div&gt; &lt;a style='display: none' href='#' class='jdgm-write-rev-link' role='button'&gt;Write a review&lt;/a&gt; &lt;div class='jdgm-histogram jdgm-temp-hidden'&gt;  &lt;div class='jdgm-histogram__row' data-rating='5' data-frequency='1' data-percentage='50'&gt;  &lt;div class='jdgm-histogram__star' role='button' aria-label="50% (1)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50%;'&gt; &lt;/div&gt; &lt;/div&gt; &lt;div class='jdgm-histogram__percentage'&gt;50%&lt;/div&gt; &lt;div class='jdgm-histogram__frequency'&gt;(1)&lt;/div&gt; &lt;/div&gt;  &lt;div class='jdgm-histogram__row' data-rating='4' data-frequency='1' data-percentage='50'&gt;  &lt;div class='jdgm-histogram__star' role='button' aria-label="50% (1)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50%;'&gt; &lt;/div&gt; &lt;/div&gt; &lt;div class='jdgm-histogram__percentage'&gt;50%&lt;/div&gt; &lt;div class='jdgm-histogram__frequency'&gt;(1)&lt;/div&gt;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 class='jdgm-rev jdgm-divider-top' data-verified-buyer='true' data-review-id='0ea53df3-d2ee-410e-8f29-1afe1d55b75a' data-review-language='' data-product-title='Richmond 2-pack White' data-product-url='/products/richmond-2-pack-white' data-thumb-up-count='0' data-thumb-down-count='0'&gt; &lt;div class='jdgm-rev__header'&gt;  &lt;div class='jdgm-rev__icon' &gt; A &lt;/div&gt;  &lt;span class='jdgm-rev__rating' data-score='4' tabindex='0' aria-label='4 star review' role='img'&gt; &lt;span class='jdgm-star jdgm--on'&gt;&lt;/span&gt;&lt;span class='jdgm-star jdgm--on'&gt;&lt;/span&gt;&lt;span class='jdgm-star jdgm--on'&gt;&lt;/span&gt;&lt;span class='jdgm-star jdgm--on'&gt;&lt;/span&gt;&lt;span class='jdgm-star jdgm--off'&gt;&lt;/span&gt; &lt;/span&gt; &lt;span class='jdgm-rev__timestamp jdgm-spinner' data-content='2025-11-17 09:25:55 UTC'&gt;&lt;/span&gt;    &lt;div class='jdgm-rev__br'&gt;&lt;/div&gt; &lt;span class='jdgm-rev__buyer-badge-wrapper'&gt; &lt;span class='jdgm-rev__buyer-badge'&gt;&lt;/span&gt; &lt;/span&gt; &lt;span class='jdgm-rev__author-wrapper'&gt; &lt;span class='jdgm-rev__author'&gt;Anonymous&lt;/span&gt; &lt;span class='jdgm-rev__location' &gt;  &lt;/span&gt;  &lt;/span&gt; &lt;/div&gt; &lt;div class='jdgm-rev__content'&gt;  &lt;div class='jdgm-rev__custom-form'&gt;  &lt;/div&gt; &lt;b class='jdgm-rev__title'&gt;bra Kvalitet bomull&lt;/b&gt; &lt;div class='jdgm-rev__body'&gt;&lt;p&gt;Fyldig og bra bomull. Fin passe form. Kjøpt str. L som passet bra til en tynn slank kroppsfasong  😊&lt;/p&gt;&lt;/div&gt; &lt;div class='jdgm-rev__pics'&gt;  &lt;/div&gt; &lt;div class='jdgm-rev__vids'&gt;   &lt;/div&gt; &lt;div class='jdgm-rev__transparency-badge-wrapper'&gt;  &lt;/div&gt; &lt;/div&gt; &lt;div class='jdgm-rev__actions'&gt; &lt;div class='jdgm-rev__social'&gt;&lt;/div&gt; &lt;div class='jdgm-rev__votes'&gt;&lt;/div&gt; &lt;/div&gt; &lt;div class='jdgm-rev__reply'&gt;  &lt;/div&gt; &lt;/div&gt;&lt;div class='jdgm-rev jdgm-divider-top' data-verified-buyer='true' data-review-id='7455766a-fc81-475f-97f3-77a4fa8d33ce' data-review-language='' data-product-title='Richmond 2-pack White' data-product-url='/products/richmond-2-pack-white' data-thumb-up-count='0' data-thumb-down-count='0'&gt; &lt;div class='jdgm-rev__header'&gt;  &lt;div class='jdgm-rev__icon' &gt; D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data-content='2025-08-31 14:19:20 UTC'&gt;&lt;/span&gt;    &lt;div class='jdgm-rev__br'&gt;&lt;/div&gt; &lt;span class='jdgm-rev__buyer-badge-wrapper'&gt; &lt;span class='jdgm-rev__buyer-badge'&gt;&lt;/span&gt; &lt;/span&gt; &lt;span class='jdgm-rev__author-wrapper'&gt; &lt;span class='jdgm-rev__author'&gt;Daniel&lt;/span&gt; &lt;span class='jdgm-rev__location' &gt;  &lt;/span&gt;  &lt;/span&gt; &lt;/div&gt; &lt;div class='jdgm-rev__content'&gt;  &lt;div class='jdgm-rev__custom-form'&gt;  &lt;/div&gt; &lt;b class='jdgm-rev__title'&gt;Den perfekte T-skjorte&lt;/b&gt; &lt;div class='jdgm-rev__body'&gt;&lt;p&gt;Den perfekte T-skjorte. Denne må dere aldri slutte å selge.&lt;/p&gt;&lt;/div&gt; &lt;div class='jdgm-rev__pics'&gt;  &lt;/div&gt; &lt;div class='jdgm-rev__vids'&gt;   &lt;/div&gt; &lt;div class='jdgm-rev__transparency-badge-wrapper'&gt;  &lt;/div&gt; &lt;/div&gt; &lt;div class='jdgm-rev__actions'&gt; &lt;div class='jdgm-rev__social'&gt;&lt;/div&gt; &lt;div class='jdgm-rev__votes'&gt;&lt;/div&gt; &lt;/div&gt; &lt;div class='jdgm-rev__reply'&gt;  &lt;/div&gt; &lt;/div&gt;&lt;/div&gt; &lt;div class='jdgm-paginate' data-per-page='5' data-url='https://api.judge.me/reviews/reviews_for_widget' style="display: none;"&gt;&lt;/div&gt;  &lt;/div&gt; &lt;div class='jdgm-rev-widg__paginate-spinner-wrapper'&gt; &lt;div class='jdgm-spinner'&gt;&lt;/div&gt; &lt;/div&gt; &lt;/div&gt;</t>
  </si>
  <si>
    <t>{"products":{"6177c6bcaccbb81b0b000627":["MEN_T-Shirt"]},"updated_at":"2021-10-26T10:50:17.388064292Z"}</t>
  </si>
  <si>
    <t>tia-japan-blue</t>
  </si>
  <si>
    <t>Tia Japan Blue</t>
  </si>
  <si>
    <t>tia-japan-indigo, tia-japan-black</t>
  </si>
  <si>
    <t>Our high-waisted straight, in our light blue wash</t>
  </si>
  <si>
    <t>Made in Portugal
The Japan Blue. Made from a beautiful mid-weight wideloom denim woven at the renowned Japanese fabric mill, Kuroki. This particular fabric was built by Kuroki with a main goal at hand, creating a comfortable stretch denim that maintained the look of a rigid (100% cotton) denim. That is also particularly why this denim is the most widely used denim-article throughout our collections, now being the fabric of choice for 10 different core-styles in our rage. A super versatile denim, beautiful in all types of shades in addition to providing great comfort, stretch and recovery after wear. A safe choice for all who loves a pair of genuine fitting jeans in their wardrobe.
Made in our wide leg jeans, Tia.
Details &amp; Features
- 13 Oz comfort wideloom denim from Kuroki, Japan. 
- 98% cotton / 2% polyurethane
- Warp dyed in indigo, natural coloured weft
- 5 Oz ecru canvas pocketing 
- Tanned leather patch w/ wax treatment, Made in Italy. 
- YKK two-prongtack, silver button and zip fly
- YKK solid copper washed-burr rivets
- Stitched with poly core cotton thread
- Made at Lisama, Portugal
Model is 178 cm and wears a size 26/34
Go to our fit guide to read more about the Tia Wide.
Available sizes are 24-34 in 32” inseam and 26-34 in 34” inseam.</t>
  </si>
  <si>
    <t>{"products":{"6177c6f6accbb81af800069b":["WOMEN_Jeans"]},"updated_at":"2021-10-26T11:04:40.353342262Z"}</t>
  </si>
  <si>
    <t>bailey-japan-indigo</t>
  </si>
  <si>
    <t>Bailey Japan Indigo</t>
  </si>
  <si>
    <t>bailey-japan-blue, bailey-japan-black</t>
  </si>
  <si>
    <t>Made in Portugal
The Japan Indigo. Made from a beautiful mid-weight wideloom denim woven at the renowned Japanese fabric mill, Kuroki. This particular fabric was built by Kuroki with a main goal at hand, creating a comfortable stretch denim that maintained the look of a rigid (100% cotton) denim. That is also particularly why this denim is the most widely used denim-article throughout our collections, now being the fabric of choice for 10 different core-styles in our rage. A super versatile denim, beautiful in all types of shades in addition to providing great comfort, stretch and recovery after wear. A safe choice for all who loves a pair of genuine fitting jeans in their wardrobe.
Made in our tapered leg jeans, Bailey.
Details &amp; Features
- 13 Oz comfort wideloom denim from Kuroki, Japan. 
- 98% cotton / 2% polyurethane
- Warp dyed in indigo, natural coloured weft
- 8 Oz ecru canvas pocketing 
- Tanned leather patch w/ wax treatment, Made in Italy. 
- YKK two-prongtack, silver button and zip fly
- YKK solid copper washed-burr rivets
- Stitched with poly core cotton thread
- Made at Lisama, Portugal
Model is 183 cm and wears a size 32/32.
Go to our fit guide to read more about the Bailey Tapered. 
Available sizes are 28-36 in 32” inseam and 30-40 in 34” inseam.</t>
  </si>
  <si>
    <t>{"products":{"6177c6bcaccbb81b0b000627":["MEN_Jeans"]},"updated_at":"2021-10-26T09:30:46.41189091Z"}</t>
  </si>
  <si>
    <t>richmond-2-pack-black</t>
  </si>
  <si>
    <t>Richmond 2-pack Black</t>
  </si>
  <si>
    <t>Richmond 2-pack Black - T-Shirt</t>
  </si>
  <si>
    <t>richmond-2-pack-navy, richmond-2-pack-light-grey, richmond-2-pack-white</t>
  </si>
  <si>
    <t>Richmond-black.jpg</t>
  </si>
  <si>
    <t>{"products":{"6177c6bcaccbb81b0b000627":["MEN_T-Shirt"]},"updated_at":"2021-10-26T10:50:11.334875673Z"}</t>
  </si>
  <si>
    <t>edvard-japan-blue</t>
  </si>
  <si>
    <t>Edvard Japan Blue</t>
  </si>
  <si>
    <t>edvard-japan-indigo, edvard-japan-black-comfort</t>
  </si>
  <si>
    <t>Made with denim woven at Kuroki, Japan. This fabric improves stretch, recovery, comfort, and flexibility. Dual core-spun yarns contribute to durability and quality. A fabric that molds to the body and lasts longer.</t>
  </si>
  <si>
    <t>Made in Portugal
The Japan Blue. Made from a mid-weight wideloom denim woven at the renowned Japanese fabric mill, Kuroki. This particular denim has been woven with dual core-spun yarns which greatly improves the stretch, recovery, comfort and flexibility properties in the denim. Dual core-spun yarns are also composed of filament – fibers having extreme length - that contributes durability and long-lasting quality. In short terms a fabric that molds to the body, keeps it shape and is made to last longer both in regards to esthetics and simple durability.
Made in our skinny fit jeans, Edvard. 
Details &amp; Features
- 11,8 Oz comfort wideloom denim from Kuroki, Japan. 
- 96% cotton / 2% polyurethane / 2% polyethylene
- Woven with dual core-spun yarns
- Warp dyed in indigo, natural coloured weft
- 8 Oz / 5 Oz ecru canvas pocketing
- Tanned leather patch w/ wax treatment, Made in Italy 
- YKK two-prongtack, silver button and zip fly
- YKK solid copper washed-burr rivets
- Stitched with poly core cotton thread
- Made at Lisama, Portugal
Model is 183 cm and wears a size 31/32
Go to our fit guide to read more about the Edvard Skinny
Available sizes are 27-36 in 32” inseam and 29-36 in 34” inseam.</t>
  </si>
  <si>
    <t>{"products":{"6177c6bcaccbb81b0b000627":["MEN_Jeans"]},"updated_at":"2021-10-26T09:49:17.033671858Z"}</t>
  </si>
  <si>
    <t>Ella Japan Black</t>
  </si>
  <si>
    <t>Made from black comfort denim at Kuroki. Fabric dyed with premium black sulphur to maintain dark shade. Special rope dye technique used for contrast fades after wear.</t>
  </si>
  <si>
    <t>Made in Portugal
The Japan Black Comfort. Made from a 10,6 Oz black comfort wideloom denim woven at the renowned Japanese fabric mill, Kuroki. This particular fabric have been made with a premium black sulphur dye that keep the dark shade longer than most fabrics in the same segment. While all black denim loose colour, this particular denim fades in contrast after wear. This is due a special technique called rope dye, whereas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All black denim will loose its colour. Some transform into a dull grey version of itself, but this particular denim, fades in contrast giving more and more life, resulting in a denim that only get more beautiful with age.
Another small detail. The surface of this particular denim has been an anti-dust treatment, preventing lint from attaching to the surface of the fabric. 
Details &amp; Features
- 10,6 Oz comfort wideloom denim from Kuroki, Japan
- 96% cotton / 4% polyurethane
- Warp &amp; weft dyed in black
- 5 Oz ecru canvas pocketing
- Black leather patch w/ wax treatment. Made in Italy
- YKK two-prongtack, silver button and zip fly
- YKK solid copper washed-burr rivets
- Stitched with poly core cotton thread
- Made at Lisama, Portugal
Model is 178 cm and wears a size 26/34
Go to our fitguide to read more about the Ella fit.
Available sizes are 24-34 in 32″ inseam and 26-34 in 34″ inseam.</t>
  </si>
  <si>
    <t>{"products":{"6177c6f6accbb81af800069b":["WOMEN_Jeans"]},"updated_at":"2021-10-26T09:49:51.274501049Z"}</t>
  </si>
  <si>
    <t>ida-black</t>
  </si>
  <si>
    <t>Ida Black</t>
  </si>
  <si>
    <t>ida-white, ida-violet</t>
  </si>
  <si>
    <t>Made in Portugal
The Ida is made from a pre-shrunk 100% organic cotton jersey exclusively made for Livid in Portugal. This is the same jersey fabric we've used on our men's Richmond tee for many years, especially popular for its durability and comfortable handfeel. Made in our classic t-shirt fit, Ida. A regular slim fit built to rest close to the body for consistency of comfort. A wardrobe essential regardless of seasonal trends.
The garment features:
- 100% pre-shrunk organic cotton
- 220 gsm jersey
- Tonal Livid embroidery on the chest
- Made at Texgoios in Portugal.
Go to our fit guide to read more about the Ida.
Available in size XS to XL. 
How it's made</t>
  </si>
  <si>
    <t>Ida-Black.jpg</t>
  </si>
  <si>
    <t>{"products":{"6177c6f6accbb81af800069b":["WOMEN_T-Shirt"]},"updated_at":"2021-10-26T10:01:01.547448892Z"}</t>
  </si>
  <si>
    <t>tia-japan-fade</t>
  </si>
  <si>
    <t>Tia Japan Fade</t>
  </si>
  <si>
    <t>Jeans-E-com-april-2022-1848.jpg, Jeans-E-com-april-2022-1857.jpg, Jeans-E-com-april-2022-1866.jpg, Jeans-E-com-april-2022-1875.jpg, Jeans-E-com-april-2022-1878.jpg, Jeans-E-com-april-2022-1882.jpg, Jeans-E-com-april-2022-1864.jpg, Jeans-E-com-april-2022-1880.jpg, Jeans-E-com-april-2022-1891.jpg, Jeans-E-com-april-2022-1894.jpg, Jeans-E-com-april-2022-1895.jpg, Jeans-E-com-april-2022-1902.jpg</t>
  </si>
  <si>
    <t>TIAJAPANFADE.jpg</t>
  </si>
  <si>
    <t>{"products":{"6177c6f6accbb81af800069b":["WOMEN_Jeans"]},"updated_at":"2021-10-26T11:04:44.958933587Z"}</t>
  </si>
  <si>
    <t>emerson-japan-black-selvage</t>
  </si>
  <si>
    <t>Emerson Japan Black Selvage</t>
  </si>
  <si>
    <t>emerson-japan-dawn, emerson-18-oz-japan-dry-selvage, emerson-japan-dry-selvage</t>
  </si>
  <si>
    <t>Made from 13 Oz mid-weight denim, solid, renowned Japanese mill, Kuroki. Fabric 100% sanforized cotton, unwashed, untreated.</t>
  </si>
  <si>
    <t>Made in Portugal
The Emerson Japan Black Selvage. Made from a solid 13 Oz mid-weight denim fabric from the renowned Japanese fabric mill, Kuroki. This top of the line denim is made out of 100% sanforized cotton and is unwashed and completely untreated. A perfect start for your brand new dry denim project!
The Emerson Japan Black Selvage is made with sulphur dyed black denim, which ensures that the black colour stays black for a long time. All black denim fades with age, but how they fade will vary greatly. As with all our denim fabrics, our Japan Black Selvage is made with a dyeing technique called rope dye. When rope dyeing denim yarns, the white core of the cotton yarn remains untouched during the dyeing process. With friction and wear as the layers and layers of dye are worn off the surface of the fabric, the un-dyed core of the cotton yarn will appear, slowly leaving beautiful contrast fading to the surface. Ever tried it yourself? A definite essential for any denim enthusiast!
Made in our straight leg jeans, Emerson. 
Details &amp; Features
- 13 Oz narrowloom selvage denim from Kuroki, Japan
- 100% Sanforized cotton,
- Black sulphur dyed warp and weft.
- 8 Oz ecru canvas pocketing
- Black tanned leather patch w/ wax treatment, Made in Italy.
- YKK two-prong tack, silver button fly
- YKK solid copper washed-burr rivets
- Stitched with poly-core cotton thread
- Made at Lisama, Portugal
Model is 183 cm and wears a size 32/32.
Go to our fit guide to read more about the Emerson Straight 
Available sizes are 28-36 in 32” inseam and 30-40 in 34” inseam.</t>
  </si>
  <si>
    <t>emerson-fitguide</t>
  </si>
  <si>
    <t>{"products":{"6177c6bcaccbb81b0b000627":["MEN_Jeans"]},"updated_at":"2021-10-26T09:50:52.798876251Z"}</t>
  </si>
  <si>
    <t>isla-japan-fade</t>
  </si>
  <si>
    <t>Isla Japan Fade</t>
  </si>
  <si>
    <t>Introducing our new jeans, Isla, featuring a straight, relaxed leg and a mid-rise waist—a modern classic with a straighter waist for a good fit.</t>
  </si>
  <si>
    <t>Made in Portugal
Introducing our new jeans model Isla, featuring a straight, relaxed leg and a mid-rise waist - a modern and endurable classic. Isla is constructed with a straighter waist from the hips up to the waistband, making it a good fit for persons with a straighter build. 
Made from a mid- to heavy weight selvage denim fabric developed exclusively for Livid by the renowned Japanese fabric mill, Kurabo. The same fabric we use for our Dry Selvage jeans, but here washed to perfection. A fade reminiscent of your most beloved denims from way back when.
Details &amp; Features
- Light wash indigo selvage denim
- 14 Oz narrowloom selvage denim from Kurabo, Japan
- Exclusive rope dye denim fabric developed by Livid
- 100% Sanforized cotton
- Warp dyed in indigo, natural coloured weft
- 8 Oz ecru canvas pocketing
- Tanned leather patch w/ wax treatment, Made in Italy.
- YKK two-prongtack, silver button fly
- YKK solid copper washed-burr rivets
- Stitched with poly core cotton thread
- Made at Lisama, Portugal
Model is 178 cm and wears a size 26/34.
Go to our fit guide to read more about Isla. 
Available sizes are 24-33 in 32” inseam and 26-34 in 34” inseam.</t>
  </si>
  <si>
    <t>1604</t>
  </si>
  <si>
    <t>{"products":{"6177c6f6accbb81af800069b":["WOMEN_Jeans"]},"updated_at":"2021-10-26T10:02:11.310464918Z"}</t>
  </si>
  <si>
    <t>jone-japan-trouser-navy</t>
  </si>
  <si>
    <t>Jone Trouser Japan Navy</t>
  </si>
  <si>
    <t>Made from a super soft and comfortable fabric, perfect for all seasons. A wardrobe staple enduring beyond trends.</t>
  </si>
  <si>
    <t>Made in Portugal 
The Jone Trouser. Made from a super soft and comfortable 9,8 Oz wideloom fabric woven at the renowned Japanese mill, Kuroki. This particular fabric features a unique double weave construction where the face of the fabric is a 3x1 twill weave and the backside of the fabric is a 1x1 plain weave. A wardrobe staple perfect for all seasons regardless of seasonal and short-term trends.
Made in a slightly adjusted, Jone Slim.
Details &amp; Features
- Garment dye
- 9,8 Oz wideloom cloth woven by Kuroki, Japan
- Double weave construction
- 98% cotton / 2% polyurethane
- 5 Oz ecru canvas pocketing
- Welted rear and back pockets
- YKK zip fly with metal silver zipper
- YKK metal silver two-prongtack donut button
- Stitched with poly core cotton thread
- Made at Lisama, Portugal</t>
  </si>
  <si>
    <t>203</t>
  </si>
  <si>
    <t>{"products":{"6177c6bcaccbb81b0b000627":["MEN_Trouser"]},"updated_at":"2021-10-26T10:04:53.992601063Z"}</t>
  </si>
  <si>
    <t>jone-japan-trouser-stone</t>
  </si>
  <si>
    <t>Jone Trouser Japan Stone</t>
  </si>
  <si>
    <t>jone-japan-indigo, jone-japan-black, jone-japan-blue-1, jone-13-oz-japan-dry-selvage</t>
  </si>
  <si>
    <t>Made from a soft and comfortable wideloom fabric with a unique double weave, featuring a twill weave on the front and a plain weave on the back.</t>
  </si>
  <si>
    <t>{"products":{"6177c6bcaccbb81b0b000627":["MEN_Trouser"]},"updated_at":"2021-10-26T10:05:00.562142112Z"}</t>
  </si>
  <si>
    <t>jone-japan-trouser-olive</t>
  </si>
  <si>
    <t>Jone Trouser Japan Olive</t>
  </si>
  <si>
    <t>{"products":{"6177c6bcaccbb81b0b000627":["MEN_Trouser"]},"updated_at":"2021-10-26T10:04:57.014294868Z"}</t>
  </si>
  <si>
    <t>cassidy-white-oxford</t>
  </si>
  <si>
    <t>Cassidy White Oxford</t>
  </si>
  <si>
    <t>cassidy-beige, cassidy-candy-stripe, cassidy-olive-oxford, cassidy-navy, cassidy-black-1</t>
  </si>
  <si>
    <t>hayes-charcoal</t>
  </si>
  <si>
    <t>The classic regular slim button-down Oxford shirt, Cassidy. Light weight, plain weave fabric. A staple for any season.</t>
  </si>
  <si>
    <t>Made in Portugal 
From our All Seasons collection comes our classic regular slim button-down oxford shirt, Cassidy. Made from a light weight plain weave oxford fabric developed and woven at Somelos in Portugal. This particular fabric has been a staple fabric in our collection for many seasons and has become very popular due to its classic look and comfortable hand feel. A wardrobe staple piece that works in any occasion regardless of seasonal trends. 
Featuring a button-down collar, long sleeves ending in button cuffs, a single chest pocket and pleats for increase mobility on back yoke.
Details
- Plain weave oxford fabric, 100% cotton.
- Woven by Somelos in Portugal
- Mother of Pearl buttons from Louropel, Portugal
- Stitched with poly core cotton thread
- Cut &amp; Sewn by Stork, Portugal
Available sizes small to xxx-large</t>
  </si>
  <si>
    <t>cassidy-fitguide</t>
  </si>
  <si>
    <t>Cassidy-White.jpg</t>
  </si>
  <si>
    <t>{"products":{"6177c6bcaccbb81b0b000627":["MEN_Shirt"]},"updated_at":"2021-10-26T09:38:39.992023207Z"}</t>
  </si>
  <si>
    <t>barnes-japan-dawn</t>
  </si>
  <si>
    <t>Barnes Japan Dawn</t>
  </si>
  <si>
    <t>barnes-japan-black, barnes-japan-gravel, barnes-japan-rinse</t>
  </si>
  <si>
    <t>riley-charcoal</t>
  </si>
  <si>
    <t>The high-rise wide straight, Barnes. Made in our mid blue washed 13 Oz Japanese denim.</t>
  </si>
  <si>
    <t>Made in Portugal
The Japan Dawn. Our mid-blue wash made in a solid 13 Oz 100% cotton denim from the renowned Japanese denim mill Kuroki. Soft to the touch, the Japan Dawn reveals an incredible depth of colour and wonderful texture, due to the long-fibred indigo rope-dyed yarns of the fabric. Not too light, and not too dark, the Japan Dawn strikes the perfect balance for your everyday mid-blue needs. A definite essential.
Made in our wide leg fit, Barnes.
Go to our fit guide to read more about the Barnes Wide. 
Available sizes are 28-38 in 32” inseam.</t>
  </si>
  <si>
    <t>BARNES-JAPAN_DAWN.jpg</t>
  </si>
  <si>
    <t>- Mid-blue washed rope-dyed indigo denim
- 13 Oz wideloom denim from Kuroki, Japan
- 100% Sanforized cotton
- Warp dyed in indigo, natural coloured weft
- 8 Oz ecru canvas pocketing
- Tanned leather patch w/ wax treatment, Made in Italy.
- YKK two-prongtack, silver button fly
- YKK solid copper washed-burr rivets
- Stitched with poly core cotton thread
- Made at Lisama, Portugal</t>
  </si>
  <si>
    <t>{"products":{"6177c6bcaccbb81b0b000627":["MEN_Jeans"]},"updated_at":"2021-10-26T09:31:24.86328364Z"}</t>
  </si>
  <si>
    <t>kai-japan-black</t>
  </si>
  <si>
    <t>Kai Japan Black</t>
  </si>
  <si>
    <t>kai-japan-shadow, kai-japan-dawn, kai-japan-new-blue</t>
  </si>
  <si>
    <t>Introducing Kai, our new relaxed tapered fit. High-rise, fitting precisely in the waist, and curved into the lower back. Perfect for many, with a spacious thigh and slimmer leg opening. Ideal for both slimmer and athletic builds.</t>
  </si>
  <si>
    <t>Made in Portugal
Introducing our new relaxed tapered fit, Kai! High rised, fitting precicely and narrow in the waist, and curved into the lower back. Fans of our Barnes wide will appreciate the spacious thigh, before it taperes down to a slimmer leg opening. The result is a fit that meets the needs of many. On slimmer and average legs, Kai fits precicely in the waist, with a relaxed tapered fit, but Kai is also perfect for the athletic build that needs more room in the thigh and seat with a high and narrow waistband. On the latter body type, Kai will follow the leg naturally from the waist all the down.
Kai Japan Black is made from a 13 Oz 100% cotton, black wideloom denim woven by the renowned Japanese fabric mill, Kuroki. While all black denim will lose colour eventually, this particular denim fades in contrast after wear, evolving a beautiful personal pattern. This is due a special technique called rope dye, whereas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Made in a one-wash finish to increase softness of touch.
Available sizes are 28-36 in 32” inseam and 31-40 in 34” inseam.</t>
  </si>
  <si>
    <t>kai-fitguide</t>
  </si>
  <si>
    <t>KAI-JAPAN_BLACK.jpg</t>
  </si>
  <si>
    <t>Model is 183 cm and wears a size 32/32.</t>
  </si>
  <si>
    <t>{"scale_min":"1.0","scale_max":"5.0","value":"1.0"}</t>
  </si>
  <si>
    <t>- 13 Oz wideloom denim from Kuroki, Japan
- One wash to increase softness
- 100% Sanforized cotton
- Warp &amp; Weft sulphur dyed black
- 8 Oz 5 Oz ecru canvas pocketing
- Black leather patch w/ wax treatment, Made in Italy.
- YKK two-prongtack, silver button and zip fly
- YKK solid copper washed-burr rivets
- Stitched with poly core cotton thread
- Made at Lisama, Portugal</t>
  </si>
  <si>
    <t>&lt;div style='display:none' class='jdgm-prev-badge' data-average-rating='1.00' data-number-of-reviews='1' data-number-of-questions='0'&gt; &lt;span class='jdgm-prev-badge__stars' data-score='1.00' tabindex='0' aria-label='1.00 stars' role='button'&gt; &lt;span class='jdgm-star jdgm--on'&gt;&lt;/span&gt;&lt;span class='jdgm-star jdgm--off'&gt;&lt;/span&gt;&lt;span class='jdgm-star jdgm--off'&gt;&lt;/span&gt;&lt;span class='jdgm-star jdgm--off'&gt;&lt;/span&gt;&lt;span class='jdgm-star jdgm--off'&gt;&lt;/span&gt; &lt;/span&gt; &lt;span class='jdgm-prev-badge__text'&gt; 1 review &lt;/span&gt; &lt;/div&gt;</t>
  </si>
  <si>
    <t>&lt;div class='jdgm-rev-widg' data-updated-at='2026-01-05T00:25:48Z' data-average-rating='1.00' data-number-of-reviews='1' data-number-of-questions='0' data-image-url='https://cdn.shopify.com/s/files/1/1394/5977/files/25.10.31-LIVIDAW25-DAG7_20446_f2fa8a94-3f15-4438-8ae4-4232623e168f.jpg?v=1762518003'&gt; &lt;style class='jdgm-temp-hiding-style'&gt;.jdgm-rev-widg{ display: none }&lt;/style&gt; &lt;div class='jdgm-rev-widg__header'&gt; &lt;h2 class='jdgm-rev-widg__title'&gt;Customer Reviews&lt;/h2&gt;   &lt;div class='jdgm-rich-snippet' itemprop='aggregateRating' itemscope itemtype='http://schema.org/AggregateRating'&gt; &lt;meta itemprop='reviewCount' content='1'&gt; &lt;meta itemprop='ratingValue' content='1.00'&gt; &lt;/div&gt;   &lt;div class='jdgm-rev-widg__summary'&gt; &lt;div class='jdgm-rev-widg__summary-stars' aria-label='Average rating is 1.00 stars' role='img'&gt; &lt;span class='jdgm-star jdgm--on'&gt;&lt;/span&gt;&lt;span class='jdgm-star jdgm--off'&gt;&lt;/span&gt;&lt;span class='jdgm-star jdgm--off'&gt;&lt;/span&gt;&lt;span class='jdgm-star jdgm--off'&gt;&lt;/span&gt;&lt;span class='jdgm-star jdgm--off'&gt;&lt;/span&gt; &lt;/div&gt; &lt;div class='jdgm-rev-widg__summary-text'&gt;Based on 1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data-frequency='1' data-percentage='100'&gt;  &lt;div class='jdgm-histogram__star' role='button' aria-label="100% (1)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100%;'&gt; &lt;/div&gt; &lt;/div&gt; &lt;div class='jdgm-histogram__percentage'&gt;100%&lt;/div&gt; &lt;div class='jdgm-histogram__frequency'&gt;(1)&lt;/div&gt; &lt;/div&gt;  &lt;div class='jdgm-histogram__row jdgm-histogram__clear-filter' data-rating=null tabindex='0'&gt;&lt;/div&gt; &lt;/div&gt;     &lt;div class='jdgm-rev-widg__sort-wrapper'&gt;&lt;/div&gt; &lt;/div&gt; &lt;div class='jdgm-rev-widg__body'&gt;  &lt;div class='jdgm-rev-widg__reviews'&gt;&lt;div class='jdgm-rev jdgm-divider-top' data-verified-buyer='true' data-review-id='3eca30c0-d577-491e-a1f2-be962353a11d' data-review-language='' data-product-title='Kai Japan Black' data-product-url='/products/kai-japan-black' data-thumb-up-count='0' data-thumb-down-count='0'&gt; &lt;div class='jdgm-rev__header'&gt;  &lt;div class='jdgm-rev__icon' &gt; A &lt;/div&gt;  &lt;span class='jdgm-rev__rating' data-score='1' tabindex='0' aria-label='1 star review' role='img'&gt; &lt;span class='jdgm-star jdgm--on'&gt;&lt;/span&gt;&lt;span class='jdgm-star jdgm--off'&gt;&lt;/span&gt;&lt;span class='jdgm-star jdgm--off'&gt;&lt;/span&gt;&lt;span class='jdgm-star jdgm--off'&gt;&lt;/span&gt;&lt;span class='jdgm-star jdgm--off'&gt;&lt;/span&gt; &lt;/span&gt; &lt;span class='jdgm-rev__timestamp jdgm-spinner' data-content='2026-01-05 00:21:03 UTC'&gt;&lt;/span&gt;    &lt;div class='jdgm-rev__br'&gt;&lt;/div&gt; &lt;span class='jdgm-rev__buyer-badge-wrapper'&gt; &lt;span class='jdgm-rev__buyer-badge'&gt;&lt;/span&gt; &lt;/span&gt; &lt;span class='jdgm-rev__author-wrapper'&gt; &lt;span class='jdgm-rev__author'&gt;Anonymous&lt;/span&gt; &lt;span class='jdgm-rev__location' &gt;  &lt;/span&gt;  &lt;/span&gt; &lt;/div&gt; &lt;div class='jdgm-rev__content'&gt;  &lt;div class='jdgm-rev__custom-form'&gt;  &lt;/div&gt; &lt;b class='jdgm-rev__title'&gt;Not received&lt;/b&gt; &lt;div class='jdgm-rev__body'&gt;&lt;p&gt;Not received. Ups mode seems to not work. Be careful with the providing solution you offer.&lt;/p&gt;&lt;/div&gt; &lt;div class='jdgm-rev__pics'&gt;  &lt;/div&gt; &lt;div class='jdgm-rev__vids'&gt;   &lt;/div&gt; &lt;div class='jdgm-rev__transparency-badge-wrapper'&gt;  &lt;/div&gt; &lt;/div&gt; &lt;div class='jdgm-rev__actions'&gt; &lt;div class='jdgm-rev__social'&gt;&lt;/div&gt; &lt;div class='jdgm-rev__votes'&gt;&lt;/div&gt; &lt;/div&gt; &lt;div class='jdgm-rev__reply'&gt;  &lt;/div&gt; &lt;/div&gt;&lt;/div&gt; &lt;div class='jdgm-paginate' data-per-page='5' data-url='https://api.judge.me/reviews/reviews_for_widget' style="display: none;"&gt;&lt;/div&gt;  &lt;/div&gt; &lt;div class='jdgm-rev-widg__paginate-spinner-wrapper'&gt; &lt;div class='jdgm-spinner'&gt;&lt;/div&gt; &lt;/div&gt; &lt;/div&gt;</t>
  </si>
  <si>
    <t>{"products":{"6177c6bcaccbb81b0b000627":["MEN_Jeans"]},"updated_at":"2021-10-26T10:07:11.947165884Z"}</t>
  </si>
  <si>
    <t>kai-japan-dawn</t>
  </si>
  <si>
    <t>Kai Japan Dawn</t>
  </si>
  <si>
    <t>kai-japan-black, kai-japan-shadow, kai-japan-new-blue</t>
  </si>
  <si>
    <t>High rised, fitting narrow in the waist and curved into the lower back. Spacious thigh before tapering down to a slimmer leg opening. Perfect for many needs.</t>
  </si>
  <si>
    <t>Made in Portugal
Introducing our new relaxed tapered fit, Kai! High rised, fitting precicely and narrow in the waist, and curved into the lower back. Fans of our Barnes wide will
appreciate the spacious thigh, before it taperes down to a slimmer leg opening. The result is a fit that meets the needs of many. On slimmer
and average legs, Kai fits precicely in the waist, with a relaxed tapered fit, but Kai is also perfect for the athletic build that needs more room in the thigh and seat with a high and narrow waistband. On the latter body type, Kai will follow the leg naturally from the waist all the down.
The Japan Dawn. Our mid-blue wash made in a solid 13 Oz 100% cotton denim from the renowned Japanese denim mill Kuroki. Soft to the touch, the Japan Dawn reveals an incredible depth of colour and wonderful texture, due to the long-fibred indigo rope-dyed yarns of the fabric. Not too light, and not too dark, the Japan Dawn strikes the perfect balance for your everyday mid-blue needs. A definite essential.
Available sizes are 28-36 in 32” inseam and 31-40 in 34” inseam.</t>
  </si>
  <si>
    <t>KAI_BOLD-JAPAN_DAWN.jpg</t>
  </si>
  <si>
    <t>Male model is 180cm and wearing 30/32</t>
  </si>
  <si>
    <t>&lt;div class='jdgm-rev-widg' data-updated-at='2025-12-30T19:13:22Z' data-average-rating='5.00' data-number-of-reviews='2' data-number-of-questions='0' data-image-url='https://cdn.shopify.com/s/files/1/1394/5977/files/25.10.31-LIVID_AW25-DAG7_20503.jpg?v=1762518245'&gt; &lt;style class='jdgm-temp-hiding-style'&gt;.jdgm-rev-widg{ display: none }&lt;/style&gt; &lt;div class='jdgm-rev-widg__header'&gt; &lt;h2 class='jdgm-rev-widg__title'&gt;Customer Reviews&lt;/h2&gt;   &lt;div class='jdgm-rich-snippet' itemprop='aggregateRating' itemscope itemtype='http://schema.org/AggregateRating'&gt; &lt;meta itemprop='reviewCount' content='2'&gt; &lt;meta itemprop='ratingValue' content='5.00'&gt; &lt;/div&gt;   &lt;div class='jdgm-rev-widg__summary'&gt; &lt;div class='jdgm-rev-widg__summary-stars' aria-label='Average rating is 5.00 stars' role='img'&gt; &lt;span class='jdgm-star jdgm--on'&gt;&lt;/span&gt;&lt;span class='jdgm-star jdgm--on'&gt;&lt;/span&gt;&lt;span class='jdgm-star jdgm--on'&gt;&lt;/span&gt;&lt;span class='jdgm-star jdgm--on'&gt;&lt;/span&gt;&lt;span class='jdgm-star jdgm--on'&gt;&lt;/span&gt; &lt;/div&gt; &lt;div class='jdgm-rev-widg__summary-text'&gt;Based on 2 reviews&lt;/div&gt; &lt;/div&gt; &lt;a style='display: none' href='#' class='jdgm-write-rev-link' role='button'&gt;Write a review&lt;/a&gt; &lt;div class='jdgm-histogram jdgm-temp-hidden'&gt;  &lt;div class='jdgm-histogram__row' data-rating='5' data-frequency='2' data-percentage='100'&gt;  &lt;div class='jdgm-histogram__star' role='button' aria-label="100% (2)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100%;'&gt; &lt;/div&gt; &lt;/div&gt; &lt;div class='jdgm-histogram__percentage'&gt;100%&lt;/div&gt; &lt;div class='jdgm-histogram__frequency'&gt;(2)&lt;/div&gt;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 class='jdgm-rev jdgm-divider-top' data-verified-buyer='true' data-review-id='d27b5fa3-350f-4a16-b922-24400b3bf2fe' data-review-language='' data-product-title='Kai Japan Dawn' data-product-url='/products/kai-japan-dawn' data-thumb-up-count='0' data-thumb-down-count='0'&gt; &lt;div class='jdgm-rev__header'&gt;  &lt;div class='jdgm-rev__icon' &gt; M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data-content='2025-12-30 19:11:28 UTC'&gt;&lt;/span&gt;    &lt;div class='jdgm-rev__br'&gt;&lt;/div&gt; &lt;span class='jdgm-rev__buyer-badge-wrapper'&gt; &lt;span class='jdgm-rev__buyer-badge'&gt;&lt;/span&gt; &lt;/span&gt; &lt;span class='jdgm-rev__author-wrapper'&gt; &lt;span class='jdgm-rev__author'&gt;May Britt Høydal&lt;/span&gt; &lt;span class='jdgm-rev__location' &gt;  &lt;/span&gt;  &lt;/span&gt; &lt;/div&gt; &lt;div class='jdgm-rev__content'&gt;  &lt;div class='jdgm-rev__custom-form'&gt;  &lt;/div&gt; &lt;b class='jdgm-rev__title'&gt;10/10&lt;/b&gt; &lt;div class='jdgm-rev__body'&gt;&lt;p&gt;10/10&lt;/p&gt;&lt;/div&gt; &lt;div class='jdgm-rev__pics'&gt;  &lt;/div&gt; &lt;div class='jdgm-rev__vids'&gt;   &lt;/div&gt; &lt;div class='jdgm-rev__transparency-badge-wrapper'&gt;  &lt;/div&gt; &lt;/div&gt; &lt;div class='jdgm-rev__actions'&gt; &lt;div class='jdgm-rev__social'&gt;&lt;/div&gt; &lt;div class='jdgm-rev__votes'&gt;&lt;/div&gt; &lt;/div&gt; &lt;div class='jdgm-rev__reply'&gt;  &lt;/div&gt; &lt;/div&gt;&lt;div class='jdgm-rev jdgm-divider-top' data-verified-buyer='true' data-review-id='1b8c26e6-a877-49cc-baf0-75a4d3af7d24' data-review-language='' data-product-title='Kai Japan Dawn' data-product-url='/products/kai-japan-dawn' data-thumb-up-count='0' data-thumb-down-count='0'&gt; &lt;div class='jdgm-rev__header'&gt;  &lt;div class='jdgm-rev__icon' &gt; A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data-content='2025-07-29 21:56:08 UTC'&gt;&lt;/span&gt;    &lt;div class='jdgm-rev__br'&gt;&lt;/div&gt; &lt;span class='jdgm-rev__buyer-badge-wrapper'&gt; &lt;span class='jdgm-rev__buyer-badge'&gt;&lt;/span&gt; &lt;/span&gt; &lt;span class='jdgm-rev__author-wrapper'&gt; &lt;span class='jdgm-rev__author'&gt;Anonymous&lt;/span&gt; &lt;span class='jdgm-rev__location' &gt;  &lt;/span&gt;  &lt;/span&gt; &lt;/div&gt; &lt;div class='jdgm-rev__content'&gt;  &lt;div class='jdgm-rev__custom-form'&gt;  &lt;/div&gt; &lt;b class='jdgm-rev__title'&gt;Perfect fit&lt;/b&gt; &lt;div class='jdgm-rev__body'&gt;&lt;p&gt;Perfect fit&lt;/p&gt;&lt;/div&gt; &lt;div class='jdgm-rev__pics'&gt;  &lt;/div&gt; &lt;div class='jdgm-rev__vids'&gt;   &lt;/div&gt; &lt;div class='jdgm-rev__transparency-badge-wrapper'&gt;  &lt;/div&gt; &lt;/div&gt; &lt;div class='jdgm-rev__actions'&gt; &lt;div class='jdgm-rev__social'&gt;&lt;/div&gt; &lt;div class='jdgm-rev__votes'&gt;&lt;/div&gt; &lt;/div&gt; &lt;div class='jdgm-rev__reply'&gt;  &lt;/div&gt; &lt;/div&gt;&lt;/div&gt; &lt;div class='jdgm-paginate' data-per-page='5' data-url='https://api.judge.me/reviews/reviews_for_widget' style="display: none;"&gt;&lt;/div&gt;  &lt;/div&gt; &lt;div class='jdgm-rev-widg__paginate-spinner-wrapper'&gt; &lt;div class='jdgm-spinner'&gt;&lt;/div&gt; &lt;/div&gt; &lt;/div&gt;</t>
  </si>
  <si>
    <t>{"products":{"6177c6bcaccbb81b0b000627":["MEN_Jeans"]},"updated_at":"2021-10-26T10:07:14.970021265Z"}</t>
  </si>
  <si>
    <t>isla-japan-black</t>
  </si>
  <si>
    <t>Isla Japan Black</t>
  </si>
  <si>
    <t>Our Isla jeans model features a straight, relaxed leg with a mid-rise waist. Perfect for a modern and classic look, fitting well for a straighter build.</t>
  </si>
  <si>
    <t>Made in Portugal
Introducing our new jeans model Isla, featuring a straight, relaxed leg and a mid-rise waist - a modern and endurable classic. Isla is constructed with a straighter waist from the hips up to the waistband, making it a good fit for persons with a straighter build.
Made from a 13 Oz 100% cotton, black wideloom denim woven by the renowned Japanese fabric mill, Kuroki. 
While all black denim will loose colour eventually, this particular denim fades in contrast after wear, evolving a beautiful personal pattern. This is due a special technique called rope dye, whereas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Model is 178 cm and wears a size 26/34.
Made in a one-wash finish to increase softness of touch.
Available sizes are 24-33 in 32” inseam and 26-34 in 34” inseam.</t>
  </si>
  <si>
    <t>{"products":{"6177c6f6accbb81af800069b":["WOMEN_Jeans"]},"updated_at":"2021-10-26T10:02:07.735812321Z"}</t>
  </si>
  <si>
    <t>keri-japan-broken</t>
  </si>
  <si>
    <t>Keri Japan Broken</t>
  </si>
  <si>
    <t>keri-japan-dawn, keri-japan-gravel, keri-japan-black, keri-japan-fog, keri-bisect-japan-shadow-gravel, keri-wide-japan-marble</t>
  </si>
  <si>
    <t>Our wide straight Keri in a distressed light wash.</t>
  </si>
  <si>
    <t>LIVID-E-COM-SS23-JEANS16323.jpg, LIVID-E-COM-SS23-JEANS16356.jpg, LIVID-E-COM-SS23-JEANS16329.jpg, LIVID-E-COM-SS23-JEANS16335.jpg, LIVID-E-COM-SS23-JEANS16374.jpg, LIVID-E-COM-SS23-JEANS16317.jpg, LIVID-E-COM-SS23-JEANS16370.jpg, LIVID-E-COM-SS23-JEANS16341.jpg, LIVID-E-COM-SS23-JEANS16383.jpg, LIVID-E-COM-SS23-JEANS16365.jpg</t>
  </si>
  <si>
    <t>LIVID-E-COM-SS23-JEANS15766.jpg, LIVID-E-COM-SS23-JEANS15783.jpg, LIVID-E-COM-SS23-JEANS15789.jpg, LIVID-E-COM-SS23-JEANS15793.jpg, LIVID-E-COM-SS23-JEANS15816.jpg, LIVID-E-COM-SS23-JEANS15796.jpg, LIVID-E-COM-SS23-JEANS15803.jpg, LIVID-E-COM-SS23-JEANS15813.jpg, LIVID-E-COM-SS23-JEANS15819.jpg</t>
  </si>
  <si>
    <t>Made in Portugal
The Japan Broken. Our light distress wash made in a solid 13 Oz 100% cotton denim from the renowned Japanese denim mill Kuroki. Soft to the touch with a worn-in look.
Available in our wide leg fit, Keri.
Details &amp; Features
- Mid-blue washed rope-dyed indigo denim
- 13 Oz wideloom denim from Kuroki, Japan
- 100% Sanforized cotton
- Warp dyed in indigo, natural coloured weft
- 8 Oz ecru canvas pocketing
- Tanned leather patch w/ wax treatment, Made in Italy.
- YKK two-prongtack, silver button fly
- YKK solid copper washed-burr rivets
- Stitched with poly core cotton thread
- Made at Lisama, Portugal
Model is 178 cm and wears a size 26/32.
Go to our fit guide to read more about the loose leg fit, Keri.</t>
  </si>
  <si>
    <t>{"products":{"6177c6f6accbb81af800069b":["WOMEN_Jeans"]},"updated_at":"2021-10-26T10:08:12.836622397Z"}</t>
  </si>
  <si>
    <t>palmer-black</t>
  </si>
  <si>
    <t>Palmer Black</t>
  </si>
  <si>
    <t>palmer-grey, palmer-navy</t>
  </si>
  <si>
    <t>Palmer, our staple sweatshirt.</t>
  </si>
  <si>
    <t>Made in Portugal 
From our All Seasons line comes our staple sweatshirt Palmer. Made from a pre-shrunk 100% cotton loopback jersey exclusively knitted for Livid in Portugal. This particular fabric is developed for durability and comfortable hand feel, and made in a versatile weight that works well all year round. Made in a classic crewneck fit.
Details &amp; Features
- 100% cotton
- 320 gsm pre-shrunk loopback jersey
- Livid embroidery on chest
- Fine rib collar 
- Overlocked shoulder seams
- Sewn with durrable poly-core cotton thread
- Jesey knitted by Etevimol in Portugal
- Made at Texgoios in Portugal</t>
  </si>
  <si>
    <t>palmer-fitguide</t>
  </si>
  <si>
    <t>{"products":{"6177c6bcaccbb81b0b000627":["MEN_Sweatshirt"]},"updated_at":"2022-06-09T12:56:34.406882283Z"}</t>
  </si>
  <si>
    <t>kai-japan-fade</t>
  </si>
  <si>
    <t>Kai Japan Fade</t>
  </si>
  <si>
    <t>kai-japan-dawn, kai-japan-new-blue, kai-japan-shadow, kai-japan-black, kai-15-5-oz-japan-dry-selvage</t>
  </si>
  <si>
    <t>Kai, our relaxed tapered fit, is high-rised and narrow in the waist, curving into the lower back. Fans will appreciate the spacious thigh before it tapers down to a slimmer leg opening.</t>
  </si>
  <si>
    <t>Made in Portugal
Kai, our relaxed tapered fit. High rised, fitting precicely and narrow in the waist, and curved into the lower back. Fans of our Barnes wide will appreciate the spacious thigh, before it taperes down to a slimmer leg opening. The result is a fit that meets the needs of many. On slimmer and average legs, Kai fits precicely in the waist, with a relaxed tapered fit, but Kai is also perfect for the athletic build that needs more room in the thigh and seat with a high and narrow waistband. On the latter body type, Kai will follow the leg naturally from the waist all the down.
The Japan Fade. Our light wash made in a solid 13 Oz 100% cotton denim from the renowned Japanese denim mill Kuroki. Soft to the touch, the Japan Fade has the light look of well worn in denim, with a wonderful depth of texture due to the long-fibred indigo rope-dyed yarns of the fabric. A definite essential.
Details &amp; Features
- Light washed rope-dyed indigo denim
- 13 Oz wideloom denim from Kuroki, Japan
- 100% Sanforized cotton
- Warp dyed in indigo, natural coloured weft
- 8 Oz ecru canvas pocketing
- Tanned leather patch w/ wax treatment, Made in Italy.
- YKK two-prongtack, silver button fly
- YKK solid copper washed-burr rivets
- Stitched with poly core cotton thread
- Made at Lisama, Portugal
Model is 183 cm and wears a size 32/32.
Available sizes are 28-36 in 32” inseam and 30-40 in 34” inseam.</t>
  </si>
  <si>
    <t>KAI_BOLD_JAPAN_FADE.jpg</t>
  </si>
  <si>
    <t>&lt;div class='jdgm-rev-widg' data-updated-at='2025-12-25T11:21:36Z' data-average-rating='0.00' data-number-of-reviews='0' data-number-of-questions='0' data-image-url='https://cdn.shopify.com/s/files/1/1394/5977/products/Jeans-E-com-april-2022-42139.jpg?v=1650532913'&gt;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</si>
  <si>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{"products":{"6177c6bcaccbb81b0b000627":["MEN_Jeans"]},"updated_at":"2022-03-31T12:14:00.248697001Z"}</t>
  </si>
  <si>
    <t>ann-japan-black</t>
  </si>
  <si>
    <t>Ann Japan Black</t>
  </si>
  <si>
    <t>ann-japan-dawn</t>
  </si>
  <si>
    <t>Introducing Ann, our tapered fit similar to Tia from waist to thigh, then slimming at the leg for a sleeker silhouette or relaxed tapered look.</t>
  </si>
  <si>
    <t>Made in Portugal
Introducing Ann, our curved, high rise tapered fit. Identical to our popular Tia from the waist to the thigh, Ann then tapers to a slimmer leg opening. Perfect for the customer who wants a slimmer silhouette, but needs more room at the hip and thigh, or a customer who wants a relaxed tapered look.
The Japan Black Comfort. Made from a 10,6 Oz black comfort wideloom denim woven at the renowned Japanese fabric mill, Kuroki. This particular fabric have been made with a premium black sulphur dye that keep the dark shade longer than most fabrics in the same segment. While all black denim loose colour, this particular denim fades in contrast after wear. This is due a special technique called rope dye, whereas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All black denim will loose its colour. Some transform into a dull grey version of itself, but this particular denim, fades in contrast giving more and more life, resulting in a denim that only get more beautiful with age.
Another small detail. The surface of this particular denim has been given an anti-dust treatment, preventing lint from attaching to the surface of the fabric. 
Details &amp; Features
- 10,6 Oz comfort wideloom denim from Kuroki, Japan
- 96% cotton / 4% polyurethane
- Warp &amp; weft dyed in black
- 5 Oz ecru canvas pocketing
- Black leather patch w/ wax treatment. Made in Italy
- YKK two-prongtack, silver button and zip fly
- YKK solid copper washed-burr rivets
- Stitched with poly core cotton thread
- Made at Lisama, Portugal
Model is 178 cm and wears a size 26/34.
Available sizes are 24-33 in 32″ inseam and 26-34 in 34″ inseam.</t>
  </si>
  <si>
    <t>ann-fitguide</t>
  </si>
  <si>
    <t>&lt;div class='jdgm-rev-widg' data-updated-at='2025-08-05T09:44:59Z' data-average-rating='5.00' data-number-of-reviews='1' data-number-of-questions='0' data-image-url='https://cdn.shopify.com/s/files/1/1394/5977/products/Jeans-E-com-april-2022-00173.jpg?v=1650636346'&gt; &lt;style class='jdgm-temp-hiding-style'&gt;.jdgm-rev-widg{ display: none }&lt;/style&gt; &lt;div class='jdgm-rev-widg__header'&gt; &lt;h2 class='jdgm-rev-widg__title'&gt;Customer Reviews&lt;/h2&gt;   &lt;div class='jdgm-rich-snippet' itemprop='aggregateRating' itemscope itemtype='http://schema.org/AggregateRating'&gt; &lt;meta itemprop='reviewCount' content='1'&gt; &lt;meta itemprop='ratingValue' content='5.00'&gt; &lt;/div&gt;   &lt;div class='jdgm-rev-widg__summary'&gt; &lt;div class='jdgm-rev-widg__summary-stars' aria-label='Average rating is 5.00 stars' role='img'&gt; &lt;span class='jdgm-star jdgm--on'&gt;&lt;/span&gt;&lt;span class='jdgm-star jdgm--on'&gt;&lt;/span&gt;&lt;span class='jdgm-star jdgm--on'&gt;&lt;/span&gt;&lt;span class='jdgm-star jdgm--on'&gt;&lt;/span&gt;&lt;span class='jdgm-star jdgm--on'&gt;&lt;/span&gt; &lt;/div&gt; &lt;div class='jdgm-rev-widg__summary-text'&gt;Based on 1 review&lt;/div&gt; &lt;/div&gt; &lt;a style='display: none' href='#' class='jdgm-write-rev-link' role='button'&gt;Write a review&lt;/a&gt; &lt;div class='jdgm-histogram jdgm-temp-hidden'&gt;  &lt;div class='jdgm-histogram__row' data-rating='5' data-frequency='1' data-percentage='100'&gt;  &lt;div class='jdgm-histogram__star' role='button' aria-label="100% (1)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100%;'&gt; &lt;/div&gt; &lt;/div&gt; &lt;div class='jdgm-histogram__percentage'&gt;100%&lt;/div&gt; &lt;div class='jdgm-histogram__frequency'&gt;(1)&lt;/div&gt;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 class='jdgm-rev jdgm-divider-top' data-verified-buyer='true' data-review-id='614106a7-d76a-495a-9ced-360180416bfa' data-review-language='' data-product-title='Ann Japan Black' data-product-url='/products/ann-japan-black' data-thumb-up-count='0' data-thumb-down-count='0'&gt; &lt;div class='jdgm-rev__header'&gt;  &lt;div class='jdgm-rev__icon' &gt; A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data-content='2025-08-05 09:43:55 UTC'&gt;&lt;/span&gt;    &lt;div class='jdgm-rev__br'&gt;&lt;/div&gt; &lt;span class='jdgm-rev__buyer-badge-wrapper'&gt; &lt;span class='jdgm-rev__buyer-badge'&gt;&lt;/span&gt; &lt;/span&gt; &lt;span class='jdgm-rev__author-wrapper'&gt; &lt;span class='jdgm-rev__author'&gt;Anika&lt;/span&gt; &lt;span class='jdgm-rev__location' &gt;  &lt;/span&gt;  &lt;/span&gt; &lt;/div&gt; &lt;div class='jdgm-rev__content'&gt;  &lt;div class='jdgm-rev__custom-form'&gt;  &lt;/div&gt; &lt;b class='jdgm-rev__title'&gt;My favourite jeans&lt;/b&gt; &lt;div class='jdgm-rev__body'&gt;&lt;p&gt;My favourite jeans, this is my second pair. I love the fit and they last a long time.&lt;/p&gt;&lt;/div&gt; &lt;div class='jdgm-rev__pics'&gt;  &lt;/div&gt; &lt;div class='jdgm-rev__vids'&gt;   &lt;/div&gt; &lt;div class='jdgm-rev__transparency-badge-wrapper'&gt;  &lt;/div&gt; &lt;/div&gt; &lt;div class='jdgm-rev__actions'&gt; &lt;div class='jdgm-rev__social'&gt;&lt;/div&gt; &lt;div class='jdgm-rev__votes'&gt;&lt;/div&gt; &lt;/div&gt; &lt;div class='jdgm-rev__reply'&gt;  &lt;/div&gt; &lt;/div&gt;&lt;/div&gt; &lt;div class='jdgm-paginate' data-per-page='5' data-url='https://api.judge.me/reviews/reviews_for_widget' style="display: none;"&gt;&lt;/div&gt;  &lt;/div&gt; &lt;div class='jdgm-rev-widg__paginate-spinner-wrapper'&gt; &lt;div class='jdgm-spinner'&gt;&lt;/div&gt; &lt;/div&gt; &lt;/div&gt;</t>
  </si>
  <si>
    <t>{"products":{"6177c6f6accbb81af800069b":["WOMEN_Jeans"]},"updated_at":"2022-04-01T08:46:08.477711437Z"}</t>
  </si>
  <si>
    <t>nile-black</t>
  </si>
  <si>
    <t>Nile Black</t>
  </si>
  <si>
    <t>nile-white, nile-cashmere-natural, nile-chalk</t>
  </si>
  <si>
    <t>keri-japan-dawn</t>
  </si>
  <si>
    <t>Our rib jersey top Nile featuring a slim shape, an open neck opening with a solid jersey rib at neck and sleeve opening.</t>
  </si>
  <si>
    <t>Made in Portugal
Our rib jersey top Nile is one of our jersey essentials. Nile is made in a soft 100% cotton rib jersey made in Portugal.
Nile features a slim shape, an open neck opening with a solid jersey rib at neck and sleeve opening.
The garment features:
- 100% cotton
- Pre-shrunk rib jersey, knitted at Etevimol, Portugal
- Poly core cotton thread
- Made at Texgoios in Portugal
Available in sizes XS to XL.</t>
  </si>
  <si>
    <t>nile-fitguide</t>
  </si>
  <si>
    <t>LIVID-E-COM-SS2312047.jpg</t>
  </si>
  <si>
    <t>{"products":{"6177c6f6accbb81af800069b":["WOMEN_Singlet"]},"updated_at":"2022-06-07T13:32:50.283607618Z"}</t>
  </si>
  <si>
    <t>live-japan-black</t>
  </si>
  <si>
    <t>Live Japan Black</t>
  </si>
  <si>
    <t>live-japan-indigo</t>
  </si>
  <si>
    <t>Live offers a classic slim/straight silhouette, fitting slim in the thigh and straight from the knee down, ideal for a straighter build.</t>
  </si>
  <si>
    <t>Made in Portugal
Introducing Live, our straight waisted slim/straight. With a slim fit in the thigh, and straight from the knee down, Live has a classic slim/straight silhouette. Live has a straigher fit from hip to waist, making it an ideal fit for a straighter build.
The Japan Black Comfort. Made from a 10,6 Oz black comfort wideloom denim woven at the renowned Japanese fabric mill, Kuroki. This particular fabric have been made with a premium black sulphur dye that keep the dark shade longer than most fabrics in the same segment. While all black denim loose colour, this particular denim fades in contrast after wear. This is due a special technique called rope dye, whereas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All black denim will loose its colour. Some transform into a dull grey version of itself, but this particular denim, fades in contrast giving more and more life, resulting in a denim that only gets more beautiful with age.
Another small detail. The surface of this particular denim has been an anti-dust treatment, preventing lint from attaching to the surface of the fabric. 
Details &amp; Features
- 10,6 Oz comfort wideloom denim from Kuroki, Japan
- 96% cotton / 4% polyurethane
- Warp &amp; weft dyed in black
- 5 Oz ecru canvas pocketing
- Black leather patch w/ wax treatment. Made in Italy
- YKK two-prongtack, silver button and zip fly
- YKK solid copper washed-burr rivets
- Stitched with poly core cotton thread
- Made at Lisama, Portugal
Model is 178 cm and wears a size 26/34.</t>
  </si>
  <si>
    <t>live-fitguide</t>
  </si>
  <si>
    <t>{"products":{"6177c6f6accbb81af800069b":["WOMEN_Jeans"]},"updated_at":"2022-04-04T13:07:38.576712798Z"}</t>
  </si>
  <si>
    <t>Live Japan Indigo</t>
  </si>
  <si>
    <t>Live features a slim fit in the thigh, straight from the knee down, ideal for a straighter build. Its classic silhouette offers a straight fit from hip to waist.</t>
  </si>
  <si>
    <t>Made in Portugal
Introducing Live, our straight waisted slim/straight. With a slim fit in the thigh, and straight from the knee down, Live has a classic slim/straight silhouette. Live has a straigher fit from hip to waist, making it an ideal fit for a straighter build.
The Japan Indigo. Made from a beautiful mid-weight wideloom denim woven at the renowned Japanese fabric mill, Kuroki. This particular fabric was built by Kuroki with a main goal at hand, creating a comfortable stretch denim that maintained the look of a rigid (100% cotton) denim. That is also particularly why this denim is the most widely used denim-article throughout our collections, now being the fabric of choice for 10 different core-styles in our rage. A super versatile denim, beautiful in all types of shades in addition to providing great comfort, stretch and recovery after wear. A safe choice for all who loves a pair of genuine fitting jeans in their wardrobe.
Details &amp; Features
- 13 Oz comfort wideloom denim from Kuroki, Japan. 
- 98% cotton / 2% polyurethane
- Warp dyed in indigo, natural coloured weft
- 5 Oz ecru canvas pocketing 
- Tanned leather patch w/ wax treatment, Made in Italy. 
- YKK two-prongtack, silver button and zip fly
- YKK solid copper washed-burr rivets
- Stitched with poly core cotton thread
- Made at Lisama, Portugal
Model is 178 cm and wears a size 26/34.</t>
  </si>
  <si>
    <t>{"products":{"6177c6f6accbb81af800069b":["WOMEN_Jeans"]},"updated_at":"2022-04-04T13:07:50.149467427Z"}</t>
  </si>
  <si>
    <t>faye-japan-dawn</t>
  </si>
  <si>
    <t>Faye Japan Dawn</t>
  </si>
  <si>
    <t>faye-japan-shadow, faye-japan-mole</t>
  </si>
  <si>
    <t>Introducing Faye, our rigid curved straight fit. Made in a Japanese denim quality, 100% cotton, washed for a soft handfeel. Perfectly pairs with your favourite boots.</t>
  </si>
  <si>
    <t>Jeans-E-com-april-2022-0305_a141c83e-8202-40ce-8a36-1ce43a012138.jpg, Jeans-E-com-april-2022-0309.jpg, Jeans-E-com-april-2022-0320.jpg, Jeans-E-com-april-2022-0325.jpg, Jeans-E-com-april-2022-0330.jpg, Jeans-E-com-april-2022-0332.jpg, Jeans-E-com-april-2022-0348_1.jpg, Jeans-E-com-april-2022-0348.jpg, Jeans-E-com-april-2022-0351.jpg</t>
  </si>
  <si>
    <t>Made in Portugal
Introducing Faye, our rigid curved straight fit. Made in a Japanese denim quality, 100% cotton, washed for a soft handfeel. Faye is curved at the waist giving a great fit, with a straight silhouette that slightly tapers at the leg opening. A very classic, but super relevant fit in this moment, that goes perfectly with your favourite pair of boots.
Faye Japan Dawn features our mid-blue wash, made in a solid 13 Oz 100% cotton denim from the renowned Japanese denim mill Kuroki. Soft to the touch, the Japan Dawn reveals an incredible depth of colour and wonderful texture, due to the long-fibred indigo rope-dyed yarns of the fabric. Not too light, and not too dark, the Japan Dawn strikes the perfect balance for your everyday mid-blue needs. A definite essential.
Details &amp; Features
- Mid-blue washed rope-dyed indigo denim
- 13 Oz wideloom denim from Kuroki, Japan
- 100% Sanforized cotton
- Warp dyed in indigo, natural coloured weft
- 8 Oz ecru canvas pocketing
- Tanned leather patch w/ wax treatment, Made in Italy.
- YKK two-prongtack, silver button fly
- YKK solid copper washed-burr rivets
- Stitched with poly core cotton thread
- Made at Lisama, Portugal
Model is 178 cm and wears a size 26/34.
Available sizes are 25-32 in 32” inseam, and 26-33 in 34 inseam."</t>
  </si>
  <si>
    <t>faye-fitguide</t>
  </si>
  <si>
    <t>Faye_Japan_Dawn.jpg</t>
  </si>
  <si>
    <t>&lt;div style='display:none' class='jdgm-prev-badge' data-average-rating='3.00' data-number-of-reviews='1' data-number-of-questions='0'&gt; &lt;span class='jdgm-prev-badge__stars' data-score='3.00' tabindex='0' aria-label='3.00 stars' role='button'&gt; &lt;span class='jdgm-star jdgm--on'&gt;&lt;/span&gt;&lt;span class='jdgm-star jdgm--on'&gt;&lt;/span&gt;&lt;span class='jdgm-star jdgm--on'&gt;&lt;/span&gt;&lt;span class='jdgm-star jdgm--off'&gt;&lt;/span&gt;&lt;span class='jdgm-star jdgm--off'&gt;&lt;/span&gt; &lt;/span&gt; &lt;span class='jdgm-prev-badge__text'&gt; 1 review &lt;/span&gt; &lt;/div&gt;</t>
  </si>
  <si>
    <t>&lt;div class='jdgm-rev-widg' data-updated-at='2025-07-16T11:07:15Z' data-average-rating='3.00' data-number-of-reviews='1' data-number-of-questions='0' data-image-url='https://cdn.shopify.com/s/files/1/1394/5977/products/Jeans-E-com-april-2022-0305.jpg?v=1650636639'&gt; &lt;style class='jdgm-temp-hiding-style'&gt;.jdgm-rev-widg{ display: none }&lt;/style&gt; &lt;div class='jdgm-rev-widg__header'&gt; &lt;h2 class='jdgm-rev-widg__title'&gt;Customer Reviews&lt;/h2&gt;   &lt;div class='jdgm-rich-snippet' itemprop='aggregateRating' itemscope itemtype='http://schema.org/AggregateRating'&gt; &lt;meta itemprop='reviewCount' content='1'&gt; &lt;meta itemprop='ratingValue' content='3.00'&gt; &lt;/div&gt;   &lt;div class='jdgm-rev-widg__summary'&gt; &lt;div class='jdgm-rev-widg__summary-stars' aria-label='Average rating is 3.00 stars' role='img'&gt; &lt;span class='jdgm-star jdgm--on'&gt;&lt;/span&gt;&lt;span class='jdgm-star jdgm--on'&gt;&lt;/span&gt;&lt;span class='jdgm-star jdgm--on'&gt;&lt;/span&gt;&lt;span class='jdgm-star jdgm--off'&gt;&lt;/span&gt;&lt;span class='jdgm-star jdgm--off'&gt;&lt;/span&gt; &lt;/div&gt; &lt;div class='jdgm-rev-widg__summary-text'&gt;Based on 1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data-frequency='1' data-percentage='100'&gt;  &lt;div class='jdgm-histogram__star' role='button' aria-label="100% (1)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100%;'&gt; &lt;/div&gt; &lt;/div&gt; &lt;div class='jdgm-histogram__percentage'&gt;100%&lt;/div&gt; &lt;div class='jdgm-histogram__frequency'&gt;(1)&lt;/div&gt;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 class='jdgm-rev jdgm-divider-top' data-verified-buyer='true' data-review-id='84e05152-5c48-4f10-ae95-318e782c7f72' data-review-language='' data-product-title='Faye Japan Dawn' data-product-url='/products/faye-japan-dawn' data-thumb-up-count='0' data-thumb-down-count='0'&gt; &lt;div class='jdgm-rev__header'&gt;  &lt;div class='jdgm-rev__icon' &gt; E &lt;/div&gt;  &lt;span class='jdgm-rev__rating' data-score='3' tabindex='0' aria-label='3 star review' role='img'&gt; &lt;span class='jdgm-star jdgm--on'&gt;&lt;/span&gt;&lt;span class='jdgm-star jdgm--on'&gt;&lt;/span&gt;&lt;span class='jdgm-star jdgm--on'&gt;&lt;/span&gt;&lt;span class='jdgm-star jdgm--off'&gt;&lt;/span&gt;&lt;span class='jdgm-star jdgm--off'&gt;&lt;/span&gt; &lt;/span&gt; &lt;span class='jdgm-rev__timestamp jdgm-spinner' data-content='2025-07-16 11:01:48 UTC'&gt;&lt;/span&gt;    &lt;div class='jdgm-rev__br'&gt;&lt;/div&gt; &lt;span class='jdgm-rev__buyer-badge-wrapper'&gt; &lt;span class='jdgm-rev__buyer-badge'&gt;&lt;/span&gt; &lt;/span&gt; &lt;span class='jdgm-rev__author-wrapper'&gt; &lt;span class='jdgm-rev__author'&gt;Eira&lt;/span&gt; &lt;span class='jdgm-rev__location' &gt;  &lt;/span&gt;  &lt;/span&gt; &lt;/div&gt; &lt;div class='jdgm-rev__content'&gt;  &lt;div class='jdgm-rev__custom-form'&gt;  &lt;/div&gt; &lt;b class='jdgm-rev__title'&gt;Too tight on the ties and nicely loose on the&lt;/b&gt; &lt;div class='jdgm-rev__body'&gt;&lt;p&gt;Too tight on the ties and nicely loose on the rest&lt;/p&gt;&lt;/div&gt; &lt;div class='jdgm-rev__pics'&gt;  &lt;/div&gt; &lt;div class='jdgm-rev__vids'&gt;   &lt;/div&gt; &lt;div class='jdgm-rev__transparency-badge-wrapper'&gt;  &lt;/div&gt; &lt;/div&gt; &lt;div class='jdgm-rev__actions'&gt; &lt;div class='jdgm-rev__social'&gt;&lt;/div&gt; &lt;div class='jdgm-rev__votes'&gt;&lt;/div&gt; &lt;/div&gt; &lt;div class='jdgm-rev__reply'&gt;  &lt;/div&gt; &lt;/div&gt;&lt;/div&gt; &lt;div class='jdgm-paginate' data-per-page='5' data-url='https://api.judge.me/reviews/reviews_for_widget' style="display: none;"&gt;&lt;/div&gt;  &lt;/div&gt; &lt;div class='jdgm-rev-widg__paginate-spinner-wrapper'&gt; &lt;div class='jdgm-spinner'&gt;&lt;/div&gt; &lt;/div&gt; &lt;/div&gt;</t>
  </si>
  <si>
    <t>{"products":{"6177c6f6accbb81af800069b":["WOMEN_Jeans"]},"updated_at":"2022-04-04T13:08:24.27325713Z"}</t>
  </si>
  <si>
    <t>faye-japan-shadow</t>
  </si>
  <si>
    <t>Faye Japan Shadow</t>
  </si>
  <si>
    <t>faye-japan-dawn, faye-japan-mole</t>
  </si>
  <si>
    <t>Curved at the waist for a great fit, straight silhouette that tapers slightly at the leg opening. Classic, but super relevant, perfect with your favorite boots.</t>
  </si>
  <si>
    <t>Jeans-E-com-april-2022-0372.jpg, Jeans-E-com-april-2022-0385.jpg, Jeans-E-com-april-2022-0389.jpg, Jeans-E-com-april-2022-0391.jpg, Jeans-E-com-april-2022-0393.jpg, Jeans-E-com-april-2022-0404.jpg, Jeans-E-com-april-2022-0408.jpg, Jeans-E-com-april-2022-0412.jpg, Jeans-E-com-april-2022-0364.jpg</t>
  </si>
  <si>
    <t>Made in Portugal
Faye, our rigid curved straight fit.
Made in a Japanese denim quality, 100% cotton, washed for a soft handfeel. Faye is curved at the waist giving a great fit, with a straight silhouette that slightly tapers at the leg opening. A very classic, but super relevant fit in this moment, that goes perfectly with your favourite pair of boots.
Faye Japan Shadow is made from a 13 Oz 100% cotton, black wideloom denim woven by the renowned Japanese fabric mill, Kuroki. Washed down to a lived-in look. The Japan Shadow achieves a subtle depth and texture to the greying black, thanks to the 
special dyeing technique called rope dye, where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Details &amp; Features
- 13 Oz wideloom denim from Kuroki, Japan
- 100% Sanforized cotton
- Warp &amp; Weft sulphur dyed black
- 8 Oz 5 Oz ecru canvas pocketing
- Black leather patch w/ wax treatment, Made in Italy.
- YKK two-prongtack, silver button and zip fly
- YKK solid copper washed-burr rivets
- Stitched with poly core cotton thread
- Made at Lisama, Portugal
Model is 178 cm and wears a size 26/34.
Available sizes are 25-32 in 32” inseam, and 26-33 in 34" inseam.</t>
  </si>
  <si>
    <t>FayeJapanShadow.jpg</t>
  </si>
  <si>
    <t>&lt;div class='jdgm-rev-widg' data-updated-at='2025-09-03T11:44:15Z' data-average-rating='5.00' data-number-of-reviews='1' data-number-of-questions='0' data-image-url='https://cdn.shopify.com/s/files/1/1394/5977/products/Jeans-E-com-april-2022-0364.jpg?v=1650636670'&gt; &lt;style class='jdgm-temp-hiding-style'&gt;.jdgm-rev-widg{ display: none }&lt;/style&gt; &lt;div class='jdgm-rev-widg__header'&gt; &lt;h2 class='jdgm-rev-widg__title'&gt;Customer Reviews&lt;/h2&gt;   &lt;div class='jdgm-rich-snippet' itemprop='aggregateRating' itemscope itemtype='http://schema.org/AggregateRating'&gt; &lt;meta itemprop='reviewCount' content='1'&gt; &lt;meta itemprop='ratingValue' content='5.00'&gt; &lt;/div&gt;   &lt;div class='jdgm-rev-widg__summary'&gt; &lt;div class='jdgm-rev-widg__summary-stars' aria-label='Average rating is 5.00 stars' role='img'&gt; &lt;span class='jdgm-star jdgm--on'&gt;&lt;/span&gt;&lt;span class='jdgm-star jdgm--on'&gt;&lt;/span&gt;&lt;span class='jdgm-star jdgm--on'&gt;&lt;/span&gt;&lt;span class='jdgm-star jdgm--on'&gt;&lt;/span&gt;&lt;span class='jdgm-star jdgm--on'&gt;&lt;/span&gt; &lt;/div&gt; &lt;div class='jdgm-rev-widg__summary-text'&gt;Based on 1 review&lt;/div&gt; &lt;/div&gt; &lt;a style='display: none' href='#' class='jdgm-write-rev-link' role='button'&gt;Write a review&lt;/a&gt; &lt;div class='jdgm-histogram jdgm-temp-hidden'&gt;  &lt;div class='jdgm-histogram__row' data-rating='5' data-frequency='1' data-percentage='100'&gt;  &lt;div class='jdgm-histogram__star' role='button' aria-label="100% (1)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100%;'&gt; &lt;/div&gt; &lt;/div&gt; &lt;div class='jdgm-histogram__percentage'&gt;100%&lt;/div&gt; &lt;div class='jdgm-histogram__frequency'&gt;(1)&lt;/div&gt;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 class='jdgm-rev jdgm-divider-top' data-verified-buyer='true' data-review-id='5403799a-bd34-444d-a90b-16baa6409ef0' data-review-language='' data-product-title='Faye Japan Shadow' data-product-url='/products/faye-japan-shadow' data-thumb-up-count='0' data-thumb-down-count='0'&gt; &lt;div class='jdgm-rev__header'&gt;  &lt;div class='jdgm-rev__icon' &gt; A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data-content='2025-09-03 11:39:12 UTC'&gt;&lt;/span&gt;    &lt;div class='jdgm-rev__br'&gt;&lt;/div&gt; &lt;span class='jdgm-rev__buyer-badge-wrapper'&gt; &lt;span class='jdgm-rev__buyer-badge'&gt;&lt;/span&gt; &lt;/span&gt; &lt;span class='jdgm-rev__author-wrapper'&gt; &lt;span class='jdgm-rev__author'&gt;Ane&lt;/span&gt; &lt;span class='jdgm-rev__location' &gt;  &lt;/span&gt;  &lt;/span&gt; &lt;/div&gt; &lt;div class='jdgm-rev__content'&gt;  &lt;div class='jdgm-rev__custom-form'&gt;  &lt;/div&gt; &lt;b class='jdgm-rev__title'&gt;The best jeans I have ever owned! So have had to buy an extra pair&lt;/b&gt; &lt;div class='jdgm-rev__body'&gt;&lt;p&gt;The best jeans I have ever owned! So have had to buy an extra pair.&lt;/p&gt;&lt;/div&gt; &lt;div class='jdgm-rev__pics'&gt;  &lt;/div&gt; &lt;div class='jdgm-rev__vids'&gt;   &lt;/div&gt; &lt;div class='jdgm-rev__transparency-badge-wrapper'&gt;  &lt;/div&gt; &lt;/div&gt; &lt;div class='jdgm-rev__actions'&gt; &lt;div class='jdgm-rev__social'&gt;&lt;/div&gt; &lt;div class='jdgm-rev__votes'&gt;&lt;/div&gt; &lt;/div&gt; &lt;div class='jdgm-rev__reply'&gt;  &lt;/div&gt; &lt;/div&gt;&lt;/div&gt; &lt;div class='jdgm-paginate' data-per-page='5' data-url='https://api.judge.me/reviews/reviews_for_widget' style="display: none;"&gt;&lt;/div&gt;  &lt;/div&gt; &lt;div class='jdgm-rev-widg__paginate-spinner-wrapper'&gt; &lt;div class='jdgm-spinner'&gt;&lt;/div&gt; &lt;/div&gt; &lt;/div&gt;</t>
  </si>
  <si>
    <t>{"products":{"6177c6f6accbb81af800069b":["WOMEN_Jeans"]},"updated_at":"2022-04-04T13:08:34.791386987Z"}</t>
  </si>
  <si>
    <t>nelson-charcoal-1</t>
  </si>
  <si>
    <t>Nelson Charcoal</t>
  </si>
  <si>
    <t>nelson-black, nelson-white, nelson-grey-melange, nelson-light-grey, nelson-black-indigo, nelson-multistripe, nelson-bonnet-overdye, nelson-putty-overdye-1, nelson-string</t>
  </si>
  <si>
    <t>hayes-black, dunn-shadow</t>
  </si>
  <si>
    <t>Our relaxed fit tee Nelson, in a seasonal colourway.</t>
  </si>
  <si>
    <t>Made in Portugal
Our relaxed fit tee Nelson, dyed in a seasonal colour: Charcoal
Made from a pre-shrunk 6.5 Oz heavy 100% cotton jersey exclusively made for Livid in Portugal. This particular fabric has been used in our Nelson and Richmond t-shirts for many years and has become very popular due to its durability and comfortable hand feel.
Featuring dropped shoulders, a wider body, and a slightly shorter length than our basic tee Richmond. Relaxed, but not oversized. A wardrobe staple piece that works in any occasion regardless of seasonal trends.
Details &amp; Features
- 100% cotton
- 220 gsm pre-shrunk jersey
- Livid embroidery on chest
- Fine rib collar
- Sewn with durable poly core cotton thread
- Knitted by Etevimol in Portugal
- Made at Texgoios in Portugal</t>
  </si>
  <si>
    <t>Nelson_Charcoal.jpg</t>
  </si>
  <si>
    <t>&lt;div class='jdgm-rev-widg' data-updated-at='2025-12-25T11:21:29Z' data-average-rating='0.00' data-number-of-reviews='0' data-number-of-questions='0' data-image-url='https://cdn.shopify.com/s/files/1/1394/5977/files/24.08.16-LIVID_AW253995.jpg?v=1724165143'&gt;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</si>
  <si>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richmond-2-pack-navy</t>
  </si>
  <si>
    <t>Richmond 2-pack Navy</t>
  </si>
  <si>
    <t>Richmond 2-pack Navy - T-Shirt</t>
  </si>
  <si>
    <t>richmond-2-pack-black, richmond-2-pack-light-grey, richmond-2-pack-white</t>
  </si>
  <si>
    <t>Richmond-Navy-2.jpg</t>
  </si>
  <si>
    <t>tiki-japan-natural-noil-silk</t>
  </si>
  <si>
    <t>Tiki Japan Natural Noil Silk</t>
  </si>
  <si>
    <t>tiki-japan-charcoal-noil-silk, tiki-japan-taupe-noil-silk</t>
  </si>
  <si>
    <t>Made in Portugal
Our maxi-fit shirt, Tiki. Made in an incredible pure noil silk fabric woven by the artisanal mill Kowa in Japan. Made with a slubby Thai silk yarn, and woven with artisanal skill, this particular fabric combines an organic texture with elegant drape and movement.
Noil silk is produced with the shorter silk fibres that are left over from production of other silk fabrics. Spun together these differing fibre lengths give the silk yarn a rougher texture, and a matte finish compared to the sheen from continuous silk fibres. Stronger than cotton, noil silk features a heavy fluid drape and has excellent temperature regulating properties, breathing and keeping you cool and dry in hot weather and warm in cold climates.
Tiki is designed with a generous straight cut, featuring a clean front placket, box pleat at the back yoke, curved hem, and pleats at cuff. Mother of pearl buttons at cuffs and placket.
Details
- 100% noil silk farmed in Thailand
- Woven by Kowa in Japan
- Real mother of pearl buttons made by Louropel in Italy
- Stitched with high quality poly core cotton thread
- Made at Stork in Portugal</t>
  </si>
  <si>
    <t>Tiki_-_silke-Beige.jpg</t>
  </si>
  <si>
    <t>margo-japan-black</t>
  </si>
  <si>
    <t>Margo Japan Black</t>
  </si>
  <si>
    <t>margo-japan-white</t>
  </si>
  <si>
    <t>Introducing Margo, our relaxed tapered fit. Just like Keri from the waist through the thigh but tapered from the knee.</t>
  </si>
  <si>
    <t>Made in Portugal
Introducing Margo, our relaxed tapered fit. Identical to our popular Keri from the waist through the thigh, but tapered from the knee.
Margo Japan Black is made from a 13 Oz 100% cotton, black wideloom denim woven by the renowned Japanese fabric mill, Kuroki. 
While all black denim will loose colour eventually, this particular denim fades in contrast after wear, evolving a beautiful personal pattern. This is due a special technique called rope dye, whereas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Made in a one-wash finish to increase softness of touch.
Details &amp; Features
- 13 Oz wideloom denim from Kuroki, Japa
- One wash to increase softness
- 100% Sanforized cotton
- Warp &amp; Weft sulphur dyed black
- 8 Oz 5 Oz ecru canvas pocketing
- Black leather patch w/ wax treatment, Made in Italy.
- YKK two-prongtack, silver button and zip fly
- YKK solid copper washed-burr rivets
- Stitched with poly core cotton thread
- Made at Lisama, Portugal
Model is 178 cm and wears a size 26/34.</t>
  </si>
  <si>
    <t>margo-fitguide</t>
  </si>
  <si>
    <t>&lt;div class='jdgm-rev-widg' data-updated-at='2025-09-23T17:33:52Z' data-average-rating='2.00' data-number-of-reviews='1' data-number-of-questions='0' data-image-url='https://cdn.shopify.com/s/files/1/1394/5977/products/jeans-e-com-april-2022-0423.png?v=1667828767'&gt; &lt;style class='jdgm-temp-hiding-style'&gt;.jdgm-rev-widg{ display: none }&lt;/style&gt; &lt;div class='jdgm-rev-widg__header'&gt; &lt;h2 class='jdgm-rev-widg__title'&gt;Customer Reviews&lt;/h2&gt;   &lt;div class='jdgm-rich-snippet' itemprop='aggregateRating' itemscope itemtype='http://schema.org/AggregateRating'&gt; &lt;meta itemprop='reviewCount' content='1'&gt; &lt;meta itemprop='ratingValue' content='2.00'&gt; &lt;/div&gt;   &lt;div class='jdgm-rev-widg__summary'&gt; &lt;div class='jdgm-rev-widg__summary-stars' aria-label='Average rating is 2.00 stars' role='img'&gt; &lt;span class='jdgm-star jdgm--on'&gt;&lt;/span&gt;&lt;span class='jdgm-star jdgm--on'&gt;&lt;/span&gt;&lt;span class='jdgm-star jdgm--off'&gt;&lt;/span&gt;&lt;span class='jdgm-star jdgm--off'&gt;&lt;/span&gt;&lt;span class='jdgm-star jdgm--off'&gt;&lt;/span&gt; &lt;/div&gt; &lt;div class='jdgm-rev-widg__summary-text'&gt;Based on 1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data-frequency='1' data-percentage='100'&gt;  &lt;div class='jdgm-histogram__star' role='button' aria-label="100% (1)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100%;'&gt; &lt;/div&gt; &lt;/div&gt; &lt;div class='jdgm-histogram__percentage'&gt;100%&lt;/div&gt; &lt;div class='jdgm-histogram__frequency'&gt;(1)&lt;/div&gt;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 class='jdgm-rev jdgm-divider-top' data-verified-buyer='true' data-review-id='9d387282-4557-4dc9-a749-6c693963b7be' data-review-language='' data-product-title='Margo Japan Black' data-product-url='/products/margo-japan-black' data-thumb-up-count='0' data-thumb-down-count='0'&gt; &lt;div class='jdgm-rev__header'&gt;  &lt;div class='jdgm-rev__icon' &gt; A &lt;/div&gt;  &lt;span class='jdgm-rev__rating' data-score='2' tabindex='0' aria-label='2 star review' role='img'&gt; &lt;span class='jdgm-star jdgm--on'&gt;&lt;/span&gt;&lt;span class='jdgm-star jdgm--on'&gt;&lt;/span&gt;&lt;span class='jdgm-star jdgm--off'&gt;&lt;/span&gt;&lt;span class='jdgm-star jdgm--off'&gt;&lt;/span&gt;&lt;span class='jdgm-star jdgm--off'&gt;&lt;/span&gt; &lt;/span&gt; &lt;span class='jdgm-rev__timestamp jdgm-spinner' data-content='2025-09-23 17:27:51 UTC'&gt;&lt;/span&gt;    &lt;div class='jdgm-rev__br'&gt;&lt;/div&gt; &lt;span class='jdgm-rev__buyer-badge-wrapper'&gt; &lt;span class='jdgm-rev__buyer-badge'&gt;&lt;/span&gt; &lt;/span&gt; &lt;span class='jdgm-rev__author-wrapper'&gt; &lt;span class='jdgm-rev__author'&gt;Anonymous&lt;/span&gt; &lt;span class='jdgm-rev__location' &gt;  &lt;/span&gt;  &lt;/span&gt; &lt;/div&gt; &lt;div class='jdgm-rev__content'&gt;  &lt;div class='jdgm-rev__custom-form'&gt;  &lt;/div&gt; &lt;b class='jdgm-rev__title'&gt;I have returned it for another size and haven&amp;#39;t heard back from you&lt;/b&gt; &lt;div class='jdgm-rev__body'&gt;&lt;p&gt;I have returned it for another size and haven't heard back from you.&lt;/p&gt;&lt;/div&gt; &lt;div class='jdgm-rev__pics'&gt;  &lt;/div&gt; &lt;div class='jdgm-rev__vids'&gt;   &lt;/div&gt; &lt;div class='jdgm-rev__transparency-badge-wrapper'&gt;  &lt;/div&gt; &lt;/div&gt; &lt;div class='jdgm-rev__actions'&gt; &lt;div class='jdgm-rev__social'&gt;&lt;/div&gt; &lt;div class='jdgm-rev__votes'&gt;&lt;/div&gt; &lt;/div&gt; &lt;div class='jdgm-rev__reply'&gt;  &lt;/div&gt; &lt;/div&gt;&lt;/div&gt; &lt;div class='jdgm-paginate' data-per-page='5' data-url='https://api.judge.me/reviews/reviews_for_widget' style="display: none;"&gt;&lt;/div&gt;  &lt;/div&gt; &lt;div class='jdgm-rev-widg__paginate-spinner-wrapper'&gt; &lt;div class='jdgm-spinner'&gt;&lt;/div&gt; &lt;/div&gt; &lt;/div&gt;</t>
  </si>
  <si>
    <t>nile-white</t>
  </si>
  <si>
    <t>Nile White</t>
  </si>
  <si>
    <t>nile-chalk, nile-cashmere-natural, nile-black</t>
  </si>
  <si>
    <t>LIVIDECOMSS243285.jpg</t>
  </si>
  <si>
    <t>Joelle Japan Black</t>
  </si>
  <si>
    <t>joelle-japan-dawn</t>
  </si>
  <si>
    <t>Our high waisted wide fit, Joelle.</t>
  </si>
  <si>
    <t>Made in Portugal
Joelle, our curved high-rise wide fit. Joelle is super high-waisted, curved into the waist and back, with a narrow waistband. Wide and straight from the hips down, with a very subtle taper towards the hem, creating an elegant, elongating wide silhouette.
Joelle Japan Black is made from a 13 Oz 100% cotton, black wideloom denim woven by the renowned Japanese fabric mill, Kuroki. 
Sulphur dyed for a black colour that stays black for a long time. While all black denim will lose colour eventually, this particular denim fades in contrast after wear, evolving a beautiful personal pattern. This is due a special technique called rope dye, whereas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Model is 178 cm and wears a size 26/34.</t>
  </si>
  <si>
    <t>joelle-fitguide</t>
  </si>
  <si>
    <t>JOELLEJAPANBLACK.jpg</t>
  </si>
  <si>
    <t>Female model is 178cm and wearing 26/34.</t>
  </si>
  <si>
    <t>- 13 Oz wideloom denim from Kuroki, Japan
- One wash to increase softness
- 100% Sanforized cotton
- Warp &amp; Weft dyed in black
- 8 Oz 5 Oz ecru canvas pocketing
- Black leather patch w/ wax treatment, Made in Italy.
- YKK two-prong silver button and zip fly
- YKK solid copper washed-burr rivets
- Stitched with poly core cotton thread
- Made at Lisama, Portugal</t>
  </si>
  <si>
    <t>nile-chalk</t>
  </si>
  <si>
    <t>Nile Chalk</t>
  </si>
  <si>
    <t>nile-white, nile-cashmere-natural, nile-black</t>
  </si>
  <si>
    <t>Made in Portugal
Our rib jersey top Nile is one of our jersey essentials. Nile is made in a soft 100% cotton rib jersey made in Portugal.
Nile features a slim shape, an open neck opening with a solid jersey rib at neck and sleeve opening.
The garment features:
- 100% cotton
- Pre-shrunk rib jersey
- Poly core cotton thread
- Made at Texgoios in Portugal
Available in sizes XS to XL.</t>
  </si>
  <si>
    <t>LIVID-E-COM-SS2317789_9a530a3a-3662-4c99-9568-6ff119c3561e.jpg</t>
  </si>
  <si>
    <t>[{"order":1, "id":7032838914238, "handle":"keri-japan-dawn", "title":"Keri Japan Dawn", "imgsrc":"//cdn.shopify.com/s/files/1/1394/5977/products/Jeans-E-com-april-2022-0707.jpg?v=1650635825"}, {"order":2, "id":6019208118462, "handle":"river-black", "title":"River Black", "imgsrc":"//cdn.shopify.com/s/files/1/1394/5977/products/river-black.jpg?v=1621424091"}, {"order":3, "id":7869037576441, "handle":"naia-dove", "title":"Naia Dove", "imgsrc":"//cdn.shopify.com/s/files/1/1394/5977/products/LIVID-E-COM-SS2312641.jpg?v=1675328004"}, {"order":4, "id":7586810233081, "handle":"nile-black", "title":"Nile Black", "imgsrc":"//cdn.shopify.com/s/files/1/1394/5977/products/LIVID-E-COM-SS2312029.jpg?v=1675329800"}, {"order":5, "id":7869045506297, "handle":"nile-white", "title":"Nile White", "imgsrc":"//cdn.shopify.com/s/files/1/1394/5977/products/LIVID-E-COM-SS2318755.jpg?v=1675332094"}, {"order":6, "id":7589974409465, "handle":"faye-japan-dawn", "title":"Faye Japan Dawn", "imgsrc":"//cdn.shopify.com/s/files/1/1394/5977/products/Jeans-E-com-april-2022-0305.jpg?v=1650636639"}]</t>
  </si>
  <si>
    <t>Joelle Japan Dawn</t>
  </si>
  <si>
    <t>Made in Portugal
Joelle, our curved high-rise wide fit. Joelle is super high-waisted, curved into the waist and back, with a narrow waistband. Wide and straight from the hips down, with a very subtle taper towards the hem, creating an elegant, elongating wide silhouette.
Joelle Japan Dawn features our mid-blue wash, made in a solid 13 Oz 100% cotton denim from the renowned Japanese denim mill Kuroki. Soft to the touch, the Japan Dawn reveals an incredible depth of colour and wonderful texture, due to the long-fibred indigo rope-dyed yarns of the fabric. Not too light, and not too dark, the Japan Dawn strikes the perfect balance for your everyday mid-blue needs. A definite essential.
Model is 178 cm and wears a size 26/34.</t>
  </si>
  <si>
    <t>JoelleJapanDawn_349579dd-dc1d-4034-930f-cfb26e64f0d4.jpg</t>
  </si>
  <si>
    <t>- 13 Oz wideloom denim from Kuroki, Japan
- 100% Sanforized cotton
- Warp dyed in indigo, natural coloured weft
- 8 Oz ecru canvas pocketing
- Tanned leather patch w/ wax treatment, Made in Italy.
- YKK two-prong silver button fly
- YKK solid copper washed-burr rivets
- Stitched with poly core cotton thread
- Made at Lisama, Portugal</t>
  </si>
  <si>
    <t>jone-japan-blue-1</t>
  </si>
  <si>
    <t>Jone Japan Blue</t>
  </si>
  <si>
    <t>jone-japan-indigo, jone-japan-black, jone-13-oz-japan-dry-selvage, jone-japan-trouser-stone</t>
  </si>
  <si>
    <t>The Japan Blue is made from mid-weight wideloom denim at Kuroki, aiming to create a comfortable stretch denim that looks like rigid denim. This fabric is used in 10 different styles.</t>
  </si>
  <si>
    <t>Made in Portugal
The Japan Blue. Made from a beautiful mid-weight wideloom denim woven at the renowned Japanese fabric mill, Kuroki. This particular fabric was built by Kuroki with a main goal at hand, creating a comfortable stretch denim that maintained the look of a rigid (100% cotton) denim. That is also particularly why this denim is the most widely used denim-article throughout our collections, now being the fabric of choice for 10 different core-styles in our rage. A super versatile denim, beautiful in all types of shades in addition to providing great comfort, stretch and recovery after wear. A safe choice for all who loves a pair of genuine fitting jeans in their wardrobe.
Made in our slim leg jeans, Jone.
Details &amp; Features
- 13 Oz comfort wideloom denim from Kuroki, Japan. 
- 98% cotton / 2% polyurethane
- Warp dyed in indigo, natural coloured weft
- 8 Oz ecru canvas pocketing 
- Tanned leather patch w/ wax treatment, Made in Italy. 
- YKK two-prongtack, silver button and zip fly
- YKK solid copper washed-burr rivets
- Stitched with poly core cotton thread
- Made at Lisama, Portugal
Model is 183 cm and wears a size 32/32.
Go to our fit guide to read more about the Jone Slim. 
Available sizes are 27-36 in 32” inseam and 29-40 in 34” inseam.</t>
  </si>
  <si>
    <t>Keri Japan Dawn</t>
  </si>
  <si>
    <t>keri-japan-black, keri-japan-gravel, keri-japan-sandbox, keri-wide-japan-marble</t>
  </si>
  <si>
    <t>Our wide straight Keri in our mid-blue wash: Japan Dawn.</t>
  </si>
  <si>
    <t>25.10.15-LIVID_AW25-DAG518065.jpg, 25.10.15-LIVID_AW25-DAG518068.jpg, 25.10.15-LIVID_AW25-DAG518071.jpg, 25.10.15-LIVID_AW25-DAG517460.jpg, 25.10.15-LIVID_AW25-DAG517466.jpg, 25.10.15-LIVID_AW25-DAG517468.jpg</t>
  </si>
  <si>
    <t>25.10.15-LIVID_AW25-DAG618976.jpg, 25.10.15-LIVID_AW25-DAG619002.jpg, 25.10.15-LIVID_AW25-DAG619012.jpg, 25.10.15-LIVID_AW25-DAG619021.jpg, 25.10.15-LIVID_AW25-DAG617765.jpg, 25.10.15-LIVID_AW25-DAG617770.jpg, 25.10.15-LIVID_AW25-DAG617785.jpg, 25.10.15-LIVID_AW25-DAG617777.jpg</t>
  </si>
  <si>
    <t>Made in Portugal
The Japan Dawn. Our mid-blue wash made in a solid 13 Oz 100% cotton denim from the renowned Japanese denim mill Kuroki. Soft to the touch, the Japan Dawn reveals an incredible depth of colour and wonderful texture, due to the long-fibred indigo rope-dyed yarns of the fabric. Not too light, and not too dark, the Japan Dawn strikes the perfect balance for your everyday mid-blue needs. A definite essential.
Available in our loose leg fit, Keri.
Go to our fit guide to read more about the loose leg fit, Keri.
Available sizes are 24-32 in 32” inseam and 26-34 in 34” inseam.</t>
  </si>
  <si>
    <t>KERI-JAPAN_DAWN.jpg</t>
  </si>
  <si>
    <t>nelson-black, adonis-lis-noir</t>
  </si>
  <si>
    <t>hyde-tee-white, kora-black</t>
  </si>
  <si>
    <t>Details &amp; Features
- Mid-blue washed rope-dyed indigo denim
- 13 Oz wideloom denim from Kuroki, Japan
- 100% Sanforized cotton
- Warp dyed in indigo, natural coloured weft
- 8 Oz ecru canvas pocketing
- Tanned leather patch w/ wax treatment, Made in Italy.
- YKK two-prongtack, silver button fly
- YKK solid copper washed-burr rivets
- Stitched with poly core cotton thread
- Made at Lisama, Portugal</t>
  </si>
  <si>
    <t>&lt;div class='jdgm-rev-widg' data-updated-at='2025-12-01T16:16:35Z' data-average-rating='3.00' data-number-of-reviews='1' data-number-of-questions='0' data-image-url='https://cdn.shopify.com/s/files/1/1394/5977/files/KERI-JAPAN_DAWN.jpg?v=1761144145'&gt; &lt;style class='jdgm-temp-hiding-style'&gt;.jdgm-rev-widg{ display: none }&lt;/style&gt; &lt;div class='jdgm-rev-widg__header'&gt; &lt;h2 class='jdgm-rev-widg__title'&gt;Customer Reviews&lt;/h2&gt;   &lt;div class='jdgm-rich-snippet' itemprop='aggregateRating' itemscope itemtype='http://schema.org/AggregateRating'&gt; &lt;meta itemprop='reviewCount' content='1'&gt; &lt;meta itemprop='ratingValue' content='3.00'&gt; &lt;/div&gt;   &lt;div class='jdgm-rev-widg__summary'&gt; &lt;div class='jdgm-rev-widg__summary-stars' aria-label='Average rating is 3.00 stars' role='img'&gt; &lt;span class='jdgm-star jdgm--on'&gt;&lt;/span&gt;&lt;span class='jdgm-star jdgm--on'&gt;&lt;/span&gt;&lt;span class='jdgm-star jdgm--on'&gt;&lt;/span&gt;&lt;span class='jdgm-star jdgm--off'&gt;&lt;/span&gt;&lt;span class='jdgm-star jdgm--off'&gt;&lt;/span&gt; &lt;/div&gt; &lt;div class='jdgm-rev-widg__summary-text'&gt;Based on 1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data-frequency='1' data-percentage='100'&gt;  &lt;div class='jdgm-histogram__star' role='button' aria-label="100% (1)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100%;'&gt; &lt;/div&gt; &lt;/div&gt; &lt;div class='jdgm-histogram__percentage'&gt;100%&lt;/div&gt; &lt;div class='jdgm-histogram__frequency'&gt;(1)&lt;/div&gt;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 class='jdgm-rev jdgm-divider-top' data-verified-buyer='true' data-review-id='a3cdff39-561d-4fbe-9659-9757724982c1' data-review-language='' data-product-title='Keri Japan Dawn' data-product-url='/products/keri-japan-dawn' data-thumb-up-count='0' data-thumb-down-count='0'&gt; &lt;div class='jdgm-rev__header'&gt;  &lt;div class='jdgm-rev__icon' &gt; m &lt;/div&gt;  &lt;span class='jdgm-rev__rating' data-score='3' tabindex='0' aria-label='3 star review' role='img'&gt; &lt;span class='jdgm-star jdgm--on'&gt;&lt;/span&gt;&lt;span class='jdgm-star jdgm--on'&gt;&lt;/span&gt;&lt;span class='jdgm-star jdgm--on'&gt;&lt;/span&gt;&lt;span class='jdgm-star jdgm--off'&gt;&lt;/span&gt;&lt;span class='jdgm-star jdgm--off'&gt;&lt;/span&gt; &lt;/span&gt; &lt;span class='jdgm-rev__timestamp jdgm-spinner' data-content='2025-12-01 16:15:13 UTC'&gt;&lt;/span&gt;    &lt;div class='jdgm-rev__br'&gt;&lt;/div&gt; &lt;span class='jdgm-rev__buyer-badge-wrapper'&gt; &lt;span class='jdgm-rev__buyer-badge'&gt;&lt;/span&gt; &lt;/span&gt; &lt;span class='jdgm-rev__author-wrapper'&gt; &lt;span class='jdgm-rev__author'&gt;mark stadman&lt;/span&gt; &lt;span class='jdgm-rev__location' &gt;  &lt;/span&gt;  &lt;/span&gt; &lt;/div&gt; &lt;div class='jdgm-rev__content'&gt;  &lt;div class='jdgm-rev__custom-form'&gt;  &lt;/div&gt; &lt;b class='jdgm-rev__title'&gt;Quite tight and more loose at bottom then at the image online&lt;/b&gt; &lt;div class='jdgm-rev__body'&gt;&lt;p&gt;Dear reader,  when I tried on the jeans it felt quite tight at the waistband and it’s more loose at bottom then at the image online. I was hoping the tightness would be less after wearing it for some days, but it didn’t unfortunately&lt;/p&gt;&lt;/div&gt; &lt;div class='jdgm-rev__pics'&gt;  &lt;/div&gt; &lt;div class='jdgm-rev__vids'&gt;   &lt;/div&gt; &lt;div class='jdgm-rev__transparency-badge-wrapper'&gt;  &lt;/div&gt; &lt;/div&gt; &lt;div class='jdgm-rev__actions'&gt; &lt;div class='jdgm-rev__social'&gt;&lt;/div&gt; &lt;div class='jdgm-rev__votes'&gt;&lt;/div&gt; &lt;/div&gt; &lt;div class='jdgm-rev__reply'&gt;  &lt;/div&gt; &lt;/div&gt;&lt;/div&gt; &lt;div class='jdgm-paginate' data-per-page='5' data-url='https://api.judge.me/reviews/reviews_for_widget' style="display: none;"&gt;&lt;/div&gt;  &lt;/div&gt; &lt;div class='jdgm-rev-widg__paginate-spinner-wrapper'&gt; &lt;div class='jdgm-spinner'&gt;&lt;/div&gt; &lt;/div&gt; &lt;/div&gt;</t>
  </si>
  <si>
    <t>mila-grey-melange</t>
  </si>
  <si>
    <t>Mila Grey Melange</t>
  </si>
  <si>
    <t>mila-black, mila-brown-stripe, mila-mud, mila-black-1</t>
  </si>
  <si>
    <t>Mila, our relaxed longsleeve.</t>
  </si>
  <si>
    <t>Featuring dropped shoulders, a relaxed silhouette and a shorter length that ends perfectly at the hips.
Made from a pre-shrunk 100% cotton jersey, knitted in a lighter weight than our regular tees for a fluid drape and easier feel.
The garment features:
- 100% cotton
- 150 gsm pre-shrunk jersey
- Sewn with durable poly-core cotton thread
- Jersey knitted at Etevimol in Portugal
- Made at Texgoios in Portugal</t>
  </si>
  <si>
    <t>Mila-Grey_Melange_46476000-dd2c-4705-90d3-880441f10318.jpg</t>
  </si>
  <si>
    <t>aiofe-navy-seersucker</t>
  </si>
  <si>
    <t>Aiofe Navy Seersucker</t>
  </si>
  <si>
    <t>A relaxed summer dress with a wide full-length silhouette, featuring large patch pockets at the hip.</t>
  </si>
  <si>
    <t>Made in Portugal
Our V-neck dress, Aiofe. A relaxed summer dress with a wide full-length silhouette, featuring large patch pockets at the hip.
Made in a soft seersucker fabric woven by Somelos in Portugal featuring a fantastic texture. The puckering of the seersucker fabric keeps the fabric away from the skin, creating a cooling effect during the summer heat.
Details:
- 98% cotton, 2% elastane
- Seersucker woven by Somelos in Portugal
- Patch pockets at hip
- Zipper at back of neck made by YKK in Portugal
- Stitched with durable poly core cotton thread
- Made at Stork in Portugal</t>
  </si>
  <si>
    <t>Aiofe-NavySeersucker_7643b58f-3d63-4709-8ab3-f72e4b6376b1.jpg</t>
  </si>
  <si>
    <t>dal-black</t>
  </si>
  <si>
    <t>Dal Black</t>
  </si>
  <si>
    <t>Dal Black - Black tank-top</t>
  </si>
  <si>
    <t>dal-white</t>
  </si>
  <si>
    <t>keri-linen-olive</t>
  </si>
  <si>
    <t>Made in a soft cotton rib jersey, Dal features a straight fitting body, an open neck and a perfectly cropped length. Designed to be worn on its own, or to add visual interest as a layering piece.</t>
  </si>
  <si>
    <t>Made in Portugal
Our rib jersey top Dal is one of our jersey essentials.
Made in a soft 100% cotton rib jersey knitted in Portugal, dal features a straight fitting body, an open neck and a perfectly cropped length. Designed to be worn on its own, or to add visual interest as a layering piece.
The garment features:
- 100% cotton
- Pre-shrunk rib jersey, knitted at Etevimol, Portugal
- Constructed with durable poly-core cotton thread
- Made at Texgoios in Portugal</t>
  </si>
  <si>
    <t>dal-fitguide</t>
  </si>
  <si>
    <t>Dal-Black_79a0ed21-45b8-4190-90df-31d990829bcb.jpg</t>
  </si>
  <si>
    <t>huff-japan-black-sakura, huff-japan-milk-sakura, stack-flaxen, sweeny-paprika, adonis-lis-noir, 01-3-brown</t>
  </si>
  <si>
    <t>devon-japan-shadow</t>
  </si>
  <si>
    <t>Devon Japan Shadow</t>
  </si>
  <si>
    <t>Devon, our mid-length denim skirt. Made in a 13 Oz black denim woven by the renowned denim mill Kuroki in Japan, washed to our faded black finish, Japan Shadow.</t>
  </si>
  <si>
    <t>LIVID_ECOM_SS24_JEANS_00976.jpg, LIVID_ECOM_SS24_JEANS_00982.jpg, LIVID_ECOM_SS24_JEANS_01000.jpg, LIVID_ECOM_SS24_JEANS_00985.jpg, LIVID_ECOM_SS24_JEANS_00990.jpg, LIVID_ECOM_SS24_JEANS_00973.jpg, LIVID_ECOM_SS24_JEANS_01009.jpg, LIVID_ECOM_SS24_JEANS_01014.jpg</t>
  </si>
  <si>
    <t>Made in Portugal
Introducing Devon, our mid-length denim skirt. Made in a 13 Oz black denim woven by the renowned denim mill Kuroki in Japan, washed to our faded black finish, Japan Shadow. 
Designed with a waist that allows wearing the Devon both high waisted, or lower on the hip if desired by sizing up. Ending in a classic mid-length.
Details &amp; Features
- 13 Oz wideloom denim from Kuroki, Japan
- One wash to increase softness
- 100% Sanforized cotton
- Warp &amp; Weft dyed in black
- 8 Oz 5 Oz ecru canvas pocketing
- Black leather patch w/ wax treatment, Made in Italy.
- YKK two-prongtack, silver button and zip fly
- YKK solid copper washed-burr rivets
- Stitched with poly core cotton thread
- Made at Lisama, Portugal</t>
  </si>
  <si>
    <t>&lt;div class='jdgm-rev-widg' data-updated-at='2025-06-25T11:10:40Z' data-average-rating='0.00' data-number-of-reviews='0' data-number-of-questions='0' data-image-url='https://cdn.shopify.com/s/files/1/1394/5977/files/LIVIDECOMSS24JEANS_00976.jpg?v=1716816263'&gt;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</si>
  <si>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dunn-japan-optic</t>
  </si>
  <si>
    <t>Dunn Japan Optic</t>
  </si>
  <si>
    <t>dunn-shadow, dunn-black-2, dunn-grisalle, dunn-moon</t>
  </si>
  <si>
    <t>Our Dunn cap, done in denim.</t>
  </si>
  <si>
    <t>Made in Portugal 
Our Dunn cap, done in denim. Made in an optical white 13 Oz. denim woven by the artisinal denim mill Collect in Japan, washed to create subtle distressing at the brim.
Featuring 6 panels with stitched eyelets on each panel, a broad brim with structural stitching, and an embroided Livid logo at the front.
Details
- 100% cotton
- 13 Oz. denim woven by Collect in Japan
- Sewn with durable poly-core cotton thread.
- Made by Belcinto in Portugal</t>
  </si>
  <si>
    <t>Dunn-JapanOptic_b4847d9d-1595-43f2-b3bc-ffbd18218003.jpg</t>
  </si>
  <si>
    <t>dunn-shadow</t>
  </si>
  <si>
    <t>Dunn Shadow</t>
  </si>
  <si>
    <t>dunn-japan-optic, dunn-black-2, dunn-dawn, dunn-moon</t>
  </si>
  <si>
    <t>Washed to faded black Shadow, this denim by Candiani in Italy shows subtle distressing and beautiful texture.</t>
  </si>
  <si>
    <t>Made in Portugal 
Our Dunn cap, done in denim. Washed to our faded black Shadow wash, this 13 Oz. denim woven by Candiani in Italy shows subtle distressing at the brim, and a beautiful texture.
Featuring 6 panels with stitched eyelets on each panel, a broad brim with structural stitching, and an embroided Livid logo at the front.
Details
- 100% cotton
- 13 Oz. denim Woven by Candiani in Italy
- Sewn with durable poly-core cotton thread.
- Made by Belcinto in Portugal</t>
  </si>
  <si>
    <t>Dunn-JapanBlack_c6dee719-282f-45bd-b8b7-80a7a18119d9.jpg</t>
  </si>
  <si>
    <t>esme-linen-white-linen</t>
  </si>
  <si>
    <t>Esme Linen White Linen</t>
  </si>
  <si>
    <t>keri-black-linen</t>
  </si>
  <si>
    <t>Designed for an elegant and easy going fit, Esme has a straight cut, slightly shorter front and a box pleat at the back yoke. Finished with mother of pearl buttoons.</t>
  </si>
  <si>
    <t>Made in Portugal
Esme, made from a pure linen fabric developed and woven at Somelos in Portugal. This fabric provides a lustrous drape, perfect breathability and the 1x1 linen weave gives a casual crimp when worn.
Designed for an elegant and easy going fit, Esme has a straight cut, slightly shorter front and a box pleat at the back yoke. Finished with mother of pearl buttoons.
Details:
- 100% Linen 
- Woven at Somelos in Portugal
- Real mother of pearl buttons made by Louropel in Italy
- Stitched with durable poly core cotton thread
- Made at Stork in Portugal</t>
  </si>
  <si>
    <t>esme-fitguide</t>
  </si>
  <si>
    <t>&lt;div class='jdgm-rev-widg' data-updated-at='2025-06-25T11:10:11Z' data-average-rating='0.00' data-number-of-reviews='0' data-number-of-questions='0' data-image-url='https://cdn.shopify.com/s/files/1/1394/5977/files/LIVIDECOMSS245778.jpg?v=1712837214'&gt;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</si>
  <si>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eva-magnet</t>
  </si>
  <si>
    <t>Eva Magnet</t>
  </si>
  <si>
    <t>eva-black, eva-white</t>
  </si>
  <si>
    <t>keri-japan-dawn, 001-stealth-black-w</t>
  </si>
  <si>
    <t>Eva features a slim shape, wide neck opening with a narrow jersey rib at neck and sleeve opening. The shape gives a relaxed silhouette and a perfect complement to any outfit.</t>
  </si>
  <si>
    <t>Made in Portugal
Our jersey top Eva is one of our jersey essentials. Eva is made in a soft pure cotton jersey knitted in Portugal.
Eva features a slim shape, wide neck opening with a narrow jersey rib at neck and sleeve opening.
The shape gives a relaxed silhouette and a perfect complement to any outfit.
The garment features:
- 100% cotton
- 150 gsm pre-shrunk jersey
- Sewn with strong poly core cotton thread
- Jersey knitted at Etevimol in Portugal
- Made at Texgoios in Portugal</t>
  </si>
  <si>
    <t>eva-fitguide</t>
  </si>
  <si>
    <t>&lt;div class='jdgm-rev-widg' data-updated-at='2025-06-25T11:09:59Z' data-average-rating='0.00' data-number-of-reviews='0' data-number-of-questions='0' data-image-url='https://cdn.shopify.com/s/files/1/1394/5977/files/LIVIDECOMSS243341.jpg?v=1706784420'&gt;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</si>
  <si>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harper-black</t>
  </si>
  <si>
    <t>Harper Black</t>
  </si>
  <si>
    <t>001-stealth-black-w</t>
  </si>
  <si>
    <t>Harper, our full length rib jersey dress.</t>
  </si>
  <si>
    <t>Made in Portugal
Introducing Harper, our full length rib jersey dress. Made in a soft 100% cotton rib jersey knitted in Portugal.
Harper features a slim fitted shape with an open neck opening, and ends with a full-length, slightly flared skirt.
The garment features:
- 100% cotton
- Constructed with durable poly-core cotton thread- Pre-shrunk rib jersey, knitted at Etevimol, Portugal
- Made at Texgoios in Portugal</t>
  </si>
  <si>
    <t>kai-japan-shadow</t>
  </si>
  <si>
    <t>Kai Japan Shadow</t>
  </si>
  <si>
    <t>kai-japan-dawn, kai-japan-new-blue, kai-japan-fade, kai-japan-black</t>
  </si>
  <si>
    <t>star-master-white</t>
  </si>
  <si>
    <t>Kai, our relaxed tapered fit. In our washed black finish, Japan Shadow.</t>
  </si>
  <si>
    <t>Made in Portugal
Kai, our relaxed tapered fit. High rised, fitting precicely and narrow in the waist, and curved into the lower back. Fans of our Barnes wide will appreciate the spacious thigh, before it taperes down to a slimmer leg opening. The result is a fit that meets the needs of many. On slimmer and average legs, Kai fits precicely in the waist, with a relaxed tapered fit, but Kai is also perfect for the athletic build that needs more room in the thigh and seat with a high and narrow waistband. On the latter body type, Kai will follow the leg naturally from the waist all the down.
Kai Japan Shadow is made from a 13 Oz 100% cotton, black wideloom denim woven by the renowned Japanese fabric mill, Kuroki. Washed down to a lived-in look. The Japan Shadow achieves a subtle depth and texture to the greying black, thanks to the special dyeing technique called rope dye, where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t>
  </si>
  <si>
    <t>KAI-JAPAN_SHADOW.jpg</t>
  </si>
  <si>
    <t>- 13 Oz wideloom denim from Kuroki, Japan
- 100% Sanforized cotton
- Warp &amp; Weft sulphur dyed black
- 8 Oz 5 Oz ecru canvas pocketing
- Black leather patch w/ wax treatment, Made in Italy.
- YKK two-prong silver button fly
- YKK solid copper washed-burr rivets
- Stitched with poly core cotton thread
- Made at Lisama, Portugal</t>
  </si>
  <si>
    <t>keri-green-linen</t>
  </si>
  <si>
    <t>Keri Green Linen</t>
  </si>
  <si>
    <t>keri-linen-stone, keri-linen-java, keri-white-linen, keri-linen-olive, keri-black-linen, keri-magnet-linen</t>
  </si>
  <si>
    <t>LIVID_ECOM_SS24_JEANS_00418.jpg, LIVID_ECOM_SS24_JEANS_00421.jpg, LIVID_ECOM_SS24_JEANS_00424.jpg, LIVID_ECOM_SS24_JEANS_00427.jpg, LIVID_ECOM_SS24_JEANS_00436.jpg, LIVID_ECOM_SS24_JEANS_00439.jpg, LIVID_ECOM_SS24_JEANS_00442.jpg</t>
  </si>
  <si>
    <t>LIVID_ECOM_SS24_JEANS_00822.jpg, LIVID_ECOM_SS24_JEANS_00830.jpg, LIVID_ECOM_SS24_JEANS_00844.jpg, LIVID_ECOM_SS24_JEANS_00833.jpg, LIVID_ECOM_SS24_JEANS_00836.jpg, LIVID_ECOM_SS24_JEANS_00838.jpg, LIVID_ECOM_SS24_JEANS_00825.jpg, LIVID_ECOM_SS24_JEANS_00847.jpg</t>
  </si>
  <si>
    <t>chimey-lisse-noir</t>
  </si>
  <si>
    <t>adriatic-lisse-noir</t>
  </si>
  <si>
    <t>keri-surf-japan-black</t>
  </si>
  <si>
    <t>Keri Surf Japan Black</t>
  </si>
  <si>
    <t>keri-surf-japan-new-blue</t>
  </si>
  <si>
    <t>LIVID_ECOM_SS24_JEANS_00369.jpg, LIVID_ECOM_SS24_JEANS_00371.jpg, LIVID_ECOM_SS24_JEANS_00374.jpg, LIVID_ECOM_SS24_JEANS_00377.jpg, LIVID_ECOM_SS24_JEANS_00386.jpg, LIVID_ECOM_SS24_JEANS_00390.jpg, LIVID_ECOM_SS24_JEANS_00393.jpg</t>
  </si>
  <si>
    <t>LIVID_ECOM_SS24_JEANS_00909.jpg, LIVID_ECOM_SS24_JEANS_00916.jpg, LIVID_ECOM_SS24_JEANS_00932.jpg, LIVID_ECOM_SS24_JEANS_00918.jpg, LIVID_ECOM_SS24_JEANS_00921.jpg, LIVID_ECOM_SS24_JEANS_00923.jpg, LIVID_ECOM_SS24_JEANS_00935.jpg</t>
  </si>
  <si>
    <t>Made in Portugal
Keri Surf, our wide and long denim short. Based on our unisex wide leg Keri, the Keri Surf is cut right around the knee. Creating the ultimate wide jort, that can be worn both high waisted or low on the hip. 
Made from a 13 Oz 100% cotton, black wideloom denim woven by the renowned Japanese fabric mill, Kuroki. 
Sulphur dyed for a black colour that stays black for a long time before it eventually fades in contrast after wear, evolving a beautiful personal pattern over time.
Details &amp; Features
- 13 Oz wideloom denim from Kuroki, Japan
- One wash to increase softness
- 100% Sanforized cotton
- Warp &amp; Weft dyed in black
- 8 Oz 5 Oz ecru canvas pocketing
- Black leather patch w/ wax treatment, Made in Italy.
- YKK two-prongtack, silver button and zip fly
- YKK solid copper washed-burr rivets
- Stitched with poly core cotton thread
- Made at Lisama, Portugal
Go to our fit guide to read more about the loose leg fit, Keri.</t>
  </si>
  <si>
    <t>KERISURFJAPANBLACK.jpg</t>
  </si>
  <si>
    <t>Keri Surf Japan New Blue</t>
  </si>
  <si>
    <t>LIVID_ECOM_SS24_JEANS_00351.jpg, LIVID_ECOM_SS24_JEANS_00354.jpg, LIVID_ECOM_SS24_JEANS_00357.jpg, LIVID_ECOM_SS24_JEANS_00360.jpg, C5A3261.jpg, C5A3265.jpg, C5A3268.jpg</t>
  </si>
  <si>
    <t>LIVID_ECOM_SS24_JEANS_00883.jpg, LIVID_ECOM_SS24_JEANS_00885.jpg, LIVID_ECOM_SS24_JEANS_00899.jpg, LIVID_ECOM_SS24_JEANS_00888.jpg, LIVID_ECOM_SS24_JEANS_00890.jpg, LIVID_ECOM_SS24_JEANS_00892.jpg, LIVID_ECOM_SS24_JEANS_00881.jpg, LIVID_ECOM_SS24_JEANS_00902.jpg, LIVID_ECOM_SS24_JEANS_00905.jpg</t>
  </si>
  <si>
    <t>Made in Portugal
Keri Surf, our wide and long denim short. Based on our unisex wide leg Keri, the Keri Surf is cut right around the knee. Creating the ultimate wide jort, that can be worn both high waisted or low on the hip. 
Made in a solid 13 Oz 100% cotton denim from the renowned Japanese denim mill Kuroki. Soft to the touch, the Japan New Blue is washed to a light lived-in blue finish, for the perfect summer denim look.
Details &amp; Features
- Light blue washed rope-dyed indigo denim
- 13 Oz wideloom denim from Kuroki, Japan
- 100% Sanforized cotton
- Warp dyed in indigo, natural coloured weft
- 8 Oz ecru canvas pocketing
- Tanned leather patch w/ wax treatment, Made in Italy.
- YKK two-prongtack, silver button fly
- YKK solid copper washed-burr rivets
- Stitched with poly core cotton thread
- Made at Lisama, Portugal</t>
  </si>
  <si>
    <t>KERISURFJAPANNEWBLUE.jpg</t>
  </si>
  <si>
    <t>keri-white-linen</t>
  </si>
  <si>
    <t>Keri White Linen</t>
  </si>
  <si>
    <t>keri-linen-stone, keri-linen-java, keri-linen-olive, keri-black-linen, keri-green-linen, keri-magnet-linen</t>
  </si>
  <si>
    <t>V2-25.03.20-Livid_SS25_ECOM_00980.jpg, LIVID_ECOM_SS24_JEANS_00446.jpg, LIVID_ECOM_SS24_JEANS_00449.jpg, LIVID_ECOM_SS24_JEANS_00453.jpg, LIVID_ECOM_SS24_JEANS_00460.jpg, LIVID_ECOM_SS24_JEANS_00471.jpg, LIVID_ECOM_SS24_JEANS_00475.jpg, LIVID_ECOM_SS24_JEANS_00478.jpg</t>
  </si>
  <si>
    <t>V2-25.03.19-Livid_SS25_ECOM-01363_13695107-3568-4e9d-8925-1a262520a510.jpg, LIVID_ECOM_SS24_JEANS_00794.jpg, LIVID_ECOM_SS24_JEANS_00800.jpg, LIVID_ECOM_SS24_JEANS_00816.jpg, LIVID_ECOM_SS24_JEANS_00803.jpg, LIVID_ECOM_SS24_JEANS_00806.jpg, LIVID_ECOM_SS24_JEANS_00809.jpg, LIVID_ECOM_SS24_JEANS_00788.jpg, LIVID_ECOM_SS24_JEANS_00820.jpg</t>
  </si>
  <si>
    <t>les-dawn</t>
  </si>
  <si>
    <t>Les Dawn</t>
  </si>
  <si>
    <t>Les Dawn - Jacket</t>
  </si>
  <si>
    <t>les-japan-milk</t>
  </si>
  <si>
    <t>Our chore coat Les. Made in a 13 Oz denim washed to our mid blue Dawn.</t>
  </si>
  <si>
    <t>care-cotton-jacket</t>
  </si>
  <si>
    <t>Made in Portugal
Our chore coat Les. Made in a 13 Oz denim woven in Italy by the renowned mill Candiani, for a fully European made jacket. Washed to a mid-blue wash, exhibiting the beautiful texture of the denim weave.</t>
  </si>
  <si>
    <t>copy-of-pennant-fitguide</t>
  </si>
  <si>
    <t>Model is 189cm and wearing a size medium</t>
  </si>
  <si>
    <t>&lt;div class='jdgm-rev-widg' data-updated-at='2025-12-25T11:21:21Z' data-average-rating='0.00' data-number-of-reviews='0' data-number-of-questions='0' data-image-url='https://cdn.shopify.com/s/files/1/1394/5977/files/V2-25.03.20-LividSS25ECOM_00859.jpg?v=1743497683'&gt;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</si>
  <si>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moore-shadow</t>
  </si>
  <si>
    <t>Moore Shadow</t>
  </si>
  <si>
    <t>Moore Shadow - Jacket</t>
  </si>
  <si>
    <t>tarmac-canvas-dune-ginger, burley-japan-off-white, nile-cashmere-natural</t>
  </si>
  <si>
    <t>Our trucker jacket Moore made in a 13 Oz black denim, with a perfect short and snug fit.</t>
  </si>
  <si>
    <t>Made in Portugal
Our trucker jacket Moore, made in a 13 Oz black denim woven at the renowned Italian mill Candiani, for a fully European made jacket. Washed to our structural faded black wash Shadow. Pair with our Kai, Burley or Faye Japan Shadow jeans for a double denim set.
The Moore is a regular fit jacket, designed for normal layering. Featuring a centre front closure with custom silver YKK two-prong tack donut buttons, a single square chest patch pocket, hidden handwarmer pockets in the outseams, two large interior pockets and long sleeves ending in button cuffs.</t>
  </si>
  <si>
    <t>moore-fitguide</t>
  </si>
  <si>
    <t>- Washed rope-dyed black denim
- 13 Oz wideloom denim from Candiani, Italy
- 100% Sanforized cotton
- Custom silver two-prongtack donut buttons made by YKK in Portugal
- Stitched with durable poly core cotton thread
- Made at Lisama, Portugal</t>
  </si>
  <si>
    <t>&lt;div class='jdgm-rev-widg' data-updated-at='2025-11-19T13:25:08Z' data-average-rating='0.00' data-number-of-reviews='0' data-number-of-questions='0' data-image-url='https://cdn.shopify.com/s/files/1/1394/5977/files/LIVIDECOMSS243564.jpg?v=1710859579'&gt;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</si>
  <si>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nikka-optic-heavy-linen</t>
  </si>
  <si>
    <t>Nikka Optic Heavy Linen</t>
  </si>
  <si>
    <t>nile-cashmere-natural</t>
  </si>
  <si>
    <t>Nile Cashmere Natural</t>
  </si>
  <si>
    <t>nile-white, nile-chalk, nile-black</t>
  </si>
  <si>
    <t>Nile is one of our jersey essentials. Made in a cotton jersey with 10% cashmere for a delicate and super soft handfeel.</t>
  </si>
  <si>
    <t>care-jersey-wool</t>
  </si>
  <si>
    <t>Made in Portugal
Nile is one of our jersey essentials. Made in a cotton jersey with 10% cashmere for a delicate and super soft handfeel.
Nile features a slim shape, an open neck opening with a solid jersey rib at neck and sleeve opening.
The garment features:
- 90% cotton, 10 % cashmere
- Sewn with durable poly-core cotton thread
- Pre-shrunk rib jersey, knitted at Etevimol, Portugal
- Made at Texgoios in Portugal</t>
  </si>
  <si>
    <t>LIVIDECOMSS245829.jpg</t>
  </si>
  <si>
    <t>ridley-japan-milk-crepe</t>
  </si>
  <si>
    <t>Ridley Japan Milk Crepe</t>
  </si>
  <si>
    <t>Designed with a deep and open neckline, flowing into a wide, full-length skirt. Ridley exhibits a fluid and elegant drape, feeling light and breathable.</t>
  </si>
  <si>
    <t>Made in Portugal.
Ridley, our lightest summer dress. Designed with a deep and open neckline that flows freely into a wide full-length skirt.
Made in a beautiful crepe fabric woven by Komon Kobo, the Ridley dress exhibits a fluid and elegant drape, while feeling light and breathable on the skin.
Details
- Polyester crepe woven by Komon Kobo in Japan
- Zipper at back of neck, made by YKK in Portugal
- Stitched with durable poly core thread
- Cut &amp; Sewn by Stork, Portugal</t>
  </si>
  <si>
    <t>Ridley-JapanMilkCrepe_cdba9d27-014c-4e8c-b725-00099c33403f.jpg</t>
  </si>
  <si>
    <t>saori-japan-magnet-crepe</t>
  </si>
  <si>
    <t>Saori Japan Magnet Crepe</t>
  </si>
  <si>
    <t>Designed with a fitted waist, creating effortless volume, ending in a full length skirt in a beautiful Japanese crepe fabric.</t>
  </si>
  <si>
    <t>Made in Portugal.
The elegant Saori. Designed with a fitted hip that creates an effortless volume, before ending in a full length, slightly A-lined skirt. 
Made in a beautiful crepe fabric woven by Komon Kobo, the Saori dress exhibits a fluid and elegant drape, while feeling light and breathable on the skin.
Details
- Polyester crepe woven by Komon Kobo in Japan
- Zipper at back of neck, made by YKK in Portugal
- Stitched with durable poly core thread
- Cut &amp; Sewn by Stork, Portugal</t>
  </si>
  <si>
    <t>Saoricrepenavy_502147aa-f5db-41ac-b6fb-fd710d13b648.jpg</t>
  </si>
  <si>
    <t>ayla-dove-linen-1</t>
  </si>
  <si>
    <t>Ayla Dove Linen</t>
  </si>
  <si>
    <t>Ayla Dove Linen, made from a pure linen fabric which provides a lustrous drape, and a casual crimp when worn.</t>
  </si>
  <si>
    <t>LIVID_ECOM_SS24_JEANS_01055.jpg, LIVID_ECOM_SS24_JEANS_01058.jpg, LIVID_ECOM_SS24_JEANS_01081.jpg, LIVID_ECOM_SS24_JEANS_01061.jpg, LIVID_ECOM_SS24_JEANS_01064.jpg, LIVID_ECOM_SS24_JEANS_01070.jpg, LIVID_ECOM_SS24_JEANS_01086.jpg, LIVID_ECOM_SS24_JEANS_01089.jpg</t>
  </si>
  <si>
    <t>Made in Portugal
Ayla Dove Linen, made from a pure linen fabric developed and woven at Somelos in Portugal. This fabric provides a lustrous drape, and the 1x1 linen weave gives casual crimp when worn.
Designed for a relaxed, yet elegant fit, Ayla features a small notch collar and a center front closure with mother of pearl buttons. The hem is elongated and curved, and can be worn loose or tucked.
Details:
- 100% Linen 
- Woven at Somelos in Portugal
- Fabric developed by Livid
- Real mother of pearl buttons made by Louropel in Portugal
- Stitched with high quality poly core cotton thread
- Made at Stork in Portugal 
Go to our fit guide to read more about the Ayla.</t>
  </si>
  <si>
    <t>ayla-fitguide</t>
  </si>
  <si>
    <t>Ayla-DoveLinen_f67bb3a6-9aaa-422c-bef8-c3dc5bae0204.jpg</t>
  </si>
  <si>
    <t>faye-japan-mole</t>
  </si>
  <si>
    <t>abby-chestnut</t>
  </si>
  <si>
    <t>Abby Chestnut</t>
  </si>
  <si>
    <t>abby-white, abby-french-blue-fade-out</t>
  </si>
  <si>
    <t>keri-japan-fog</t>
  </si>
  <si>
    <t>Our Loose fit tee Abby, dyed in a seasonal colour.</t>
  </si>
  <si>
    <t>Made in Portugal
Abby features dropped shoulders, wider and longer short sleeves and a generous silhouette, ideal for someone who likes a more relaxed look.
Made from a pre-shrunk 6.5 Oz heavy 100% cotton jersey exclusively knitted for Livid in Portugal. This particular fabric has been used in our heavyweight t-shirts for many years and has become very popular due to its durability and comfortable handfeel.
Details &amp; Features
- 100% cotton
- 220 gsm pre-shrunk jersey
- Garment dyed
- Sewn with durable poly-core cotton thread
- Knitted by Etevimol in Portugal
- Made at Texgoios in Portugal</t>
  </si>
  <si>
    <t>aiden-white-ox</t>
  </si>
  <si>
    <t>Aiden White Ox</t>
  </si>
  <si>
    <t>Aiden White Ox - Shirt</t>
  </si>
  <si>
    <t>aiden-faded-mysterioso, aiden-otter-ox</t>
  </si>
  <si>
    <t>25.10.31-LIVID_AW25-DAG7_18225.jpg, 25.10.31-LIVID_AW25-DAG7_18241.jpg, 25.10.31-LIVID_AW25-DAG7_20088.jpg, 25.10.31-LIVID_AW25-DAG7_18228.jpg, 25.10.31-LIVID_AW25-DAG7_18231.jpg, 25.10.31-LIVID_AW25-DAG7_18234.jpg, 25.10.31-LIVID_AW25-DAG7_18235.jpg, 25.10.31-LIVID_AW25-DAG7_18239.jpg, 25.10.31-LIVID_AW25-DAG7_18244.jpg</t>
  </si>
  <si>
    <t>25.10.07-LIVID_AW25-DAG4_01030.jpg, 25.10.07-LIVID_AW25-DAG4_01042.jpg, 25.10.07-LIVID_AW25-DAG4_01046.jpg, 25.10.07-LIVID_AW25-DAG4_01051.jpg, 25.10.07-LIVID_AW25-DAG4_01052.jpg, 25.10.07-LIVID_AW25-DAG4_01057.jpg, 25.10.07-LIVID_AW25-DAG4_01061.jpg, 25.10.07-LIVID_AW25-DAG4_01064.jpg, 25.10.07-LIVID_AW25-DAG4_01065.jpg</t>
  </si>
  <si>
    <t>Made in Portugal
A super oversized Oxford shirt, featuring authentic Oxford details such as the wider collar with a pronounced button-down collar roll, a chest pocket, and the hangar loop on the back yoke. The fit however is big: Very dropped shoulders, very wide body and long curved hems. The wider sleeves gather nicely at the cuffs.
Made in a solid heavy oxford cloth, woven by Somelos i Portugal exclusively for Livid.
Designed to be unisex, the sleeve lengths have a greater jump between sizes S and M. XS and S fit most women and shorter men, M and L fit most men and taller women.</t>
  </si>
  <si>
    <t>Aiden-White_e67e0b5e-174a-406b-9fd4-02517a82645f.jpg</t>
  </si>
  <si>
    <t>Details
- Plain weave oxford fabric, 100% cotton.
- Woven by Somelos in Portugal exclusively for Livid
- Mother of Pearl buttons from Louropel, Portugal
- Hanger loop on back yoke
- Stitched with poly core cotton thread
- Cut &amp; Sewn by Stork, Portugal</t>
  </si>
  <si>
    <t>&lt;div class='jdgm-rev-widg' data-updated-at='2025-11-07T12:58:50Z' data-average-rating='0.00' data-number-of-reviews='0' data-number-of-questions='0' data-image-url='https://cdn.shopify.com/s/files/1/1394/5977/files/Aiden-White_d3825fcf-ed8c-467f-8145-e6a30f9bdcef.jpg?v=1726809867'&gt;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</si>
  <si>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barnes-japan-gravel</t>
  </si>
  <si>
    <t>Barnes Japan Gravel</t>
  </si>
  <si>
    <t>barnes-japan-black, barnes-japan-rinse, barnes-japan-dawn, barnes-japan-fade</t>
  </si>
  <si>
    <t>riley-charcoal, adonis-lis-noir</t>
  </si>
  <si>
    <t>The high-rise wide straight, Barnes. Made in our textured grey wash.</t>
  </si>
  <si>
    <t>Made in Portugal
Barnes Japan Gravel. Made from a 13,8 Oz 100% cotton, dark grey wideloom denim woven by the renowned Japanese denim mill, Collect. Washed down to a rough grey, showing off the wonderful texture of the denim.</t>
  </si>
  <si>
    <t>BARNES-JAPAN_GRAVEL_b3897cee-8a4f-417a-8112-9812dea61c49.jpg</t>
  </si>
  <si>
    <t>- 13,8 Oz wideloom denim from Collect, Japan
- 100% Sanforized cotton
- 8 Oz ecru canvas pocketing
- Tanned leather patch w/ wax treatment, Made in Italy.
- YKK two-prongtack, silver button fly
- YKK solid copper washed-burr rivets
- Stitched with durable poly core cotton thread
- Made at Lisama, Portugal</t>
  </si>
  <si>
    <t>blake-taupe</t>
  </si>
  <si>
    <t>Blake Taupe</t>
  </si>
  <si>
    <t>blake-black-1</t>
  </si>
  <si>
    <t>Our big coat, Blake.</t>
  </si>
  <si>
    <t>25.10.07-LIVID_AW25-DAG3_00535.jpg, 25.10.07-LIVID_AW25-DAG3_00573.jpg, 25.10.07-LIVID_AW25-DAG3_00538.jpg, 25.10.07-LIVID_AW25-DAG3_00562.jpg, 25.10.07-LIVID_AW25-DAG3_00552.jpg, 25.10.07-LIVID_AW25-DAG3_00558.jpg, 25.10.07-LIVID_AW25-DAG3_00565.jpg, 25.10.07-LIVID_AW25-DAG3_00554.jpg</t>
  </si>
  <si>
    <t>25.10.07-LIVID_AW25-DAG4_00380.jpg, 25.10.07-LIVID_AW25-DAG4_00432.jpg, 25.10.07-LIVID_AW25-DAG4_00385.jpg, 25.10.07-LIVID_AW25-DAG4_00406.jpg, 25.10.07-LIVID_AW25-DAG4_00412.jpg, 25.10.07-LIVID_AW25-DAG4_00420.jpg, 25.10.07-LIVID_AW25-DAG4_00426.jpg, 25.10.07-LIVID_AW25-DAG4_00427.jpg, 25.10.07-LIVID_AW25-DAG4_00439.jpg, 25.10.07-LIVID_AW25-DAG4_00445.jpg, 25.10.07-LIVID_AW25-DAG4_00450.jpg</t>
  </si>
  <si>
    <t>Made in Portugal
Full length, featuring a wide collar, and hidden mother of pearl buttons down the front. A wide silhouette that has room for heavy layering, or a full suit, while still feeling relaxed and unconstricting. Inner pocket at the chest, and hand warmer pockets at the hips.
Made in an incredibly soft, brushed 100% recycled superfine wool fabric made by Manteco in Tuscany, Italy, resulting in a hefty, warm but still lightweight coat. Recycled superfine wool fibres are carded and spun with traditional methods, and the fabric is woven with a special construction that allows for the strong brushing process creating the long hair finish. 
Designed to fit unisex, the sizes "XS/S" and "M/L" are tuned to traditional women's sleeve lengths, and slightly slimmer at the shoulders. The regular sizes S – XL are traditional men's proportions.</t>
  </si>
  <si>
    <t>blake-fitguide</t>
  </si>
  <si>
    <t>Blake_Taupe_9b007a78-a019-4016-a8b5-fd9edf542544.jpg</t>
  </si>
  <si>
    <t>keri-japan-gravel, adonis-lis-noir, stack-black</t>
  </si>
  <si>
    <t>beth-japan-gravel, teta-grey-melange</t>
  </si>
  <si>
    <t>- 680 gsm brushed recycled wool fabric spun and woven by Manteco in Italy
- 100% recycled superfine wool, 17-19 μm
- Yarns made through the traditional carded spinning process
- Made without dyeing
- Mother of pearl buttons made by Louropel in Italy
- Stitched with durable poly-core cotton thread
- Cut &amp; sewn by DIA in Portugal</t>
  </si>
  <si>
    <t>&lt;div class='jdgm-rev-widg' data-updated-at='2025-10-20T13:13:05Z' data-average-rating='0.00' data-number-of-reviews='0' data-number-of-questions='0' data-image-url='https://cdn.shopify.com/s/files/1/1394/5977/files/blaketaupe.jpg?v=1723800671'&gt;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</si>
  <si>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bowser-black</t>
  </si>
  <si>
    <t>Bowser Black</t>
  </si>
  <si>
    <t>Bowser, our cashmere blend skirt.</t>
  </si>
  <si>
    <t>care-bowser-skirt</t>
  </si>
  <si>
    <t>Made in China
Made in a gloriously soft cashmere blend, that's both lightweight and warming. Finished with elegant low profile seams, possible due to the fine splittable doubleface wool.
The Bowser skirt sits comfortably above the hip, ending just below the knee. The signature silver two-way zip allows a custom length split to be set at the front.
Details
- 90% wool, 10% cashmere 
- Doubleface splittable fabric woven by Taian Fanzhen, China
- YKK two-way sillver zip
- Manufactured by Bonus Trading, China</t>
  </si>
  <si>
    <t>bowser-fitguide</t>
  </si>
  <si>
    <t>Bowser_a684b18b-621d-4426-b4b4-98473de2cb8d.jpg</t>
  </si>
  <si>
    <t>&lt;div class='jdgm-rev-widg' data-updated-at='2025-12-25T11:13:32Z' data-average-rating='0.00' data-number-of-reviews='0' data-number-of-questions='0' data-image-url='https://cdn.shopify.com/s/files/1/1394/5977/files/24.08.16-LIVID_AW257237.jpg?v=1724228265'&gt;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</si>
  <si>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connely-brown-cord</t>
  </si>
  <si>
    <t>Connely Brown Cord</t>
  </si>
  <si>
    <t>hayes-stripe</t>
  </si>
  <si>
    <t>Our regular shirt Connely, in soft corduroy.</t>
  </si>
  <si>
    <t>Made in Portugal
Made in a soft corduroy fabric, the Connely shirt can be worn alone, or layered up as a warming overshirt.
Cut in a regular fit with folded pleats on back yoke for increased mobility, a single chest pocket and finished with natural mother of pearl buttons. 
Details:
- 100% cotton corduroy
- Woven by Troficolor in Portugal
- Mother of Pearl buttons made by Louropel in Italy
- Stitched with durable poly-core cotton thread
- Made at Stork in Portugal</t>
  </si>
  <si>
    <t>connely-fitguide</t>
  </si>
  <si>
    <t>connelybrowncord_206d7fb7-285d-4a4d-abd7-e2271bcc133f.jpg</t>
  </si>
  <si>
    <t>&lt;div class='jdgm-rev-widg' data-updated-at='2025-10-17T14:53:08Z' data-average-rating='0.00' data-number-of-reviews='0' data-number-of-questions='0' data-image-url='https://cdn.shopify.com/s/files/1/1394/5977/files/25.10.07-LIVIDAW25-DAG3_01444.jpg?v=1760712453'&gt;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</si>
  <si>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dune-japan-new-blue</t>
  </si>
  <si>
    <t>Dune Japan New Blue</t>
  </si>
  <si>
    <t>dune-japan-shadow</t>
  </si>
  <si>
    <t>Our new straight, Dune.</t>
  </si>
  <si>
    <t>Made in Portugal
Dune is our snug straight. Fitted in the waist and upper thigh, with a high mid-rise, and a slim straight leg.
The Dune fits small. Most customers size up one size in the waist compared to their normal size, for a snug straight fit.
Made in a solid 13 Oz 100% cotton denim from the renowned Japanese denim mill Kuroki. Soft to the touch, the Japan New Blue is washed to a light lived-in blue finish.
Details &amp; Features
- Light blue washed rope-dyed indigo denim
- 13 Oz wideloom denim from Kuroki, Japan
- 100% Sanforized cotton
- Warp dyed in indigo, natural coloured weft
- 8 Oz ecru canvas pocketing
- Vegetable-tanned leather patch w/ wax treatment, made in Italy.
- YKK two-prong, silver button fly
- YKK solid copper washed-burr rivets
- Stitched with poly core cotton thread
- Made at Lisama, Portugal</t>
  </si>
  <si>
    <t>dune-fitguide</t>
  </si>
  <si>
    <t>&lt;div class='jdgm-rev-widg' data-updated-at='2025-08-27T17:57:02Z' data-average-rating='5.00' data-number-of-reviews='1' data-number-of-questions='0' data-image-url='https://cdn.shopify.com/s/files/1/1394/5977/files/dune-japannewblue.jpg?v=1723800723'&gt; &lt;style class='jdgm-temp-hiding-style'&gt;.jdgm-rev-widg{ display: none }&lt;/style&gt; &lt;div class='jdgm-rev-widg__header'&gt; &lt;h2 class='jdgm-rev-widg__title'&gt;Customer Reviews&lt;/h2&gt;   &lt;div class='jdgm-rich-snippet' itemprop='aggregateRating' itemscope itemtype='http://schema.org/AggregateRating'&gt; &lt;meta itemprop='reviewCount' content='1'&gt; &lt;meta itemprop='ratingValue' content='5.00'&gt; &lt;/div&gt;   &lt;div class='jdgm-rev-widg__summary'&gt; &lt;div class='jdgm-rev-widg__summary-stars' aria-label='Average rating is 5.00 stars' role='img'&gt; &lt;span class='jdgm-star jdgm--on'&gt;&lt;/span&gt;&lt;span class='jdgm-star jdgm--on'&gt;&lt;/span&gt;&lt;span class='jdgm-star jdgm--on'&gt;&lt;/span&gt;&lt;span class='jdgm-star jdgm--on'&gt;&lt;/span&gt;&lt;span class='jdgm-star jdgm--on'&gt;&lt;/span&gt; &lt;/div&gt; &lt;div class='jdgm-rev-widg__summary-text'&gt;Based on 1 review&lt;/div&gt; &lt;/div&gt; &lt;a style='display: none' href='#' class='jdgm-write-rev-link' role='button'&gt;Write a review&lt;/a&gt; &lt;div class='jdgm-histogram jdgm-temp-hidden'&gt;  &lt;div class='jdgm-histogram__row' data-rating='5' data-frequency='1' data-percentage='100'&gt;  &lt;div class='jdgm-histogram__star' role='button' aria-label="100% (1)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100%;'&gt; &lt;/div&gt; &lt;/div&gt; &lt;div class='jdgm-histogram__percentage'&gt;100%&lt;/div&gt; &lt;div class='jdgm-histogram__frequency'&gt;(1)&lt;/div&gt;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 class='jdgm-rev jdgm-divider-top' data-verified-buyer='true' data-review-id='a263565c-1914-4f9f-97dc-a033f082c80d' data-review-language='' data-product-title='Dune Japan New Blue' data-product-url='/products/dune-japan-new-blue' data-thumb-up-count='0' data-thumb-down-count='0'&gt; &lt;div class='jdgm-rev__header'&gt;  &lt;div class='jdgm-rev__icon' &gt; R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data-content='2025-08-27 17:53:24 UTC'&gt;&lt;/span&gt;    &lt;div class='jdgm-rev__br'&gt;&lt;/div&gt; &lt;span class='jdgm-rev__buyer-badge-wrapper'&gt; &lt;span class='jdgm-rev__buyer-badge'&gt;&lt;/span&gt; &lt;/span&gt; &lt;span class='jdgm-rev__author-wrapper'&gt; &lt;span class='jdgm-rev__author'&gt;Ryan&lt;/span&gt; &lt;span class='jdgm-rev__location' &gt;  &lt;/span&gt;  &lt;/span&gt; &lt;/div&gt; &lt;div class='jdgm-rev__content'&gt;  &lt;div class='jdgm-rev__custom-form'&gt;  &lt;/div&gt; &lt;b class='jdgm-rev__title'&gt;The most perfect jean?&lt;/b&gt; &lt;div class='jdgm-rev__body'&gt;&lt;p&gt;I purchased a pair of the Dune Japan jeans in a faded black during my trip to Norway this past Summer and they are the best fitting jeans I have ever put on. I ordered these online and they also fit incredibly! Highly recommend.&lt;/p&gt;&lt;/div&gt; &lt;div class='jdgm-rev__pics'&gt;  &lt;/div&gt; &lt;div class='jdgm-rev__vids'&gt;   &lt;/div&gt; &lt;div class='jdgm-rev__transparency-badge-wrapper'&gt;  &lt;/div&gt; &lt;/div&gt; &lt;div class='jdgm-rev__actions'&gt; &lt;div class='jdgm-rev__social'&gt;&lt;/div&gt; &lt;div class='jdgm-rev__votes'&gt;&lt;/div&gt; &lt;/div&gt; &lt;div class='jdgm-rev__reply'&gt;  &lt;/div&gt; &lt;/div&gt;&lt;/div&gt; &lt;div class='jdgm-paginate' data-per-page='5' data-url='https://api.judge.me/reviews/reviews_for_widget' style="display: none;"&gt;&lt;/div&gt;  &lt;/div&gt; &lt;div class='jdgm-rev-widg__paginate-spinner-wrapper'&gt; &lt;div class='jdgm-spinner'&gt;&lt;/div&gt; &lt;/div&gt; &lt;/div&gt;</t>
  </si>
  <si>
    <t>Dune Japan Shadow</t>
  </si>
  <si>
    <t>Made in Portugal
Dune is our snug straight. Fitted in the waist and upper thigh, with a high mid-rise, and a slim straight leg.
The Dune fits small. Most customers size up one size in the waist compared to their normal size, for a snug straight fit.
Dune Japan Shadow is made from a 13 Oz 100% cotton, black wideloom denim woven by the renowned Japanese fabric mill, Kuroki. Washed down to a lived-in look. The Japan Shadow achieves a subtle depth and texture to the greying black, thanks to the special dyeing technique called rope dye, where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Details &amp; Features
- 13 Oz wideloom denim from Kuroki, Japan
- 100% Sanforized cotton
- Warp &amp; Weft sulphur dyed black
- 8 Oz 5 Oz ecru canvas pocketing
- Black vegetable-tanned leather patch w/ wax treatment, Made in Italy.
- YKK two-prong, silver button fly
- YKK solid copper washed-burr rivets
- Stitched with durable poly-core cotton thread
- Made at Lisama, Portugal</t>
  </si>
  <si>
    <t>feedly-black-casentino</t>
  </si>
  <si>
    <t>Feedly Black Casentino</t>
  </si>
  <si>
    <t>Vest</t>
  </si>
  <si>
    <t>barkle-black-casentino</t>
  </si>
  <si>
    <t>beth-japan-gravel, tim-black-bonded, adonis-lis-noir</t>
  </si>
  <si>
    <t>Feedly, our 100% Casentino wool fleece vest.</t>
  </si>
  <si>
    <t>25.10.07-LIVID_AW25-DAG3_00497.jpg, 25.10.07-LIVID_AW25-DAG3_00499.jpg, 25.10.07-LIVID_AW25-DAG3_00507.jpg, 25.10.07-LIVID_AW25-DAG3_00512.jpg, 25.10.07-LIVID_AW25-DAG3_00515.jpg, 25.10.07-LIVID_AW25-DAG3_00518.jpg, 25.10.07-LIVID_AW25-DAG3_00521.jpg, 25.10.07-LIVID_AW25-DAG3_00526.jpg, 25.10.07-LIVID_AW25-DAG3_00531.jpg</t>
  </si>
  <si>
    <t>care-casentino-wool</t>
  </si>
  <si>
    <t>Made in China
Made in pure Casentino wool, a luxurious Italian wool quality from the Casentino valley in Tuscany. With a history dating back to the middle ages, Casentino wool is world renowned for its high quality, durability and its neppy surface pile.
With its sportswear-inspired design, the Feedly vest becomes an elevated fleece vest with a wonderful feel, and functional properties: It breathes well, keeps you warm, and is easy to care for. Soft, but at the same time durable and very weather resistent. Featuring two large pockets, and designed for layering. Wear it over a T-shirt in mild weather, over sweaters when it becomes colder, and during winter it's a perfect mid-layer beneath a coat.</t>
  </si>
  <si>
    <t>feedly-fitguide</t>
  </si>
  <si>
    <t>Model is 185cm tall and wearing a size medium</t>
  </si>
  <si>
    <t>- 100% Casentino wool
- Woven by T.A.C.S. in Italy
- Two-way zipper from YKK
- Piped seams
- Stitched with durable poly-core cotton thread
- Made by Yinmao in China</t>
  </si>
  <si>
    <t>&lt;div class='jdgm-rev-widg' data-updated-at='2025-10-17T14:51:08Z' data-average-rating='0.00' data-number-of-reviews='0' data-number-of-questions='0' data-image-url='https://cdn.shopify.com/s/files/1/1394/5977/files/25.10.07-LIVIDAW25-DAG3_00497.jpg?v=1760712493'&gt;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</si>
  <si>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kayden-black</t>
  </si>
  <si>
    <t>Kayden Black</t>
  </si>
  <si>
    <t>Leather Jacket</t>
  </si>
  <si>
    <t>Kayden, our black shearling coat.</t>
  </si>
  <si>
    <t>care-jacket-leather</t>
  </si>
  <si>
    <t>Made in Portugal
Kayden features a high collar and a generous fit allowing for heavy layering. The long sleeves can be worn long, or folded to a cuff. Finished with a full-length two-way metal zipper and hand warmer pockets at the hip. 
Made in a soft and supple deep black sheep shearling. This particular shearling is lightweight and soft, giving an elegant drape to the coat. 
Kayden is produced by our longtime partner Octa in Portugal. A small leather workshop with only four employees cutting and sewing the garments.
Designed to be unisex, the size XS/S is tuned in the shoulders and sleeves to fit smaller women's sizes.</t>
  </si>
  <si>
    <t>kayden-fitguide</t>
  </si>
  <si>
    <t>- Black Sheep Shearling, tanned in Portugal
- Full-length 2-way zipper, made by YKK in Portugal
- Hand-warmer pockets at hip
- Produced by Octa, Portugal</t>
  </si>
  <si>
    <t>kerin-black</t>
  </si>
  <si>
    <t>Kerin Black</t>
  </si>
  <si>
    <t>kerin-charcoal, kerin-taupe</t>
  </si>
  <si>
    <t>care-kerin</t>
  </si>
  <si>
    <t>Made in China 
Effortlessly draped sweater, knitted in a super soft brushed alpaca yarn. Constructed with wide sleeves, dropped shoulders and relaxed, long body. The Kerin is a go-to sweater for the whole autumn/winter season.</t>
  </si>
  <si>
    <t>24.08.16-LIVIDAW254387.jpg</t>
  </si>
  <si>
    <t>Model is 174cm tall and wearing a size M/L</t>
  </si>
  <si>
    <t>&lt;div class='jdgm-rev-widg' data-updated-at='2025-10-17T14:51:09Z' data-average-rating='0.00' data-number-of-reviews='0' data-number-of-questions='0' data-image-url='https://cdn.shopify.com/s/files/1/1394/5977/files/25.10.07-LIVIDAW25-DAG4_01222.jpg?v=1760712238'&gt;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</si>
  <si>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Lima Stripe</t>
  </si>
  <si>
    <t>Cropped rugby shirt, Lima.</t>
  </si>
  <si>
    <t>Made in Portugal
Inspired by sportswear, and tuned to suit our denim. Made in a heavyweight jersey knitted in a stripe design, and then garment dyed. 
Built with dropped shoulders, a relaxed silhouette and a shorter length that ends perfectly at the hips. Finnished with a ribbed tipped collar and mother of pearl buttoning.
The garment features:
- 100% cotton pre-shrunk jersey
- Garment dyed
- Mother of pearl buttons
- Sewn with durable poly-core cotton thread
- Jersey knitted at Etevimol in Portugal
- Made at Texgoios in Portugal</t>
  </si>
  <si>
    <t>Lima-Stripe_847a0395-452f-41c0-95b4-4bac9b3f358a.jpg</t>
  </si>
  <si>
    <t>peyton-black</t>
  </si>
  <si>
    <t>Peyton Black</t>
  </si>
  <si>
    <t>Peyton, our cashmere blend jacket.</t>
  </si>
  <si>
    <t>Made in China
Made in a gloriously soft cashmere blend, that's both lightweight and warming. Finished with elegant low profile seams, possible due to the fine splittable doubleface wool.
The Peyton jacket is designed with dropped shoulders, straight sleeves and a relaxed, boxy body. Its shorter length ending precicely at the top of the hip. Finished with a silver two-way zip.</t>
  </si>
  <si>
    <t>peyton.jpg</t>
  </si>
  <si>
    <t>Model is 174cm tall and wearing a size small</t>
  </si>
  <si>
    <t>Details
- 90% wool, 10% cashmere 
- Doubleface splittable fabric woven by Taian Fanzhen, China
- YKK two-way sillver zip
- Manufactured by Bonus Trading, China</t>
  </si>
  <si>
    <t>&lt;div class='jdgm-rev-widg' data-updated-at='2025-10-24T09:22:37Z' data-average-rating='0.00' data-number-of-reviews='0' data-number-of-questions='0' data-image-url='https://cdn.shopify.com/s/files/1/1394/5977/files/25.10.15-LIVIDAW25-DAG619476.jpg?v=1761297543'&gt;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</si>
  <si>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plath-blue-mohair-mix</t>
  </si>
  <si>
    <t>Plath Blue Mohair Mix</t>
  </si>
  <si>
    <t>Beanie</t>
  </si>
  <si>
    <t>plath-brown-mohair-mix-1, plath-grey-mohair-mix, plath-olive-mohair-mix, plath-spice-mohair-mix-1, plath-taupe-mohair-mix, plath-black-merino-1, plath-charcoal-merino</t>
  </si>
  <si>
    <t>Our single fold mohair beanie, Plath.</t>
  </si>
  <si>
    <t>Made in China
The single fold Plath beanie strikes the perfect balance as a compact beanie while still providing important coverage for the coldest days.
Made in a beautiful fuzzy mohair combined with extra fine merino wool. The two pure fiber yarns are dyed in complimentary colours, to acheive a subtle marl.
Details
- 50% mohair, 50% extra fine merino wool
- Mohair yarn spun in China by Topline
- Merino wool yarn spun in Europe by Biella Yarn
- Single fold beanie
- Knitted by Springair in China</t>
  </si>
  <si>
    <t>PLATH-BLUE.jpg</t>
  </si>
  <si>
    <t>plath-charcoal-merino</t>
  </si>
  <si>
    <t>Plath Charcoal Merino</t>
  </si>
  <si>
    <t>plath-black-merino-1</t>
  </si>
  <si>
    <t>Our single fold merino beanie, Plath.</t>
  </si>
  <si>
    <t>Made in China
The single fold Plath beanie strikes the perfect balance as a compact beanie while still providing important coverage for the coldest days.
Made from a beautiful lightweight 100% extra fine merino wool, spun by the renowned European wool spinner Biella Yarn. Knits made with these yarns stand out due to its extraordinary handfeel, breathability, and the natural brilliance of its colours.
Details
- 100% extra fine merino wool
- Merino wool yarn spun in Europe by Biella Yarn
- Soft, elastic and super resistant.
- Single fold beanie
- Knitted by Springair in China</t>
  </si>
  <si>
    <t>PLATH-CHARCOAL.jpg</t>
  </si>
  <si>
    <t>plath-grey-mohair-mix</t>
  </si>
  <si>
    <t>Plath Grey Mohair Mix</t>
  </si>
  <si>
    <t>plath-blue-mohair-mix, plath-brown-mohair-mix-1, plath-olive-mohair-mix, plath-spice-mohair-mix-1, plath-taupe-mohair-mix, plath-black-merino-1, plath-charcoal-merino</t>
  </si>
  <si>
    <t>PLATH-GREY.jpg</t>
  </si>
  <si>
    <t>plath-olive-mohair-mix</t>
  </si>
  <si>
    <t>Plath Olive Mohair Mix</t>
  </si>
  <si>
    <t>plath-blue-mohair-mix, plath-brown-mohair-mix-1, plath-grey-mohair-mix, plath-spice-mohair-mix-1, plath-taupe-mohair-mix, plath-black-merino-1, plath-charcoal-merino</t>
  </si>
  <si>
    <t>PLATH-OLIVE.jpg</t>
  </si>
  <si>
    <t>plath-taupe-mohair-mix</t>
  </si>
  <si>
    <t>Plath Taupe Mohair Mix</t>
  </si>
  <si>
    <t>plath-blue-mohair-mix, plath-brown-mohair-mix-1, plath-grey-mohair-mix, plath-olive-mohair-mix, plath-spice-mohair-mix-1, plath-black-merino-1, plath-charcoal-merino</t>
  </si>
  <si>
    <t>PLATH-TAUPE.jpg</t>
  </si>
  <si>
    <t>Riley Charcoal</t>
  </si>
  <si>
    <t>riley-green, riley-navy-1</t>
  </si>
  <si>
    <t>keen-grisalle-fine-silk, keri-japan-black, adonis-lis-noir</t>
  </si>
  <si>
    <t>Riley, our lightweight merino turtleneck.</t>
  </si>
  <si>
    <t xml:space="preserve">Made in China 
From our All Seasons line comes our lightweight merino sweater Riley. Made from a beautiful lightweight 100% extra fine merino wool, spun by the renowned European wool spinner Biella Yarn.
Riley was developed to be the perfect basic wool sweater, your go-to piece for almost any occasion. With a classic fit, a luxurious soft handfeel, and a neck opening that's the perfect width worn over shirt collars and t-shirts alike. The super soft merino quality from Biella also allows you to wear it directly on your skin.
</t>
  </si>
  <si>
    <t>knitsweater-charcoal.jpg</t>
  </si>
  <si>
    <t>- 100% extra fine merino wool
- Merino wool yarn spun in Europe by Biella Yarn
- Soft, elastic and super resistant.
- Knitted by Springair in China</t>
  </si>
  <si>
    <t>&lt;div class='jdgm-rev-widg' data-updated-at='2025-10-08T16:07:31Z' data-average-rating='0.00' data-number-of-reviews='0' data-number-of-questions='0' data-image-url='https://cdn.shopify.com/s/files/1/1394/5977/files/25.08.22-LIVIDAW25ECOM14190.jpg?v=1757588322'&gt;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</si>
  <si>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riley-green</t>
  </si>
  <si>
    <t>Riley Green</t>
  </si>
  <si>
    <t>riley-charcoal, riley-navy-1</t>
  </si>
  <si>
    <t>Made in China 
From our All Seasons line comes our lightweight merino sweater Riley. Made from a beautiful lightweight 100% extra fine merino wool, spun by the renowned European wool spinner Biella Yarn.
Riley was developed to be the perfect basic wool sweater, your go-to piece for almost any occasion. With a classic fit, a luxurious soft handfeel, and a neck opening that's the perfect width worn over shirt collars and t-shirts alike. The super soft merino quality from Biella also allows you to wear it directly on your skin.</t>
  </si>
  <si>
    <t>Knit_Sweater-Dark_Green_c58a41b3-a63e-45f7-9d75-899275035945.jpg</t>
  </si>
  <si>
    <t>&lt;div class='jdgm-rev-widg' data-updated-at='2025-10-08T16:07:31Z' data-average-rating='0.00' data-number-of-reviews='0' data-number-of-questions='0' data-image-url='https://cdn.shopify.com/s/files/1/1394/5977/files/25.08.22-LIVIDAW25ECOM14186.jpg?v=1757588391'&gt;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</si>
  <si>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Teta Black</t>
  </si>
  <si>
    <t>Teta, our ribbed merino baselayer.</t>
  </si>
  <si>
    <t>Made in China 
Made from a beautiful lightweight 100% extra fine merino wool, spun by the renowned European wool spinner Biella Yarn.
Refined, but durable enough to be worn every day. With a slim fit perfect for layering, and a luxurious soft handfeel. The super soft merino quality from Biella allows you to wear it directly on your skin without any itching.</t>
  </si>
  <si>
    <t>Teta_black.jpg</t>
  </si>
  <si>
    <t>- 100% extra fine merino wool
- Merino wool yarn spun in Europe by Biella Yarn
- 14 guage rib knit
- Soft, elastic and super resistant.
- Knitted by Springair in China</t>
  </si>
  <si>
    <t>Teta Grey Melange</t>
  </si>
  <si>
    <t>teta-fitguide</t>
  </si>
  <si>
    <t>Teta_grey.jpg</t>
  </si>
  <si>
    <t>Hayes Trouser Black</t>
  </si>
  <si>
    <t>hayes-suit-jacket-black, hayes-charcoal, hayes-navy, hayes-stripe</t>
  </si>
  <si>
    <t>hayes-suit-jacket-black</t>
  </si>
  <si>
    <t>Our high-rise, wide suit trouser, Hayes. In a fluid drape wool.</t>
  </si>
  <si>
    <t>HAYES_BLACK.jpg</t>
  </si>
  <si>
    <t>Made in Portugal
Our high-rise, wide suit trouser, Hayes. Constructed with a tailored fit at the waist, and relaxed and wide from the hip down.
Made in a smooth worsted wool fabric woven by Tessilbiella in Italy, giving the Hayes trousers a dramatic drape. The 98% wool, 2% elastan composition makes this fabric particularly wrinkle resistant and ensures that the press fold keeps over time. Woven in a weight perfect for both warmer and colder seasons.
Made to complete the Hayes Suit together with the Hayes Suit Jacket, or worn casually.
Details &amp; Features
- 98% wool, 2% elastan wrinkle-restistant fabric
- Woven by Tessilbiella, Italy
- YKK zip fly with silver metal hook and eye closure
- Welt back pockets with button closure
- Mother of pearl buttons
- Stitched with durable poly-core cotton thread
- Made at Outfit21, Portugal</t>
  </si>
  <si>
    <t>hayes-fitguide</t>
  </si>
  <si>
    <t>&lt;div class='jdgm-rev-widg' data-updated-at='2025-07-10T23:53:06Z' data-average-rating='4.00' data-number-of-reviews='1' data-number-of-questions='0' data-image-url='https://cdn.shopify.com/s/files/1/1394/5977/files/Hayes-Black_a0dd38c5-71f1-4f88-ae69-a7e3e43c359b.jpg?v=1724398951'&gt; &lt;style class='jdgm-temp-hiding-style'&gt;.jdgm-rev-widg{ display: none }&lt;/style&gt; &lt;div class='jdgm-rev-widg__header'&gt; &lt;h2 class='jdgm-rev-widg__title'&gt;Customer Reviews&lt;/h2&gt;   &lt;div class='jdgm-rich-snippet' itemprop='aggregateRating' itemscope itemtype='http://schema.org/AggregateRating'&gt; &lt;meta itemprop='reviewCount' content='1'&gt; &lt;meta itemprop='ratingValue' content='4.00'&gt; &lt;/div&gt;   &lt;div class='jdgm-rev-widg__summary'&gt; &lt;div class='jdgm-rev-widg__summary-stars' aria-label='Average rating is 4.00 stars' role='img'&gt; &lt;span class='jdgm-star jdgm--on'&gt;&lt;/span&gt;&lt;span class='jdgm-star jdgm--on'&gt;&lt;/span&gt;&lt;span class='jdgm-star jdgm--on'&gt;&lt;/span&gt;&lt;span class='jdgm-star jdgm--on'&gt;&lt;/span&gt;&lt;span class='jdgm-star jdgm--off'&gt;&lt;/span&gt; &lt;/div&gt; &lt;div class='jdgm-rev-widg__summary-text'&gt;Based on 1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data-frequency='1' data-percentage='100'&gt;  &lt;div class='jdgm-histogram__star' role='button' aria-label="100% (1)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100%;'&gt; &lt;/div&gt; &lt;/div&gt; &lt;div class='jdgm-histogram__percentage'&gt;100%&lt;/div&gt; &lt;div class='jdgm-histogram__frequency'&gt;(1)&lt;/div&gt;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 class='jdgm-rev jdgm-divider-top' data-verified-buyer='true' data-review-id='f27f3c96-6833-421f-833d-daeeb4924b9d' data-review-language='' data-product-title='Hayes Trouser Black' data-product-url='/products/hayes-black' data-thumb-up-count='0' data-thumb-down-count='0'&gt; &lt;div class='jdgm-rev__header'&gt;  &lt;div class='jdgm-rev__icon' &gt; A &lt;/div&gt;  &lt;span class='jdgm-rev__rating' data-score='4' tabindex='0' aria-label='4 star review' role='img'&gt; &lt;span class='jdgm-star jdgm--on'&gt;&lt;/span&gt;&lt;span class='jdgm-star jdgm--on'&gt;&lt;/span&gt;&lt;span class='jdgm-star jdgm--on'&gt;&lt;/span&gt;&lt;span class='jdgm-star jdgm--on'&gt;&lt;/span&gt;&lt;span class='jdgm-star jdgm--off'&gt;&lt;/span&gt; &lt;/span&gt; &lt;span class='jdgm-rev__timestamp jdgm-spinner' data-content='2025-07-10 23:51:36 UTC'&gt;&lt;/span&gt;    &lt;div class='jdgm-rev__br'&gt;&lt;/div&gt; &lt;span class='jdgm-rev__buyer-badge-wrapper'&gt; &lt;span class='jdgm-rev__buyer-badge'&gt;&lt;/span&gt; &lt;/span&gt; &lt;span class='jdgm-rev__author-wrapper'&gt; &lt;span class='jdgm-rev__author'&gt;Anonymous&lt;/span&gt; &lt;span class='jdgm-rev__location' &gt;  &lt;/span&gt;  &lt;/span&gt; &lt;/div&gt; &lt;div class='jdgm-rev__content'&gt;  &lt;div class='jdgm-rev__custom-form'&gt;  &lt;/div&gt; &lt;b class='jdgm-rev__title'&gt;Ser veldig bra ut&lt;/b&gt; &lt;div class='jdgm-rev__body'&gt;&lt;p&gt;Ser veldig bra ut. Men de er altfor lange for mann på 185cm. Men for de på rundt 190 ville de nok sett veldig bra ut.&lt;/p&gt;&lt;/div&gt; &lt;div class='jdgm-rev__pics'&gt;  &lt;/div&gt; &lt;div class='jdgm-rev__vids'&gt;   &lt;/div&gt; &lt;div class='jdgm-rev__transparency-badge-wrapper'&gt;  &lt;/div&gt; &lt;/div&gt; &lt;div class='jdgm-rev__actions'&gt; &lt;div class='jdgm-rev__social'&gt;&lt;/div&gt; &lt;div class='jdgm-rev__votes'&gt;&lt;/div&gt; &lt;/div&gt; &lt;div class='jdgm-rev__reply'&gt;  &lt;/div&gt; &lt;/div&gt;&lt;/div&gt; &lt;div class='jdgm-paginate' data-per-page='5' data-url='https://api.judge.me/reviews/reviews_for_widget' style="display: none;"&gt;&lt;/div&gt;  &lt;/div&gt; &lt;div class='jdgm-rev-widg__paginate-spinner-wrapper'&gt; &lt;div class='jdgm-spinner'&gt;&lt;/div&gt; &lt;/div&gt; &lt;/div&gt;</t>
  </si>
  <si>
    <t>Blake Black</t>
  </si>
  <si>
    <t>25.10.07-LIVID_AW25-DAG3_00317.jpg, 25.10.07-LIVID_AW25-DAG3_00325.jpg, 25.10.07-LIVID_AW25-DAG3_00326.jpg, 25.10.07-LIVID_AW25-DAG3_00332.jpg, 25.10.07-LIVID_AW25-DAG3_00336.jpg, 25.10.07-LIVID_AW25-DAG3_00339.jpg, 25.10.07-LIVID_AW25-DAG3_00344.jpg, 25.10.07-LIVID_AW25-DAG3_00345.jpg, 25.10.07-LIVID_AW25-DAG3_00353.jpg, 25.10.07-LIVID_AW25-DAG3_00356.jpg</t>
  </si>
  <si>
    <t>25.10.07-LIVID_AW25-DAG4_00464.jpg, 25.10.07-LIVID_AW25-DAG4_00465.jpg, 25.10.07-LIVID_AW25-DAG4_00477.jpg, 25.10.07-LIVID_AW25-DAG4_00481.jpg, 25.10.07-LIVID_AW25-DAG4_00482.jpg, 25.10.07-LIVID_AW25-DAG4_00488.jpg</t>
  </si>
  <si>
    <t>keen-grisalle-fine-silk, adonis-lis-noir, riley-charcoal</t>
  </si>
  <si>
    <t>kerin-black, mercer-charcoal-melange, beth-japan-gravel</t>
  </si>
  <si>
    <t>&lt;div class='jdgm-rev-widg' data-updated-at='2025-10-17T14:51:06Z' data-average-rating='0.00' data-number-of-reviews='0' data-number-of-questions='0' data-image-url='https://cdn.shopify.com/s/files/1/1394/5977/files/Blake-Black_ea6ea03f-40b6-4c5a-85e4-c7082f4d2e91.jpg?v=1727270607'&gt;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</si>
  <si>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nash-black-1</t>
  </si>
  <si>
    <t>Nash Black</t>
  </si>
  <si>
    <t>nash-taupe</t>
  </si>
  <si>
    <t>keri-japan-sandbox, avoriaz-velours-graphite, kilmer-black-fluff</t>
  </si>
  <si>
    <t>Nash, our mid-length winter overcoat.</t>
  </si>
  <si>
    <t>25.10.07-LIVID_AW25-DAG3_00750.jpg, 25.10.07-LIVID_AW25-DAG3_00768.jpg, 25.10.07-LIVID_AW25-DAG3_00761.jpg, 25.10.07-LIVID_AW25-DAG3_00755.jpg, 25.10.07-LIVID_AW25-DAG3_00764.jpg, 25.10.07-LIVID_AW25-DAG3_00790.jpg, 25.10.07-LIVID_AW25-DAG3_00776.jpg, 25.10.07-LIVID_AW25-DAG3_00780.jpg, 25.10.07-LIVID_AW25-DAG3_00783.jpg, 25.10.07-LIVID_AW25-DAG3_00786.jpg</t>
  </si>
  <si>
    <t>Made in Portugal
Above the knee in length, with slightly wide shoulders so that you comfortably can wear it over heavy knits or even a suit. A classic silhouette, with a flattering volume. When the wind gets really icy, Nash protects your neck with a shield shaped throat lash.
Made in an incredibly soft, brushed 100% recycled superfine wool fabric made by Manteco in Tuscany, Italy, resulting in a hefty, warm but still lightweight coat. Recycled superfine wool fibres are carded and spun with traditional methods, and the fabric is woven with a special construction that allows for the strong brushing process creating the long hair finish. 
Designed to fit unisex, the sizes "XS/S" and "M/L" are tuned to traditional women's sleeve lengths, and slightly slimmer at the shoulders. The regular sizes S – XL are traditional men's proportions.</t>
  </si>
  <si>
    <t>nash-fitguide</t>
  </si>
  <si>
    <t>&lt;div class='jdgm-rev-widg' data-updated-at='2025-10-17T14:51:07Z'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</si>
  <si>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nelson-putty-overdye-1</t>
  </si>
  <si>
    <t>Nelson Putty Overdye</t>
  </si>
  <si>
    <t>nelson-black, nelson-white, nelson-grey-melange, nelson-light-grey, nelson-black-indigo, nelson-multistripe, nelson-charcoal-1, nelson-bonnet-overdye, nelson-string</t>
  </si>
  <si>
    <t>Our relaxed fit Nelson tee in a seasonal cold pigment overdye.</t>
  </si>
  <si>
    <t>Made in Portugal
This colourway is cold pigment doubledye, a special dying technique resulting in an uneven weathered look, where every shirt is unique.
Featuring dropped shoulders, a wider body for a relaxed fit, and a slightly shorter length than our basic tee Richmond. Made in our signature 6.5 Oz heavyweight 100% cotton jersey exclusively made for Livid in Portugal.
Details &amp; Features
- 100% cotton
- 220 gsm pre-shrunk jersey, knitted by Etevimol in Portugal
- Livid embroidery at chest
- Fine rib collar
- Sewn with durable poly core cotton thread
- Made at Texgoios in Portugal</t>
  </si>
  <si>
    <t>Keller-OverdPutty_3872d2b7-9504-4f80-8a56-97522f84b7fa.jpg</t>
  </si>
  <si>
    <t>Plath Black Merino</t>
  </si>
  <si>
    <t>PLATH-BLACK.jpg</t>
  </si>
  <si>
    <t>plath-brown-mohair-mix-1</t>
  </si>
  <si>
    <t>Plath Brown Mohair Mix</t>
  </si>
  <si>
    <t>plath-blue-mohair-mix, plath-grey-mohair-mix, plath-olive-mohair-mix, plath-spice-mohair-mix-1, plath-taupe-mohair-mix, plath-black-merino-1, plath-charcoal-merino</t>
  </si>
  <si>
    <t>PLATH_BROWN.jpg</t>
  </si>
  <si>
    <t>plath-spice-mohair-mix-1</t>
  </si>
  <si>
    <t>Plath Spice Mohair Mix</t>
  </si>
  <si>
    <t>plath-blue-mohair-mix, plath-brown-mohair-mix-1, plath-grey-mohair-mix, plath-olive-mohair-mix, plath-taupe-mohair-mix, plath-black-merino-1, plath-charcoal-merino</t>
  </si>
  <si>
    <t>PLATH-SPICE_MOHAIR_MIX.jpg</t>
  </si>
  <si>
    <t>riley-navy-1</t>
  </si>
  <si>
    <t>Riley Navy</t>
  </si>
  <si>
    <t>riley-charcoal, riley-green</t>
  </si>
  <si>
    <t>knitsweater-navy_92c3b8a5-ef25-4559-91a5-acb9505bebd9.jpg</t>
  </si>
  <si>
    <t>&lt;div class='jdgm-rev-widg' data-updated-at='2025-10-08T16:07:31Z' data-average-rating='0.00' data-number-of-reviews='0' data-number-of-questions='0' data-image-url='https://cdn.shopify.com/s/files/1/1394/5977/files/25.08.22-LIVIDAW25ECOM14211.jpg?v=1757588473'&gt;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</si>
  <si>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tuck-black-1</t>
  </si>
  <si>
    <t>Tuck Black</t>
  </si>
  <si>
    <t>Tuck, our lightweight merino turtleneck.</t>
  </si>
  <si>
    <t>Made in China 
From our All Seasons line comes our lightweight merino turtleneck Tuck. Made from a beautiful lightweight 100% extra fine merino wool, spun by the renowned European wool spinner Biella Yarn.
Tuck was developed to be the perfect basic turtleneck. Refined to be worn with tailoring, but durable enough to be worn every day. With a classic fit perfect for layering, and a luxurious soft handfeel. Featuring a roll-neck that keeps your entire neck warm without bunching. The super soft merino quality from Biella allows you to wear it directly on your skin without any itching, and the light weight makes it equally ideal as a baselayer or as a light jumper.
Details
- 100% extra fine merino wool
- Merino wool yarn spun in Europe by Biella Yarn
- Soft, elastic and super resistant.
- Knitted by Springair in China</t>
  </si>
  <si>
    <t>turtlenech-black.jpg</t>
  </si>
  <si>
    <t>&lt;div class='jdgm-rev-widg' data-updated-at='2025-10-08T16:07:47Z' data-average-rating='0.00' data-number-of-reviews='0' data-number-of-questions='0' data-image-url='https://cdn.shopify.com/s/files/1/1394/5977/files/25.08.22-LIVIDAW25ECOM14203.jpg?v=1757588601'&gt;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</si>
  <si>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Keri Japan Gravel</t>
  </si>
  <si>
    <t>keri-japan-black, keri-japan-dawn, keri-japan-sandbox, keri-wide-japan-marble</t>
  </si>
  <si>
    <t>Our wide straight Keri in a structured grey wash.</t>
  </si>
  <si>
    <t>25.10.15-LIVID_AW25-DAG517885.jpg, 25.10.15-LIVID_AW25-DAG517875.jpg, 25.10.15-LIVID_AW25-DAG517887.jpg, 25.10.15-LIVID_AW25-DAG517891.jpg, 25.10.15-LIVID_AW25-DAG517319.jpg, 25.10.15-LIVID_AW25-DAG517323.jpg</t>
  </si>
  <si>
    <t>25.10.15-LIVID_AW25-DAG618641.jpg, 25.10.15-LIVID_AW25-DAG618668.jpg, 25.10.15-LIVID_AW25-DAG618678.jpg, 25.10.15-LIVID_AW25-DAG618681.jpg, 25.10.15-LIVID_AW25-DAG617632.jpg, 25.10.15-LIVID_AW25-DAG617637.jpg, 25.10.15-LIVID_AW25-DAG617641_d4299bb2-e56e-4017-af0c-f46df17beb99.jpg, 25.10.15-LIVID_AW25-DAG617645_f31496b7-d509-4021-b6fa-917d867292d4.jpg</t>
  </si>
  <si>
    <t>Made in Portugal
Keri, our unisex wide-fit, made in a structured grey wash.
Made from a 13.8 Oz 100% cotton, dark grey wideloom denim woven by the artisanal Japanese denim mill, Collect. Washed down to a rough grey, showing off the wonderful texture of the denim.</t>
  </si>
  <si>
    <t>KERI_JAPAN_GRAVEL.jpg</t>
  </si>
  <si>
    <t>&lt;div class='jdgm-rev-widg' data-updated-at='2025-12-03T06:25:51Z' data-average-rating='5.00' data-number-of-reviews='2' data-number-of-questions='0' data-image-url='https://cdn.shopify.com/s/files/1/1394/5977/files/KERI_JAPAN_GRAVEL.jpg?v=1761305747'&gt; &lt;style class='jdgm-temp-hiding-style'&gt;.jdgm-rev-widg{ display: none }&lt;/style&gt; &lt;div class='jdgm-rev-widg__header'&gt; &lt;h2 class='jdgm-rev-widg__title'&gt;Customer Reviews&lt;/h2&gt;   &lt;div class='jdgm-rich-snippet' itemprop='aggregateRating' itemscope itemtype='http://schema.org/AggregateRating'&gt; &lt;meta itemprop='reviewCount' content='2'&gt; &lt;meta itemprop='ratingValue' content='5.00'&gt; &lt;/div&gt;   &lt;div class='jdgm-rev-widg__summary'&gt; &lt;div class='jdgm-rev-widg__summary-stars' aria-label='Average rating is 5.00 stars' role='img'&gt; &lt;span class='jdgm-star jdgm--on'&gt;&lt;/span&gt;&lt;span class='jdgm-star jdgm--on'&gt;&lt;/span&gt;&lt;span class='jdgm-star jdgm--on'&gt;&lt;/span&gt;&lt;span class='jdgm-star jdgm--on'&gt;&lt;/span&gt;&lt;span class='jdgm-star jdgm--on'&gt;&lt;/span&gt; &lt;/div&gt; &lt;div class='jdgm-rev-widg__summary-text'&gt;Based on 2 reviews&lt;/div&gt; &lt;/div&gt; &lt;a style='display: none' href='#' class='jdgm-write-rev-link' role='button'&gt;Write a review&lt;/a&gt; &lt;div class='jdgm-histogram jdgm-temp-hidden'&gt;  &lt;div class='jdgm-histogram__row' data-rating='5' data-frequency='2' data-percentage='100'&gt;  &lt;div class='jdgm-histogram__star' role='button' aria-label="100% (2)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100%;'&gt; &lt;/div&gt; &lt;/div&gt; &lt;div class='jdgm-histogram__percentage'&gt;100%&lt;/div&gt; &lt;div class='jdgm-histogram__frequency'&gt;(2)&lt;/div&gt;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 class='jdgm-rev jdgm-divider-top' data-verified-buyer='true' data-review-id='edaf0ed4-e64d-4dab-9afa-fb94f487a697' data-review-language='' data-product-title='Keri Japan Gravel' data-product-url='/products/keri-japan-gravel' data-thumb-up-count='0' data-thumb-down-count='0'&gt; &lt;div class='jdgm-rev__header'&gt;  &lt;div class='jdgm-rev__icon' &gt; M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data-content='2025-12-03 06:24:03 UTC'&gt;&lt;/span&gt;    &lt;div class='jdgm-rev__br'&gt;&lt;/div&gt; &lt;span class='jdgm-rev__buyer-badge-wrapper'&gt; &lt;span class='jdgm-rev__buyer-badge'&gt;&lt;/span&gt; &lt;/span&gt; &lt;span class='jdgm-rev__author-wrapper'&gt; &lt;span class='jdgm-rev__author'&gt;Michael Caracciolo&lt;/span&gt; &lt;span class='jdgm-rev__location' &gt;  &lt;/span&gt;  &lt;/span&gt; &lt;/div&gt; &lt;div class='jdgm-rev__content'&gt;  &lt;div class='jdgm-rev__custom-form'&gt;  &lt;/div&gt; &lt;b class='jdgm-rev__title'&gt;New favorite jeans&lt;/b&gt; &lt;div class='jdgm-rev__body'&gt;&lt;p&gt;The wash on these jeans is amazing, really beautiful texture.  A dream for denim fans.  The wide fit is great, sized down slightly as suggested in the description to wear them a bit higher and they are super flattering while still having enough inseam to drape over my shoes a bit. One of my biggest pet peeves (call it OCD) is wrinkled pant legs and the thickness of these is such that they seem almost impervious to creasing and also makes them fall in a really nice way!  On a side note, they also somehow shipped to me in the US from Norway in 2 days which is pretty impressive... can't recommend them enough&lt;/p&gt;&lt;/div&gt; &lt;div class='jdgm-rev__pics'&gt;  &lt;/div&gt; &lt;div class='jdgm-rev__vids'&gt;   &lt;/div&gt; &lt;div class='jdgm-rev__transparency-badge-wrapper'&gt;  &lt;/div&gt; &lt;/div&gt; &lt;div class='jdgm-rev__actions'&gt; &lt;div class='jdgm-rev__social'&gt;&lt;/div&gt; &lt;div class='jdgm-rev__votes'&gt;&lt;/div&gt; &lt;/div&gt; &lt;div class='jdgm-rev__reply'&gt;  &lt;/div&gt; &lt;/div&gt;&lt;div class='jdgm-rev jdgm-divider-top' data-verified-buyer='true' data-review-id='63dba6ca-ac83-45aa-ba3a-6ef03be4dcc4' data-review-language='' data-product-title='Keri Japan Gravel' data-product-url='/products/keri-japan-gravel' data-thumb-up-count='0' data-thumb-down-count='0'&gt; &lt;div class='jdgm-rev__header'&gt;  &lt;div class='jdgm-rev__icon' &gt; A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data-content='2025-11-26 19:47:17 UTC'&gt;&lt;/span&gt;    &lt;div class='jdgm-rev__br'&gt;&lt;/div&gt; &lt;span class='jdgm-rev__buyer-badge-wrapper'&gt; &lt;span class='jdgm-rev__buyer-badge'&gt;&lt;/span&gt; &lt;/span&gt; &lt;span class='jdgm-rev__author-wrapper'&gt; &lt;span class='jdgm-rev__author'&gt;Anonymous&lt;/span&gt; &lt;span class='jdgm-rev__location' &gt;  &lt;/span&gt;  &lt;/span&gt; &lt;/div&gt; &lt;div class='jdgm-rev__content'&gt;  &lt;div class='jdgm-rev__custom-form'&gt;  &lt;/div&gt; &lt;b class='jdgm-rev__title'&gt;Fits well and love the colour&lt;/b&gt; &lt;div class='jdgm-rev__body'&gt;&lt;p&gt;Fits well and love the colour.&lt;/p&gt;&lt;/div&gt; &lt;div class='jdgm-rev__pics'&gt;  &lt;/div&gt; &lt;div class='jdgm-rev__vids'&gt;   &lt;/div&gt; &lt;div class='jdgm-rev__transparency-badge-wrapper'&gt;  &lt;/div&gt; &lt;/div&gt; &lt;div class='jdgm-rev__actions'&gt; &lt;div class='jdgm-rev__social'&gt;&lt;/div&gt; &lt;div class='jdgm-rev__votes'&gt;&lt;/div&gt; &lt;/div&gt; &lt;div class='jdgm-rev__reply'&gt;  &lt;/div&gt; &lt;/div&gt;&lt;/div&gt; &lt;div class='jdgm-paginate' data-per-page='5' data-url='https://api.judge.me/reviews/reviews_for_widget' style="display: none;"&gt;&lt;/div&gt;  &lt;/div&gt; &lt;div class='jdgm-rev-widg__paginate-spinner-wrapper'&gt; &lt;div class='jdgm-spinner'&gt;&lt;/div&gt; &lt;/div&gt; &lt;/div&gt;</t>
  </si>
  <si>
    <t>Keri Japan Black</t>
  </si>
  <si>
    <t>keri-japan-dawn, keri-japan-sandbox, keri-japan-gravel</t>
  </si>
  <si>
    <t>Our unisex wide straight Keri in Black.</t>
  </si>
  <si>
    <t>25.10.15-LIVID_AW25-DAG517931.jpg, 25.10.15-LIVID_AW25-DAG517940.jpg, 25.10.15-LIVID_AW25-DAG517943.jpg, 25.10.15-LIVID_AW25-DAG517945.jpg, 25.10.15-LIVID_AW25-DAG517339.jpg, 25.10.15-LIVID_AW25-DAG517346.jpg, 25.10.15-LIVID_AW25-DAG517349.jpg</t>
  </si>
  <si>
    <t>25.10.15-LIVID_AW25-DAG618765.jpg, 25.10.15-LIVID_AW25-DAG618741.jpg, 25.10.15-LIVID_AW25-DAG618780.jpg, 25.10.15-LIVID_AW25-DAG618783.jpg, 25.10.15-LIVID_AW25-DAG617654.jpg, 25.10.15-LIVID_AW25-DAG617678.jpg, 25.10.15-LIVID_AW25-DAG617675.jpg</t>
  </si>
  <si>
    <t>Made in Portugal
Keri Japan Black. Made from a 13 Oz 100% cotton, black wideloom denim woven by the renowned Japanese fabric mill, Kuroki. 
Sulphur dyed for a black colour that stays black for a long time. While all black denim will lose colour eventually, this particular denim fades in contrast after wear, evolving a beautiful personal pattern. This is due a special technique called rope dye, whereas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Go to our fit guide to read more about the loose leg fit, Keri.</t>
  </si>
  <si>
    <t>KERI-JAPAN_BLACK.jpg</t>
  </si>
  <si>
    <t>&lt;div class='jdgm-rev-widg' data-updated-at='2025-05-31T00:57:09Z' data-average-rating='5.00' data-number-of-reviews='1' data-number-of-questions='0'&gt; &lt;style class='jdgm-temp-hiding-style'&gt;.jdgm-rev-widg{ display: none }&lt;/style&gt; &lt;div class='jdgm-rev-widg__header'&gt; &lt;h2 class='jdgm-rev-widg__title'&gt;Customer Reviews&lt;/h2&gt;   &lt;div class='jdgm-rich-snippet' itemprop='aggregateRating' itemscope itemtype='http://schema.org/AggregateRating'&gt; &lt;meta itemprop='reviewCount' content='1'&gt; &lt;meta itemprop='ratingValue' content='5.00'&gt; &lt;/div&gt;   &lt;div class='jdgm-rev-widg__summary'&gt; &lt;div class='jdgm-rev-widg__summary-stars' aria-label='Average rating is 5.00 stars' role='img'&gt; &lt;span class='jdgm-star jdgm--on'&gt;&lt;/span&gt;&lt;span class='jdgm-star jdgm--on'&gt;&lt;/span&gt;&lt;span class='jdgm-star jdgm--on'&gt;&lt;/span&gt;&lt;span class='jdgm-star jdgm--on'&gt;&lt;/span&gt;&lt;span class='jdgm-star jdgm--on'&gt;&lt;/span&gt; &lt;/div&gt; &lt;div class='jdgm-rev-widg__summary-text'&gt;Based on 1 review&lt;/div&gt; &lt;/div&gt; &lt;a style='display: none' href='#' class='jdgm-write-rev-link' role='button'&gt;Write a review&lt;/a&gt; &lt;div class='jdgm-histogram jdgm-temp-hidden'&gt;  &lt;div class='jdgm-histogram__row' data-rating='5' data-frequency='1' data-percentage='100'&gt;  &lt;div class='jdgm-histogram__star' role='button' aria-label="100% (1)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100%;'&gt; &lt;/div&gt; &lt;/div&gt; &lt;div class='jdgm-histogram__percentage'&gt;100%&lt;/div&gt; &lt;div class='jdgm-histogram__frequency'&gt;(1)&lt;/div&gt;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 class='jdgm-rev jdgm-divider-top' data-verified-buyer='true' data-review-id='0ee2e720-ea10-4e54-85d3-f9aae4ea153e' data-review-language='' data-product-title='Keri Japan Black' data-product-url='/products/keri-japan-black' data-thumb-up-count='0' data-thumb-down-count='0'&gt; &lt;div class='jdgm-rev__header'&gt;  &lt;div class='jdgm-rev__icon' &gt; M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data-content='2025-05-31 00:55:46 UTC'&gt;&lt;/span&gt;    &lt;div class='jdgm-rev__br'&gt;&lt;/div&gt; &lt;span class='jdgm-rev__buyer-badge-wrapper'&gt; &lt;span class='jdgm-rev__buyer-badge'&gt;&lt;/span&gt; &lt;/span&gt; &lt;span class='jdgm-rev__author-wrapper'&gt; &lt;span class='jdgm-rev__author'&gt;Miles Beal-Ampah&lt;/span&gt; &lt;span class='jdgm-rev__location' &gt;  &lt;/span&gt;  &lt;/span&gt; &lt;/div&gt; &lt;div class='jdgm-rev__content'&gt;  &lt;div class='jdgm-rev__custom-form'&gt;  &lt;/div&gt; &lt;b class='jdgm-rev__title'&gt;Favorite Jeans&lt;/b&gt; &lt;div class='jdgm-rev__body'&gt;&lt;p&gt;I’m 6’4” 230lbs and have always had a problem finding wide fit jeans that also have the proper length. I watched a video by Drew Joiner reviewing jeans and saw the proportions on him. He and I are the same height and I knew they would fit when I saw the fit on him. Love that I can actually wear these pants at my proper waist line and still have the proper fall over my shoes.&lt;/p&gt;&lt;/div&gt; &lt;div class='jdgm-rev__pics'&gt;  &lt;/div&gt; &lt;div class='jdgm-rev__vids'&gt;   &lt;/div&gt; &lt;div class='jdgm-rev__transparency-badge-wrapper'&gt;  &lt;/div&gt; &lt;/div&gt; &lt;div class='jdgm-rev__actions'&gt; &lt;div class='jdgm-rev__social'&gt;&lt;/div&gt; &lt;div class='jdgm-rev__votes'&gt;&lt;/div&gt; &lt;/div&gt; &lt;div class='jdgm-rev__reply'&gt;  &lt;/div&gt; &lt;/div&gt;&lt;/div&gt; &lt;div class='jdgm-paginate' data-per-page='5' data-url='https://api.judge.me/reviews/reviews_for_widget' style="display: none;"&gt;&lt;/div&gt;  &lt;/div&gt; &lt;div class='jdgm-rev-widg__paginate-spinner-wrapper'&gt; &lt;div class='jdgm-spinner'&gt;&lt;/div&gt; &lt;/div&gt; &lt;/div&gt;</t>
  </si>
  <si>
    <t>alesis-black</t>
  </si>
  <si>
    <t>Alesis Black</t>
  </si>
  <si>
    <t>Alesis Black - Cashmere jacket</t>
  </si>
  <si>
    <t>keri-japan-black, tuck-black-1, adonis-lis-noir</t>
  </si>
  <si>
    <t>Alesis, our cashmere blend jacket.</t>
  </si>
  <si>
    <t>Made in China
Made in a gloriously soft cashmere blend doubleface cloth that's both lightweight and warming. Finished with elegant low profile seams, possible due to the fine splittable doubleface wool weave.
The Alesis jacket is designed with slightly dropped shoulders, straight sleeves and a relaxed, boxy body. Its shorter length ending precicely at the hip. Finished with a silver two-way zipper and handwarmer pocktes at the waist.</t>
  </si>
  <si>
    <t>alesis-fitguide</t>
  </si>
  <si>
    <t>4baa91ec-5d71-4483-a5e0-96aee2fe8c45_b3beca65-148d-4f22-80be-a56fda19f5b8.jpg</t>
  </si>
  <si>
    <t>- 90% wool, 10% cashmere 
- Doubleface splittable fabric woven by Taian Fanzhen, China
- YKK two-way sillver zip
- Handwarmer pockets at the waist
- Manufactured by Forever Intl, China</t>
  </si>
  <si>
    <t>&lt;div class='jdgm-rev-widg' data-updated-at='2025-10-28T13:48:54Z' data-average-rating='0.00' data-number-of-reviews='0' data-number-of-questions='0' data-image-url='https://cdn.shopify.com/s/files/1/1394/5977/files/25.10.15-LIVIDAW25-DAG517991.jpg?v=1761229557'&gt;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</si>
  <si>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Boden White Rib</t>
  </si>
  <si>
    <t>Boden White Rib - Longsleeve</t>
  </si>
  <si>
    <t>boden-washout-blue, boden-velour-stripe</t>
  </si>
  <si>
    <t>Our relaxed longsleeve Boden, made in a heavy rib jersey.</t>
  </si>
  <si>
    <t>Made in Portugal
Boden. Featuring dropped shoulders, a big relaxed silhouette and wide and elongated sleeves.
Made in a heavyweight rib cotton jersey, creating a strong drape.
Details &amp; Features
- 100% cotton
- Pre-shrunk jersey, knitted by Etevimol in Portugal
- Sewn with durable poly core cotton thread
- Made at Texgoios in Portugal</t>
  </si>
  <si>
    <t>0a9b716c-36b7-47b9-8dd2-d85121257ce3_db4d968d-da65-493f-b4c4-753458d7b155.jpg</t>
  </si>
  <si>
    <t>elmer-shadow-rib, hayes-navy, code-black, barth-lisse-america, 901-edp</t>
  </si>
  <si>
    <t>Fealy Japan Optic White</t>
  </si>
  <si>
    <t>Fealy Japan Optic White - White Jeans</t>
  </si>
  <si>
    <t>fealy-low-bisect-japan-broken, fealy-dark-brown-corduroy</t>
  </si>
  <si>
    <t>needle-black</t>
  </si>
  <si>
    <t>Fealy, our loose fit, in a crisp white denim.</t>
  </si>
  <si>
    <t>Made in Portugal
Introducing Fealy. The Fealy sits high and fitted at the waist and hip, similar to our Barnes fit, but slightly wider through the leg. Giving a loose, but not baggy, silhouette, with a dialed in fit.
Made from a 13.8 Oz 100% cotton, crisp white wideloom denim woven by the renowned Japanese denim mill, Collect. A sharp white denim with a solid handfeel.
Details &amp; Features:
- 13,8 Oz wideloom denim from Collect, Japan
- 100% Sanforized cotton
- 8 Oz ecru canvas pocketing
- White leather patch w/ wax treatment, Made in Italy.
- YKK two-prongtack, silver button fly
- YKK solid copper washed-burr rivets
- Stitched with durable poly core cotton thread
- Made at Lisama, Portugal</t>
  </si>
  <si>
    <t>fealy-5-pocket-fitguide</t>
  </si>
  <si>
    <t>ebac53f7-a5ae-4fff-85ac-7d9c953300a3_ea4ef7e7-47b6-43b9-95a4-0b49313a7fcb.jpg</t>
  </si>
  <si>
    <t>hilal-charcoal-melange, boden-white-rib, keller-reverse-washout-blue, chimey-lisse-noir, 802-eau-de-parfum</t>
  </si>
  <si>
    <t>hilal-white</t>
  </si>
  <si>
    <t>Hilal White</t>
  </si>
  <si>
    <t>Hilal White - Sweatshirt</t>
  </si>
  <si>
    <t>hilal-charcoal-melange</t>
  </si>
  <si>
    <t>Hilal, our raw-cut midweight sweatshirt.</t>
  </si>
  <si>
    <t>Made in Portugal 
Hilal, our mid-weight sweatshirt with dropped shoulders and a loose body. Finished with ribbed cuffs at the sleeves, and a rough, raw-cut hem. 
Made in an old-school loopback jersey in a classic midweight, knitted in Portugal. 
Details &amp; Features
- 100% cotton, pre-shrunk loopback jersey
- Livid embroidery on chest
- Fine rib collar
- Sewn with durable poly core cotton thread
- Jersey fabric knitted by Etivimol in Portugal
- Made at Texgoios in Portugal</t>
  </si>
  <si>
    <t>hilal-fitguide</t>
  </si>
  <si>
    <t>5bfc7058-ab89-4929-96bd-e0f72e946494_946c3c38-846d-4b66-8f53-1262d40c0993.jpg</t>
  </si>
  <si>
    <t>nelson-black, star-master-white, moore-shadow, 10-3-black, kai-japan-black</t>
  </si>
  <si>
    <t>hines-black</t>
  </si>
  <si>
    <t>Hines Black</t>
  </si>
  <si>
    <t>Hines Black - Sweatshirt</t>
  </si>
  <si>
    <t>fealy-dark-brown-corduroy</t>
  </si>
  <si>
    <t>Hines, our box-fit quarter-zip sweatshirt</t>
  </si>
  <si>
    <t>Made in Portugal 
Hines, our quarter-zip sweatshirt. Designed with a boxy fit, Hines is built with dropped shoulders, a relaxed body and a straight hem. Silver quarter-zip and a stand-up collar. Finished with a square chest pocket and contrast stitching at the shoulders, cuffs and hem. 
Made in an old-school loopback jersey in a classic midweight, knitted in Portugal. 
Details &amp; Features
- 100% cotton, pre-shrunk loopback jersey
- Chest pocket
- YKK silver zipper
- Sewn with durable poly core cotton thread
- Jersey fabric knitted by Etivimol in Portugal
- Made at Texgoios in Portugal</t>
  </si>
  <si>
    <t>hines-fitguide</t>
  </si>
  <si>
    <t>bbafde8e-cbe1-49f3-9ac7-31f6fb3662bf_3e91c7ef-dc81-4ef9-9599-073ff08b506f.jpg</t>
  </si>
  <si>
    <t xml:space="preserve">Model is 189cm and wears a size medium. </t>
  </si>
  <si>
    <t>fealy-low-bisect-japan-broken, adonis-lis-noir, les-dawn, dunn-dawn, keller-moonstripe</t>
  </si>
  <si>
    <t>huff-japan-milk-sakura</t>
  </si>
  <si>
    <t>Huff Japan Milk Sakura</t>
  </si>
  <si>
    <t>Huff Japan Milk Sakura - Shirt</t>
  </si>
  <si>
    <t>huff-japan-black-sakura, huff-mud-silk, huff-white-silk</t>
  </si>
  <si>
    <t>Our relaxed-fit shirt Huff, in a printed cotton voille.</t>
  </si>
  <si>
    <t>Made in Romania
Our relaxed fit shirt Huff. Made with a 100% cotton voile woven by Hokkoh in Japan, an incredibly lightweight, soft, and slightly sheer fabric. Creating a sharp looking and comfortable shirt with a fluid drape.
The Huff shirt gives a clean, but relaxed look. Designed with a generous straight cut, a longer, curved back hem and intended for normal layering. Featuring a clean collar, overlocked and dropped shoulders, a centre front closure with mother of pearl buttons, and long sleeves ending in button cuffs.
Details
- 100% cotton
- Cotton voille fabric woven by Hokkoh in Japan
- Mother of pearl buttons
- Sewn with durable poly core cotton threads
- Cut &amp; sewn by Condra in Romania</t>
  </si>
  <si>
    <t>huff-fitguide</t>
  </si>
  <si>
    <t>50f0fbe7-9b55-42b7-8bf7-03f6e06751b2_45502fea-67e2-4b2a-a63d-23a8c9b7c657.jpg</t>
  </si>
  <si>
    <t>elmer-milk-rib, hilal-charcoal-melange, elmer-shadow-rib, villandry-lisse-noir, pennant-ash-wax</t>
  </si>
  <si>
    <t>huff-white-silk</t>
  </si>
  <si>
    <t>Huff White Silk</t>
  </si>
  <si>
    <t>Huff White Silk - Shirt</t>
  </si>
  <si>
    <t>huff-japan-black-sakura, huff-japan-milk-sakura, huff-mud-silk</t>
  </si>
  <si>
    <t>Our relaxed-fit shirt Huff, in a light fine silk.</t>
  </si>
  <si>
    <t>Made in China
Our relaxed fit shirt Huff. Made with a lightweight 100% fine silk fabric, lending it a gentle sheen, fluid drape and smooth comfort against the skin.
The Huff shirt gives a clean, but relaxed look. Designed with a generous straight cut, a longer, curved back hem and intended for normal layering. Featuring a clean collar, overlocked and dropped shoulders, a centre front closure with mother of pearl buttons, and long sleeves ending in button cuffs.</t>
  </si>
  <si>
    <t>a16bfccc-9f62-4a61-af73-3bc6a91c66e4_bacc8842-94d7-4d6a-96d6-2f53de2c6768.jpg</t>
  </si>
  <si>
    <t>&lt;div class='jdgm-rev-widg' data-updated-at='2025-10-28T13:46:26Z' data-average-rating='5.00' data-number-of-reviews='1' data-number-of-questions='0' data-image-url='https://cdn.shopify.com/s/files/1/1394/5977/files/25.10.15-LIVIDAW25-DAG517983.jpg?v=1761229701'&gt; &lt;style class='jdgm-temp-hiding-style'&gt;.jdgm-rev-widg{ display: none }&lt;/style&gt; &lt;div class='jdgm-rev-widg__header'&gt; &lt;h2 class='jdgm-rev-widg__title'&gt;Customer Reviews&lt;/h2&gt;   &lt;div class='jdgm-rich-snippet' itemprop='aggregateRating' itemscope itemtype='http://schema.org/AggregateRating'&gt; &lt;meta itemprop='reviewCount' content='1'&gt; &lt;meta itemprop='ratingValue' content='5.00'&gt; &lt;/div&gt;   &lt;div class='jdgm-rev-widg__summary'&gt; &lt;div class='jdgm-rev-widg__summary-stars' aria-label='Average rating is 5.00 stars' role='img'&gt; &lt;span class='jdgm-star jdgm--on'&gt;&lt;/span&gt;&lt;span class='jdgm-star jdgm--on'&gt;&lt;/span&gt;&lt;span class='jdgm-star jdgm--on'&gt;&lt;/span&gt;&lt;span class='jdgm-star jdgm--on'&gt;&lt;/span&gt;&lt;span class='jdgm-star jdgm--on'&gt;&lt;/span&gt; &lt;/div&gt; &lt;div class='jdgm-rev-widg__summary-text'&gt;Based on 1 review&lt;/div&gt; &lt;/div&gt; &lt;a style='display: none' href='#' class='jdgm-write-rev-link' role='button'&gt;Write a review&lt;/a&gt; &lt;div class='jdgm-histogram jdgm-temp-hidden'&gt;  &lt;div class='jdgm-histogram__row' data-rating='5' data-frequency='1' data-percentage='100'&gt;  &lt;div class='jdgm-histogram__star' role='button' aria-label="100% (1)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100%;'&gt; &lt;/div&gt; &lt;/div&gt; &lt;div class='jdgm-histogram__percentage'&gt;100%&lt;/div&gt; &lt;div class='jdgm-histogram__frequency'&gt;(1)&lt;/div&gt;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 class='jdgm-rev jdgm-divider-top' data-verified-buyer='true' data-review-id='0448249c-f736-475d-a62e-38e684b357b2' data-review-language='' data-product-title='Huff White Silk' data-product-url='/products/huff-white-silk' data-thumb-up-count='0' data-thumb-down-count='0'&gt; &lt;div class='jdgm-rev__header'&gt;  &lt;div class='jdgm-rev__icon' &gt; F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data-content='2025-07-14 17:31:40 UTC'&gt;&lt;/span&gt;    &lt;div class='jdgm-rev__br'&gt;&lt;/div&gt; &lt;span class='jdgm-rev__buyer-badge-wrapper'&gt; &lt;span class='jdgm-rev__buyer-badge'&gt;&lt;/span&gt; &lt;/span&gt; &lt;span class='jdgm-rev__author-wrapper'&gt; &lt;span class='jdgm-rev__author'&gt;Florian&lt;/span&gt; &lt;span class='jdgm-rev__location' &gt;  &lt;/span&gt;  &lt;/span&gt; &lt;/div&gt; &lt;div class='jdgm-rev__content'&gt;  &lt;div class='jdgm-rev__custom-form'&gt;  &lt;/div&gt; &lt;b class='jdgm-rev__title'&gt;Perfect cut and very nice&lt;/b&gt; &lt;div class='jdgm-rev__body'&gt;&lt;p&gt;Perfect cut and very nice fabric&lt;/p&gt;&lt;/div&gt; &lt;div class='jdgm-rev__pics'&gt;  &lt;/div&gt; &lt;div class='jdgm-rev__vids'&gt;   &lt;/div&gt; &lt;div class='jdgm-rev__transparency-badge-wrapper'&gt;  &lt;/div&gt; &lt;/div&gt; &lt;div class='jdgm-rev__actions'&gt; &lt;div class='jdgm-rev__social'&gt;&lt;/div&gt; &lt;div class='jdgm-rev__votes'&gt;&lt;/div&gt; &lt;/div&gt; &lt;div class='jdgm-rev__reply'&gt;  &lt;/div&gt; &lt;/div&gt;&lt;/div&gt; &lt;div class='jdgm-paginate' data-per-page='5' data-url='https://api.judge.me/reviews/reviews_for_widget' style="display: none;"&gt;&lt;/div&gt;  &lt;/div&gt; &lt;div class='jdgm-rev-widg__paginate-spinner-wrapper'&gt; &lt;div class='jdgm-spinner'&gt;&lt;/div&gt; &lt;/div&gt; &lt;/div&gt;</t>
  </si>
  <si>
    <t>hume-black-mole</t>
  </si>
  <si>
    <t>Hume Black Mole</t>
  </si>
  <si>
    <t>Hume Black Mole - Leather Jacket</t>
  </si>
  <si>
    <t>Hume, our clean leather jacket in a deep brown, supple leather.</t>
  </si>
  <si>
    <t>25.10.07-LIVID_AW25-DAG3_00435.jpg, 25.10.07-LIVID_AW25-DAG3_00442.jpg, 25.10.07-LIVID_AW25-DAG3_00448.jpg, 25.10.07-LIVID_AW25-DAG3_00461.jpg, 25.10.07-LIVID_AW25-DAG3_00467.jpg, 25.10.07-LIVID_AW25-DAG3_00428.jpg, 25.10.07-LIVID_AW25-DAG3_00471.jpg, 25.10.07-LIVID_AW25-DAG3_00475.jpg</t>
  </si>
  <si>
    <t>25.10.07-LIVID_AW25-DAG4_00121.jpg, 25.10.07-LIVID_AW25-DAG4_00131.jpg, 25.10.07-LIVID_AW25-DAG4_00124.jpg, 25.10.07-LIVID_AW25-DAG4_00136.jpg, 25.10.07-LIVID_AW25-DAG4_00141.jpg, 25.10.07-LIVID_AW25-DAG4_00142.jpg, 25.10.07-LIVID_AW25-DAG4_00147.jpg, 25.10.07-LIVID_AW25-DAG4_00151.jpg, 25.10.07-LIVID_AW25-DAG4_00158.jpg, 25.10.07-LIVID_AW25-DAG4_00162.jpg</t>
  </si>
  <si>
    <t>Made in Portugal
Hume features a wide collar, a boxy fit with extended slightly droppe shoulders, a relaxed and short body, and a straight cut hem. Hand warmer pockets at the waist. Finished with a heavy two-way silver zipper, and zippered adjusters at the cuffs. 
Made in a solid and supple deep molé brown leather. This particular leather is tan coloured, with a surface dye of dark, almost black, molé brown. This dye method creates a dark brown leather, which will contrast wonderfully over time with wear.
Hume is produced by our longtime partner Octa in Portugal. A small leather workshop with only four employees cutting and sewing the garments.</t>
  </si>
  <si>
    <t>hume-fitguide</t>
  </si>
  <si>
    <t>25.10.07-LIVID_AW25-DAG3_00412.jpg</t>
  </si>
  <si>
    <t>beth-japan-gravel, keen-oak-fine-silk, hilda-charcoal</t>
  </si>
  <si>
    <t>daphne-black, keri-japan-black</t>
  </si>
  <si>
    <t>Male model is 186cm tall and wearing a size medium, 
Female model is 174cm tall and wearing a size small</t>
  </si>
  <si>
    <t>- Deep brown cow leather, tanned in Portugal
- Full-length 2-way zipper, made by YKK in Portugal
- Hand-warmer pockets at hip
- Produced by Octa, Portugal</t>
  </si>
  <si>
    <t>&lt;div class='jdgm-rev-widg' data-updated-at='2025-10-17T15:33:41Z' data-average-rating='0.00' data-number-of-reviews='0' data-number-of-questions='0' data-image-url='https://cdn.shopify.com/s/files/1/1394/5977/files/f078c26c-c41d-47ed-a96b-14237f7ed126.jpg?v=1739906077'&gt;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</si>
  <si>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kai-japan-new-blue</t>
  </si>
  <si>
    <t>Kai Japan New Blue</t>
  </si>
  <si>
    <t>Kai Japan New Blue - Jeans</t>
  </si>
  <si>
    <t>kai-japan-black, kai-japan-shadow, kai-japan-dawn</t>
  </si>
  <si>
    <t>Kai, our relaxed tapered fit. In our worn-in blue wash, Japan New Blue.</t>
  </si>
  <si>
    <t>Made in Portugal
Kai. High rised, fitting precicely and narrow in the waist, and curved into the lower back. Fans of our Barnes wide will appreciate the spacious thigh, before it taperes down to a slimmer leg opening. 
The result is a fit that meets the needs of many. On slimmer and average legs, Kai fits precicely in the waist, with a relaxed tapered fit, but Kai is also perfect for the athletic build that needs more room in the thigh and seat with a high and narrow waistband. On the latter body type, Kai will follow the leg naturally from the waist all the down.
In our worn-in blue wash, Japan New Blue. Made in a solid 13 Oz 100% cotton denim from the renowned Japanese denim mill Kuroki. Soft to the touch, the New Blue reveals an incredible depth of colour and wonderful texture, due to the long-fibred indigo rope-dyed yarns of the fabric. Washed with subtle whiskering an fadings to give that perfect light mid-blue worn-in look. A definite essential.</t>
  </si>
  <si>
    <t>KAI-JAPANNEWBLUE.jpg</t>
  </si>
  <si>
    <t>- Light blue washed rope-dyed indigo denim
- 13 Oz wideloom denim from Kuroki, Japan
- 100% Sanforized cotton
- Warp dyed in indigo, natural coloured weft
- 8 Oz ecru canvas pocketing
- Tanned leather patch w/ wax treatment, Made in Italy.
- YKK two-prong silver button fly
- YKK solid copper rivets
- Stitched with durable poly core cotton thread
- Made at Lisama, Portugal</t>
  </si>
  <si>
    <t>&lt;div class='jdgm-rev-widg' data-updated-at='2025-05-13T13:45:11Z' data-average-rating='0.00' data-number-of-reviews='0' data-number-of-questions='0'&gt;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</si>
  <si>
    <t>keen-raw-black-noil-silk</t>
  </si>
  <si>
    <t>Keen Black Noil Silk</t>
  </si>
  <si>
    <t>Keen Raw Black Noil Silk - Shirt</t>
  </si>
  <si>
    <t>keen-stone-noil-silk, keen-navy-loose, keen-green-loose, keen-raw-brown-stripe-pop, keen-raw-blue-check-pop</t>
  </si>
  <si>
    <t>Our box-fit shirt Keen, in a textured noil silk.</t>
  </si>
  <si>
    <t>Made in China
Our box-fit shirt, Keen. Made in a beautiful and soft pure noil silk fabric which combines an organic texture with elegant drape and movement.
Noil silk is produced with the shorter silk fibres that are left over from production of other silk fabrics. Spun together these differing fibre lengths give the silk yarn a rougher texture, and a matte finish compared to the sheen from continuous silk fibres. Stronger than cotton, noil silk features a heavy fluid drape and has excellent temperature regulating properties, breathing and keeping you cool and dry in hot weather and warm in cold climates.
Designed with a generous straight cut and intended for normal layering. Featuring a box pleat at the back yoke, and a french placket with natural Mother of Pearl buttons.</t>
  </si>
  <si>
    <t>richmond-2-pack-white, elmer-shadow-rib, hayes-suitpant-taupe, gat-white-transparent, boden-white-rib</t>
  </si>
  <si>
    <t>Details
- 100% noil silk
- Spun and woven by Jianxin Silk in China
- Real mother of pearl buttons made by Louropel in Italy
- Stitched with high quality poly core cotton thread
- Made at Yinmao in China
- Garment dyed</t>
  </si>
  <si>
    <t>keen-stone-noil-silk</t>
  </si>
  <si>
    <t>Keen Stone Noil Silk</t>
  </si>
  <si>
    <t>Keen Stone Noil Silk - Shirt</t>
  </si>
  <si>
    <t>keen-black-fine-silk, keen-grisalle-fine-silk, keen-oak-fine-silk</t>
  </si>
  <si>
    <t>keller-reverse-shadow-washout</t>
  </si>
  <si>
    <t>Keller Reverse Shadow Washout</t>
  </si>
  <si>
    <t>Keller Reverse Shadow Washout - T-Shirt</t>
  </si>
  <si>
    <t>keller-reverse-washout-blue, keller-moonstripe</t>
  </si>
  <si>
    <t>Our box-fit tee Keller in a seasonal cold pigment overdye.</t>
  </si>
  <si>
    <t>Made in Portugal
This colourway is cold pigment doubledye, a special dying technique resulting in an uneven weathered look, where every shirt is unique.
Keller features a wider, shorter body for a loose box-fit, but sits more dailed in at the shoulders and upper chest compared to an ovesized tee. Made in our signature 6.5 Oz heavyweight 100% cotton jersey exclusively made for Livid in Portugal.
Details &amp; Features
- 100% cotton
- 220 gsm pre-shrunk jersey, knitted by Etevimol in Portugal
- Livid embroidery at chest
- Fine rib collar
- Sewn with durable poly core cotton thread
- Made at Texgoios in Portugal</t>
  </si>
  <si>
    <t>keller-fitguide</t>
  </si>
  <si>
    <t>keller-reverse-washout-blue</t>
  </si>
  <si>
    <t>Keller Reverse Washout Blue</t>
  </si>
  <si>
    <t>Keller Reverse Washout Blue - T-Shirt</t>
  </si>
  <si>
    <t>keller-reverse-shadow-washout, keller-moonstripe</t>
  </si>
  <si>
    <t>296b6542-44a1-4655-afd8-b5101d502502_a878d159-77f9-4060-b3a2-dcfab617713c.jpg</t>
  </si>
  <si>
    <t>moe-paper-yarn-black, hayes-navy, code-dark-red, keen-navy-loose, barth-velours-fauve, aiden-french-blue-ox</t>
  </si>
  <si>
    <t>moe-paper-yarn-black</t>
  </si>
  <si>
    <t>Moe Paper Yarn Black</t>
  </si>
  <si>
    <t>Moe Paper Yarn Black - Knitted sweater</t>
  </si>
  <si>
    <t>moe-paper-yarn-rose</t>
  </si>
  <si>
    <t>Moe, our knitted paper yarn top.</t>
  </si>
  <si>
    <t>25.02.18-Livid_SS25_Dag211681_1988d6ce-e784-476b-a4a4-1a1c5a509277.jpg, 25.02.18-Livid_SS25_Dag27603.jpg, 25.02.18-Livid_SS25_Dag27613.jpg, 25.02.18-Livid_SS25_Dag27617.jpg, 25.02.18-Livid_SS25_Dag27620.jpg, 25.02.18-Livid_SS25_Dag27629.jpg, 25.02.18-Livid_SS25_Dag27639.jpg, 25.02.18-Livid_SS25_Dag27645.jpg</t>
  </si>
  <si>
    <t>V2-25.03.19-Livid_SS25_ECOM-00355.jpg, V2-25.03.19-Livid_SS25_ECOM-00392.jpg, V2-25.03.19-Livid_SS25_ECOM-00405.jpg, V2-25.03.19-Livid_SS25_ECOM-00408.jpg, V2-25.03.19-Livid_SS25_ECOM-00411.jpg, V2-25.03.19-Livid_SS25_ECOM-00419.jpg, V2-25.03.19-Livid_SS25_ECOM-00421.jpg, V2-25.03.19-Livid_SS25_ECOM-00442.jpg</t>
  </si>
  <si>
    <t>care-paperyarn</t>
  </si>
  <si>
    <t>Made in China
Moe, our paper yarn sweater. Knitted in an open and textured rib with a sheer quality. Designed with an open neckline, dropped shoulders, a loose body and wide and long sleeves. 
Knitted in a paper, or washi blend yarn that gives the garment a heavy drape, and a distinct tactile handfeel that is cool on the skin, with excellent moisture wicking properties. A statement, yet versatile knit for spring and summer, to be worn layered, or straight on the skin. 
Details
- 35% cotton, 33% paper, 27% viscose, 6% linen
- Paper yarn spun by Topline
- Cool, light and breathable 
- Knitted by Springair in China</t>
  </si>
  <si>
    <t>moe-fitguide</t>
  </si>
  <si>
    <t>25.02.18-Livid_SS25_Dag27603.jpg</t>
  </si>
  <si>
    <t>Male model is 189cm tall and wearing a size medium
Female model is 176 tall and wearing a size small</t>
  </si>
  <si>
    <t>dune-japan-new-blue, keri-surf-japan-gravel, fealy-5-pocket-japan-optic-white, faye-japan-shadow, toucan-white, hyde-tee-black</t>
  </si>
  <si>
    <t>Moe Paper Yarn Rose</t>
  </si>
  <si>
    <t>Moe Paper Yarn Rose - Knitted sweater</t>
  </si>
  <si>
    <t>V2-25.03.20-Livid_SS25_ECOM_00015.jpg, V2-25.03.20-Livid_SS25_ECOM_00040.jpg, V2-25.03.20-Livid_SS25_ECOM_00138.jpg, V2-25.03.20-Livid_SS25_ECOM_00147.jpg, V2-25.03.20-Livid_SS25_ECOM_00162.jpg, V2-25.03.20-Livid_SS25_ECOM_00173.jpg, V2-25.03.20-Livid_SS25_ECOM_00184.jpg, V2-25.03.20-Livid_SS25_ECOM_00188.jpg</t>
  </si>
  <si>
    <t>V2-25.03.19-Livid_SS25_ECOM-00443_6e67e6ec-c17c-4356-bb85-c91dbe5cd664.jpg, V2-25.03.19-Livid_SS25_ECOM-00460_a5676bd8-44c6-4b4b-afe8-683ad2c45a6c.jpg, V2-25.03.19-Livid_SS25_ECOM-00480_82f0917e-e806-4a11-bc1b-e9520360bce0.jpg, V2-25.03.19-Livid_SS25_ECOM-00487_6157ded2-29ea-483c-85e9-f6312ddff785.jpg, V2-25.03.19-Livid_SS25_ECOM-00490_d50ee330-2304-4270-a288-6da92cc9ee3b.jpg, V2-25.03.19-Livid_SS25_ECOM-00492_506ce2c5-c47e-450b-9ec7-c579891224c0.jpg, V2-25.03.19-Livid_SS25_ECOM-00503_6d0a1030-9255-4ace-bb70-f5ae78663539.jpg, V2-25.03.19-Livid_SS25_ECOM-00511_45571a3c-9d17-4640-9a6b-f48e2b248e11.jpg, V2-25.03.19-Livid_SS25_ECOM-00513_c641b784-a285-4216-a3bf-0190ef3d31ac.jpg</t>
  </si>
  <si>
    <t>V2-25.03.20-Livid_SS25_ECOM_00040.jpg</t>
  </si>
  <si>
    <t>Mens model is 189cm tall and wearing a size medium
Womens model is 176cm tall and wearing a size small</t>
  </si>
  <si>
    <t>10-3-indigo, dal-white, pennant-ash-wax, gat-white-transparent, keri-japan-black, fealy-low-bisect-japan-broken</t>
  </si>
  <si>
    <t>&lt;div class='jdgm-rev-widg' data-updated-at='2025-07-18T20:13:34Z' data-average-rating='3.00' data-number-of-reviews='1' data-number-of-questions='0' data-image-url='https://cdn.shopify.com/s/files/1/1394/5977/files/V2-25.03.20-Livid_SS25_ECOM_00040.jpg?v=1743493250'&gt; &lt;style class='jdgm-temp-hiding-style'&gt;.jdgm-rev-widg{ display: none }&lt;/style&gt; &lt;div class='jdgm-rev-widg__header'&gt; &lt;h2 class='jdgm-rev-widg__title'&gt;Customer Reviews&lt;/h2&gt;   &lt;div class='jdgm-rich-snippet' itemprop='aggregateRating' itemscope itemtype='http://schema.org/AggregateRating'&gt; &lt;meta itemprop='reviewCount' content='1'&gt; &lt;meta itemprop='ratingValue' content='3.00'&gt; &lt;/div&gt;   &lt;div class='jdgm-rev-widg__summary'&gt; &lt;div class='jdgm-rev-widg__summary-stars' aria-label='Average rating is 3.00 stars' role='img'&gt; &lt;span class='jdgm-star jdgm--on'&gt;&lt;/span&gt;&lt;span class='jdgm-star jdgm--on'&gt;&lt;/span&gt;&lt;span class='jdgm-star jdgm--on'&gt;&lt;/span&gt;&lt;span class='jdgm-star jdgm--off'&gt;&lt;/span&gt;&lt;span class='jdgm-star jdgm--off'&gt;&lt;/span&gt; &lt;/div&gt; &lt;div class='jdgm-rev-widg__summary-text'&gt;Based on 1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data-frequency='1' data-percentage='100'&gt;  &lt;div class='jdgm-histogram__star' role='button' aria-label="100% (1)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100%;'&gt; &lt;/div&gt; &lt;/div&gt; &lt;div class='jdgm-histogram__percentage'&gt;100%&lt;/div&gt; &lt;div class='jdgm-histogram__frequency'&gt;(1)&lt;/div&gt;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 class='jdgm-rev jdgm-divider-top' data-verified-buyer='true' data-review-id='9014273d-790d-45b9-878f-c3601a392f5d' data-review-language='' data-product-title='Moe Paper Yarn Rose' data-product-url='/products/moe-paper-yarn-rose' data-thumb-up-count='0' data-thumb-down-count='0'&gt; &lt;div class='jdgm-rev__header'&gt;  &lt;div class='jdgm-rev__icon' &gt; A &lt;/div&gt;  &lt;span class='jdgm-rev__rating' data-score='3' tabindex='0' aria-label='3 star review' role='img'&gt; &lt;span class='jdgm-star jdgm--on'&gt;&lt;/span&gt;&lt;span class='jdgm-star jdgm--on'&gt;&lt;/span&gt;&lt;span class='jdgm-star jdgm--on'&gt;&lt;/span&gt;&lt;span class='jdgm-star jdgm--off'&gt;&lt;/span&gt;&lt;span class='jdgm-star jdgm--off'&gt;&lt;/span&gt; &lt;/span&gt; &lt;span class='jdgm-rev__timestamp jdgm-spinner' data-content='2025-07-18 20:12:17 UTC'&gt;&lt;/span&gt;    &lt;div class='jdgm-rev__br'&gt;&lt;/div&gt; &lt;span class='jdgm-rev__buyer-badge-wrapper'&gt; &lt;span class='jdgm-rev__buyer-badge'&gt;&lt;/span&gt; &lt;/span&gt; &lt;span class='jdgm-rev__author-wrapper'&gt; &lt;span class='jdgm-rev__author'&gt;Anonymous&lt;/span&gt; &lt;span class='jdgm-rev__location' &gt;  &lt;/span&gt;  &lt;/span&gt; &lt;/div&gt; &lt;div class='jdgm-rev__content'&gt;  &lt;div class='jdgm-rev__custom-form'&gt;  &lt;/div&gt; &lt;b class='jdgm-rev__title'&gt;&lt;/b&gt; &lt;div class='jdgm-rev__body'&gt;&lt;p&gt;I really love the garment, but I’ve found the knitting has already been caught several times and has unsettled the look of the top. I have only worn it once but I think I’ll already need to look in to repairing it. Other than that, excellent service. Thanks.&lt;/p&gt;&lt;/div&gt; &lt;div class='jdgm-rev__pics'&gt;  &lt;/div&gt; &lt;div class='jdgm-rev__vids'&gt;   &lt;/div&gt; &lt;div class='jdgm-rev__transparency-badge-wrapper'&gt;  &lt;/div&gt; &lt;/div&gt; &lt;div class='jdgm-rev__actions'&gt; &lt;div class='jdgm-rev__social'&gt;&lt;/div&gt; &lt;div class='jdgm-rev__votes'&gt;&lt;/div&gt; &lt;/div&gt; &lt;div class='jdgm-rev__reply'&gt;  &lt;/div&gt; &lt;/div&gt;&lt;/div&gt; &lt;div class='jdgm-paginate' data-per-page='5' data-url='https://api.judge.me/reviews/reviews_for_widget' style="display: none;"&gt;&lt;/div&gt;  &lt;/div&gt; &lt;div class='jdgm-rev-widg__paginate-spinner-wrapper'&gt; &lt;div class='jdgm-spinner'&gt;&lt;/div&gt; &lt;/div&gt; &lt;/div&gt;</t>
  </si>
  <si>
    <t>nelson-grey-melange</t>
  </si>
  <si>
    <t>Nelson Grey Melange</t>
  </si>
  <si>
    <t>Nelson Grey Melange - T-Shirt</t>
  </si>
  <si>
    <t>fuller-japan-black-dusk, star-master-beige-transparent</t>
  </si>
  <si>
    <t>b986a0ad-1a4c-43c2-83f7-bbb6f9fa7531_5b94f22f-531c-4dc3-9e38-e63722600a3f.jpg</t>
  </si>
  <si>
    <t>- 100% noil silk
- Spun and woven by Jianxin Silk in China
- Real mother of pearl buttons made by Louropel in Italy
- Stitched with high quality poly core cotton thread
- Made at Yinmao in China
- Garment dyed</t>
  </si>
  <si>
    <t>eva-white</t>
  </si>
  <si>
    <t>eva-black</t>
  </si>
  <si>
    <t>SAME PROD DIFF COLL</t>
  </si>
  <si>
    <t>Made in Portugal
The BIRKENSTOCK Mantova is an interpretation of the classic Mary Jane in a rustic and especially comfy version. The model has an open-selvage, unlined finish which emphasizes its natural look. This version features the Droplet Buckle, which is made entirely of high-quality Zamak in a square shape. Its design combines premium quality with a modern, timeless look. The upper is made of high-quality natural leather with a shiny patent coating.
Anatomically shaped cork-latex footbed
Upper: natural leather with patent coating
Footbed lining: suede
Sole: natural rubber
Details: one strap with an individually adjustable metal pin buckle
Made in Portugal</t>
  </si>
  <si>
    <t>Made in Portugal
The BIRKENSTOCK Mantova is an interpretation of the classic Mary Jane in a rustic and especially comfy version. The model has an open-selvage, unlined finish which emphasizes its natural look. The upper is made from especially soft suede which hugs the foot like a second skin.
Anatomically shaped cork-latex footbed
Upper: suede
Footbed lining: suede
Sole: EVA
Details: one strap with an individually adjustable metal pin buckle
Made in Portugal</t>
  </si>
  <si>
    <t>The Birkenstock Naples Wrapped in Carafe Suede.</t>
  </si>
  <si>
    <t>Made in Portugal
Abby features dropped shoulders, wide and longer short sleeves and a generous silhouette, for an updated box-fit.
Made in a pre-shrunk 6.5 Oz heavy 100% cotton jersey exclusively knitted for Livid in Portugal. This jersey was developed for our very first tees in 2013, has since been used in our heavyweight tees due to its durability and comfortable hand feel.</t>
  </si>
  <si>
    <t>The box-fit Abby tee, dyed in a seasonal colour.</t>
  </si>
  <si>
    <t>- 100% cotton
- 220 gsm pre-shrunk jersey
- Garment dyed
- Sewn with durable poly-core cotton thread
- Knitted by Etevimol in Portugal
- Made at Texgoios in Portugal</t>
  </si>
  <si>
    <t>400 gsm rib</t>
  </si>
  <si>
    <t>Made in Portugal
Designed with wide, dropped shoulders, a boxy fit and a cropped straight cut hem that ends above the hips. Featuring a square button-down chest pocket, button-down collar and a box-peat at the back yoke. Finished with mother of pearl buttons.
Made in an indigo blue 7 Oz. denim woven by the artisinal denim mill Collect in Japan with a beautiful subtle texture, and washed for a distressed look.</t>
  </si>
  <si>
    <t>The cropped box-fit shirt, Amber.</t>
  </si>
  <si>
    <t>- 100% cotton
- 7 Oz. indigo rope-dyed denim woven by Collect in Japan
- Mother of pearl buttons made by Louropel in Italy
- Stitched with durable poly core cotton thread
- Cut &amp; Sewn by Stork, Portugal</t>
  </si>
  <si>
    <t xml:space="preserve">Made in Portugal
Designed with wide, dropped shoulders, a boxy fit and a cropped straight cut hem that ends above the hips. Featuring a square button-down chest pocket, button-down collar and a box-peat at the back yoke. Finished with mother of pearl buttons.
Made in a light grey 7 Oz. denim woven by the artisinal denim mill Collect in Japan with a beautiful subtle texture. This particular denim is made with a rope-dyed warp yarn which has been given just a small handful of dips in the grey dye, resulting in a light and subtle shade. The Amber Japan Fog is further washed, resulting in an exceptionally light grey denim shirt with a subtle play of colour.
</t>
  </si>
  <si>
    <t>- 100% cotton
- 7 Oz. light grey denim woven by Collect in Japan
- Mother of pearl buttons made by Louropel in Italy
- Stitched with durable poly core cotton thread
- Cut &amp; Sewn by Stork, Portugal</t>
  </si>
  <si>
    <t>Made in Portugal
Designed with wide, dropped shoulders, a boxy fit and a cropped straight cut hem that ends above the hips. Featuring a square button-down chest pocket, button-down collar and a box-peat at the back yoke. Finished with mother of pearl buttons.
Made in a grey 7 Oz. denim woven by the artisinal denim mill Collect in Japan with a beautiful subtle texture, and washed for a sturctured, gravely surface.</t>
  </si>
  <si>
    <t>Made in Portugal
Made in a lightweight 100% fine silk fabric, lending it a gentle sheen, fluid drape and smooth comfort against the skin.
Centi is designed with a slightly boxy cut, featuring splits at the side seams and a French placket with Mother of pearl buttons.</t>
  </si>
  <si>
    <t>The single collar short sleeve shirt, Centi.</t>
  </si>
  <si>
    <t>- 100% silk
- Silk fabric woven by Jianxin Silk in China
- Mother of pearl buttons
- Sewn with durable poly-core cotton threads
- Cut &amp; sewn by Stork in Portugal</t>
  </si>
  <si>
    <t>Made in Portugal
Eva is made in a light 100% cotton jersey knitted in Portugal. Featuring a slim shape, a boat neckline with a narrow jersey rib at neck and sleeve openings.
The shape gives a relaxed and versitle silhouette.</t>
  </si>
  <si>
    <t>The boat neck singlet Eva.</t>
  </si>
  <si>
    <t>- 100% cotton
- 160 gsm pre-shrunk jersey
- Sewn with durable poly-core cotton thread
- Jersey fabric knitted at Etevimol in Portugal
- Made at Texgoios in Portugal</t>
  </si>
  <si>
    <t>Made in Portugal
Mila features dropped shoulders and a relaxed, slightly cropped silhouette. 
Made in our signature 6.5 Oz heavyweight 100% cotton jersey exclusively made for Livid in Portugal. Garment dyed and acid washed for a subtly faded look.</t>
  </si>
  <si>
    <t>The relaxed longsleeve Mila, in a seasonal slubby stripe design.</t>
  </si>
  <si>
    <t>- 100% cotton
- Pre-shrunk slub yarn jersey
- Knitted by Etevimol in Portugal
- Fine rib collar
- Sewn with durable poly-core cotton thread
- Made at Texgoios in Portugal</t>
  </si>
  <si>
    <t>The relaxed longsleeve Mila.</t>
  </si>
  <si>
    <t>Made in Portugal
Designed with bold proportions, half-sleeves and a slightly cropped length, finished with large mother of pearl buttons.
Made in a heavy linen fabric woven by Klasikine in Lithuania, the same fabric we use for our Keri Linen Trousers. The weighty fabric gives the Nikka shirt a dramatic drape and wonderful handfeel.</t>
  </si>
  <si>
    <t>The square-cut linen shirt, Nikka.</t>
  </si>
  <si>
    <t>- 100% Linen 
- Woven by Klasikine in Lithuania
- Real mother of pearl buttons made by Louropel in Italy
- Stitched with durable poly core cotton thread
- Made at Stork in Portugal</t>
  </si>
  <si>
    <t>Made in Portugal
Made with a lightweight and airy seersucker fabric designed by Livid and woven by Somelos in Portugal. A soft seersucker developed to have a fluid drape, and incredible lightness, with a puckered surface giving a cooling effect against the skin.
Made in the box-fit, Lais. Designed with a boxy straight cut, featuring a box pleat at the back yoke, a French placket with mother of pearl buttoning, and a straight hem ending at the hips.</t>
  </si>
  <si>
    <t>The box-fit shirt, Lais.</t>
  </si>
  <si>
    <t>- 98% cotton, 2% elastane
- Lightweight seersucker fabric designed by Livid
- Woven at Somelos in Portugal, exclusively for Livid
- Mother of Pearl buttons made by Louropel in Italy
- Stitched with durable poly-core cotton thread
- Made at Stork in Portugal</t>
  </si>
  <si>
    <t>Made in Portugal
Made in a lightweight 100% fine silk fabric, lending it a gentle sheen, fluid drape and smooth comfort against the skin.
Tiki is designed with a generous straight cut, featuring a clean front placket, box pleat at the back yoke, curved hem, and pleats at cuff. Mother of pearl buttons at cuffs and placket.</t>
  </si>
  <si>
    <t>The maxi-fit shirt, Tiki, in a pure fine silk.</t>
  </si>
  <si>
    <t>Made in Portugal
Made in a crisp striped poplin designed and developed by Livid, and woven by Somelos in Portugal.
Tiki is designed with a generous straight cut, featuring a clean front placket, box pleat at the back yoke, curved hem, and pleats at cuff. Mother of pearl buttons at cuffs and placket.</t>
  </si>
  <si>
    <t>The maxi-fit shirt, Tiki.</t>
  </si>
  <si>
    <t>- 100% cotton 
- Poplin fabric designed by Livid
- Woven by Somelos in Portugal, exclusively for Livid
- Mother of pearl buttons
- Stitched with durable poly-core cotton thread
- Cut &amp; sewn by Stork, Portugal</t>
  </si>
  <si>
    <t>Made in Portugal
Tim, a shorter version of our unisex big shirt Aiden. Tim features oversized proportions with very dropped shoulders and a very wide body, but with a classic length and a softer curved hem.
Made in a textured fabric, consisting of a loosely woven linen fabric with a wobbly weave pattern, bonded to a loosely woven cotton backing fabric. The resulting fabric has an added thickness, while still remaining lightweight. The two loose weaves make the shirt highly breathable, while trapping air and insulating when used as a midlayer.
Designed to be unisex, the sleeve lengths have a greater jump between sizes S and M. XS and S fit most women and shorter men, M and L fit most men and taller women.</t>
  </si>
  <si>
    <t>Tim, the oversized unisex shirt.</t>
  </si>
  <si>
    <t>- 60% cotton, 40% linen
- Custom bonded fabric designed by Livid
- Woven by Somelos in Portugal, exclusively for Livid
- Mother of pearl buttons
- Stitched with durable poly-core cotton thread
- Cut &amp; sewn by Stork, Portugal</t>
  </si>
  <si>
    <t xml:space="preserve">Made in Portugal
Made with a lightweight and airy seersucker fabric designed by Livid and woven by Somelos in Portugal. A soft seersucker developed to have a fluid drape, and incredible lightness, with a puckered surface giving a cooling effect against the skin.
</t>
  </si>
  <si>
    <t>Made in Portugal
Made with a 100% cotton voile woven by Hokkoh in Japan, an incredibly lightweight, soft, and slightly sheer fabric, with a fluid drape. Featuring a custom print made for Livid.</t>
  </si>
  <si>
    <t>- 100% cotton
- Voille fabric woven by Hokkoh in Japan
- Mother of pearl buttons
- Sewn with durable poly-core cotton threads
- Cut &amp; sewn by Stork in Portugal</t>
  </si>
  <si>
    <t xml:space="preserve">Made in Portugal
Made with a 100% cotton voile woven by Somelos in Portugal, an incredibly lightweight, soft, and airy fabric, with a fluid drape. </t>
  </si>
  <si>
    <t>- 100% cotton
- Lightweight voile fabric designed by Livid
- Woven at Somelos in Portugal, exclusively for Livid
- Mother of pearl buttons
- Sewn with durable poly-core cotton threads
- Cut &amp; sewn by Stork in Portugal</t>
  </si>
  <si>
    <t>Made in Portugal
Made in a 100% merino wool voile woven by Somelos in Portugal, an incredibly lightweight, soft, and subtly sheer fabric. Creating a sharp and comfortable shirt with a fluid drape.
The Huff shirt gives a clean, but relaxed look. Designed with a generous straight cut, and a longer, curved back hem. Featuring a clean collar that sits well undearneath a suit lapel, and a French placket finished with mother of pearl buttons.</t>
  </si>
  <si>
    <t>The relaxed formal shirt, Huff, in a lightweight merino voile.</t>
  </si>
  <si>
    <t>- 100% merino wool
- Woven by Somelos in Portugal
- Mother of pearl buttons
- Sewn with durable poly core cotton threads
- Cut &amp; sewn by Stork in Portugal</t>
  </si>
  <si>
    <t>Made in Portugal
Kalum, our regular straight hemmed shirt. Designed with slightly wide shoulders, a straight fit and straight cut hem that ends perfectly at the hips. Featuring flap pockets at the chest and finished with Cobrax snap-buttons. A shirt that feels classicly rooted in denim heritage, while looking modern and sharp. 
Made in a 7 Oz. denim woven by the artisinal denim mill Collect in Japan. Woven with a black warp and a natural white weft, and washed for a structured texture.</t>
  </si>
  <si>
    <t>Thre straight-hemmed denim shirt, Kalum</t>
  </si>
  <si>
    <t>- 100% cotton
- 7 Oz. wideloom denim woven by Collect in Japan
- Cobrax press buttons made by RiRi in Switzerland
- Stitched with durable poly-core cotton thread
- Cut &amp; Sewn by Stork, Portugal</t>
  </si>
  <si>
    <t>Made in Portugal
Made with a lightweight and airy seersucker fabric designed by Livid and woven by Somelos in Portugal. A soft seersucker developed to have a fluid drape, and incredible lightness, with a puckered surface giving a cooling effect against the skin.
Made in the box-fit shirt, Keen, designed with a generous straight cut. Featuring a box pleat at the back yoke, a french placket finished with natural Mother of Pearl buttoning, and a straight hem with side slits.</t>
  </si>
  <si>
    <t>The box-fit shirt, Keen.</t>
  </si>
  <si>
    <t>Made in Portugal 
The relaxed fit tee, Nelson. Featuring dropped shoulders, a wider body for a relaxed fit, and a tonal Livid embroidery at the chest.
Made from a pre-shrunk 6.5 Oz heavyweight 100% cotton jersey exclusively made for Livid in Portugal, in a seasonal knitted stripe. This jersey was developed for our very first tees in 2013, has since been used in our heavyweight tees due to its durability and comfortable hand feel.</t>
  </si>
  <si>
    <t>The relaxed fit tee, Nelson. In a seasonal knitted stripe.</t>
  </si>
  <si>
    <t>- 100% cotton
- 220 gsm pre-shrunk jersey
- Livid embroidery at chest
- Fine rib collar
- Sewn with durable poly-core cotton thread
- Jersey knitted by Etevimol in Portugal
- Made at Texgoios in Portugal</t>
  </si>
  <si>
    <t>Made in Portugal 
The relaxed fit tee, Nelson. Featuring dropped shoulders, a wider body for a relaxed fit, and a tonal Livid embroidery at the chest. Garment dyed and acid washed for a subtly faded look.
Made from a pre-shrunk 6.5 Oz heavyweight 100% cotton jersey exclusively made for Livid in Portugal. This jersey was developed for our very first tees in 2013, has since been used in our heavyweight tees due to its durability and comfortable hand feel.</t>
  </si>
  <si>
    <t>The relaxed fit tee, Nelson. In a seasonal colourway.</t>
  </si>
  <si>
    <t>Made in Portugal 
The relaxed fit tee, Nelson. Featuring dropped shoulders, a wider body for a relaxed fit, and a tonal Livid embroidery at the chest.
Made from a pre-shrunk 6.5 Oz heavyweight 100% cotton jersey exclusively made for Livid in Portugal. This jersey was developed for our very first tees in 2013, has since been used in our heavyweight tees due to its durability and comfortable hand feel.</t>
  </si>
  <si>
    <t>Made in Portugal 
The relaxed fit staple tee, Nelson. Made from a pre-shrunk 6.5 Oz heavyweight 100% cotton jersey exclusively made for Livid in Portugal. This jersey was developed for our very first tees in 2013, has since been used in our heavyweight tees due to its durability and comfortable hand feel.
Featuring dropped shoulders, a wider body for a relaxed fit, and a slightly shorter length than the classic staple tee Richmond. Tonal "Livid" embroidery at the chest.</t>
  </si>
  <si>
    <t>The relaxed fit tee, Nelson.</t>
  </si>
  <si>
    <t>Made in Portugal
Made in a soft and light 100% cotton rib jersey, Elmer features a straight fitting body, an open neckline and a straight cut hem. 
Designed to be worn on its own, or to add visual interest as a layering piece.</t>
  </si>
  <si>
    <t>The rib singlet, Elmer.</t>
  </si>
  <si>
    <t>Made in Portugal
Kavon features a wider, shorter body for a loose box-fit, but sits more dialed in at the shoulders and upper chest compared to an ovesized fit. Made with long straight sleeves.
Made in our signature 6.5 Oz heavyweight 100% cotton jersey exclusively made for Livid in Portugal, with a knitted stripe design. This jersey was developed for our very first tees in 2013, has since been used in our heavyweight tees due to its durability and comfortable hand feel.</t>
  </si>
  <si>
    <t>The box-fit longsleeve, Kavon.</t>
  </si>
  <si>
    <t>Made in Portugal
Kavon features a wider, shorter body for a loose box-fit, but sits more dialed in at the shoulders and upper chest compared to an ovesized fit. Made with long straight sleeves.
Made in our signature 6.5 Oz heavyweight 100% cotton jersey exclusively made for Livid in Portugal. This jersey was developed for our very first tees in 2013, has since been used in our heavyweight tees due to its durability and comfortable hand feel. Garment dyed and acid washed for a subtly faded look.</t>
  </si>
  <si>
    <t>Made in Portugal
Kavon features a wider, shorter body for a loose box-fit, but sits more dialed in at the shoulders and upper chest compared to an ovesized fit. Made with long straight sleeves.
Made in our signature 6.5 Oz heavyweight 100% cotton jersey exclusively made for Livid in Portugal. This jersey was developed for our very first tees in 2013, has since been used in our heavyweight tees due to its durability and comfortable hand feel.</t>
  </si>
  <si>
    <t>Made in Portugal 
The relaxed staple sweatshirt Ayon. Made from a pre-shrunk 100% cotton loopback jersey exclusively knitted for Livid in Portugal. Developed for durability and a sturdy, yet comfortable hand feel, and made in a versatile 500 gsm heavyweight that works well all year round. 
Made in a classic crewneck style with a relaxed fit.</t>
  </si>
  <si>
    <t>Ayon, the relaxed staple sweatshirt.</t>
  </si>
  <si>
    <t>- 26% Paper, 43% Cotton, 31% Lyocell
- Paper yarn spun by Shine Yarn in China
- Cool and breathable
- YKK Silver zipper
- Knitted by Springair in China</t>
  </si>
  <si>
    <t>- 26% Paper, 43% Cotton, 31% Lyocell
- Paper yarn spun by Shine Yarn in China
- Cool and breathable
- YKK two-way silver zipper
- Knitted by Springair in China</t>
  </si>
  <si>
    <t>- 65% Cotton, 35% Hemp
- Yarn spun by Topline in China
- Cool and breathable
- Knitted by Springair in China</t>
  </si>
  <si>
    <t>Made in Portugal
Combining a boxy fit with versitile functionality, the Pen jacket is an insulating short jacket and midlayer, which transitions into a breathable and light spring jacket.
Made with an ultralight technical material made by Olmetex in Italy, and insulated with Primaloft silver, the Pen jacket protects you against the elements with comfortable warmth when needed. The boxy fit with dropped shoulders, a relaxed body and slightly cropped length makes it a perfect layering piece. Cobrax button fastening at the cuffs and side seams let you easily adjust the fit. Hand warmer pockets at the waist.</t>
  </si>
  <si>
    <t>The ultralight insulated jacket, Pen</t>
  </si>
  <si>
    <t>- Technical fabric made by Olmetex, Italy
- 100% polyamide fabric
- Ultralight, breathable and water repellent
- Insulated with Primaloft Silver
- Two-way silver zipper made by YKK
- Cobrax snap button adjusters at cuffs and side hems
- Made at Stork in Portugal</t>
  </si>
  <si>
    <t>Body HTML</t>
  </si>
  <si>
    <t>Anonymousism</t>
  </si>
  <si>
    <t>Socks Men</t>
  </si>
  <si>
    <t>houndstooth-jq-crew-grey</t>
  </si>
  <si>
    <t>Houndstooth JQ Crew Grey</t>
  </si>
  <si>
    <t>Made in Japan
 Perfect autumn/winter sock from Anonymous Ism. Knitted with a houndstooth pattern with a pop of color at the heel and toe. Made in a soft, warm and durable wool blend.
 Anonymous Ism socks are crafted in Tokyo, Japan using a wide range of the finest materials available made for durability, comfort and a bit of fun. Knitted on vintage knitting machines from the 70's, in small runs with hand-linked toes to ensure optimal quality.
 Fits size 42 – 45</t>
  </si>
  <si>
    <t>Houndstooth pattern sock with a pop of color at the heel and toe, crafted for warmth and durability. Ideal for autumn/winter.</t>
  </si>
  <si>
    <t>houndstooth-jq-crew-navy</t>
  </si>
  <si>
    <t>Houndstooth JQ Crew Navy</t>
  </si>
  <si>
    <t>Knitted with a houndstooth pattern, color at the heel and toe. Soft, warm, durable wool blend. Crafted for durability, comfort. Vintage knitting machines, hand-linked toes for quality. Fits size 42 – 45.</t>
  </si>
  <si>
    <t>mitten-snow-crew-oatmeal</t>
  </si>
  <si>
    <t>Mitten Snow Crew Oatmeal</t>
  </si>
  <si>
    <t>Made in Japan
 Inspired by cozy wool mittens, these socks from Anonymous Ism feature a delicate winter white and light grey pattern. Made in a soft and durable cotton/acrylic blend yarn.
 Anonymous Ism socks are crafted in Tokyo, Japan using a wide range of the finest materials available made for durability, comfort and a bit of fun. Knitted on vintage knitting machines from the 70's, in small runs with hand-linked toes to ensure optimal quality.
 Fits size 42 – 45</t>
  </si>
  <si>
    <t>These socks feature a white and grey pattern, made from a blend yarn.</t>
  </si>
  <si>
    <t>napping-jq-crew-ivory</t>
  </si>
  <si>
    <t>Napping JQ Crew Ivory</t>
  </si>
  <si>
    <t>Made in Japan
 One of our favorite autumn/winter socks from Anonymous Ism! Inspired by fuzzy mohair knits, these argyle pattern socks are knitted in a highly brushed cotton/nylon yarn, which ensures both durability and comfort.
 Anonymous Ism socks are crafted in Tokyo, Japan using a wide range of the finest materials available made for durability, comfort and a bit of fun. Knitted on vintage knitting machines from the 70's, in small runs with hand-linked toes to ensure optimal quality.
 Fits size 42 – 45</t>
  </si>
  <si>
    <t>Autumn/winter socks inspired by fuzzy mohair knits, knitted in a highly brushed yarn for durability and comfort.</t>
  </si>
  <si>
    <t>napping-jq-crew-moss, napping-jq-crew-navy-violet</t>
  </si>
  <si>
    <t>napping-jq-crew-moss</t>
  </si>
  <si>
    <t>Napping JQ Crew Moss</t>
  </si>
  <si>
    <t>These socks, inspired by mohair knits, are crafted in a brushed cotton/nylon yarn for durability and comfort, featuring an argyle pattern.</t>
  </si>
  <si>
    <t>napping-jq-crew-ivory, napping-jq-crew-navy-violet</t>
  </si>
  <si>
    <t>napping-jq-crew-navy-violet</t>
  </si>
  <si>
    <t>Napping JQ Crew Navy/Violet</t>
  </si>
  <si>
    <t>Inspired by fuzzy mohair knits, these socks are knitted in a highly brushed cotton/nylon yarn for both durability and comfort.</t>
  </si>
  <si>
    <t>napping-jq-crew-ivory, napping-jq-crew-moss</t>
  </si>
  <si>
    <t>old-pattern-jq-crew-off-white</t>
  </si>
  <si>
    <t>Old Pattern JQ Crew Off-White</t>
  </si>
  <si>
    <t>Made in Japan
 Anonymous Ism always has a fresh take on the classic Fair Isle pattern sock. Made in a great colorway to go along with your favorite autumn/winter outfit. Knitted in a soft cotton yarn, with a nylon core for durability.
 Anonymous Ism socks are crafted in Tokyo, Japan using a wide range of the finest materials available made for durability, comfort and a bit of fun. Knittedon vintage knitting machines from the 70's, in small runs with hand-linked toes to ensure optimal quality.
 Fits size 42 – 45</t>
  </si>
  <si>
    <t>Fresh classic fairisle pattern sock in great colourway for autumn/winter. Soft cotton yarn with nylon core made for durability.</t>
  </si>
  <si>
    <t>old-pattern-jq-crew-olive</t>
  </si>
  <si>
    <t>Old Pattern JQ Crew Olive</t>
  </si>
  <si>
    <t>Made in Japan
 Anonymous Ism always has a fresh take on the classic fairisle pattern sock. Made in a great colourway to go along with your favourite autumn/winter outfit. Knitted in a soft cotton yarn, with a nylon core for durability. 
 Anonymous Ism socks are crafted in Tokyo, Japan using a wide range of the finest materials available made for durability, comfort and a bit of fun. Knittedon vintage knitting machines from the 70's, in small runs with hand-linked toes to ensure optimal quality.
 Fits size 42 – 45</t>
  </si>
  <si>
    <t>Fairisle pattern sock in a great colourway, perfect for autumn/winter outfits. Soft, durable, made for comfort and a bit of fun.</t>
  </si>
  <si>
    <t>tweed-nep-crew-oatmeal</t>
  </si>
  <si>
    <t>Tweed Nep Crew Oatmeal</t>
  </si>
  <si>
    <t>Made in Japan
 Perfectly toned down sock from Anonymous Ism. Inspired by speckled Donegal tweeds, this sock features a subtle and perfectly coloured speckle together with contrasting heel and toe. Knitted in a warm, soft and durable acrylic/wool blend.
 Anonymous Ism socks are crafted in Tokyo, Japan using a wide range of the finest materials available made for durability, comfort and a bit of fun. Knittedon vintage knitting machines from the 70's, in small runs with hand-linked toes to ensure optimal quality.
 Fits size 42 – 45</t>
  </si>
  <si>
    <t>Speckled sock features subtle, perfectly coloured speckle with contrasting heel and toe, inspired by tweeds. Warm, soft, durable blend for comfort.</t>
  </si>
  <si>
    <t>wool-cashmere-links-combi-crew-charcoal</t>
  </si>
  <si>
    <t>Wool Cashmere Links Combi Crew Charcoal</t>
  </si>
  <si>
    <t>Made in Japan
 Always a favorite from Anonymous Ism for the colder months! Their cashmere blend socks ensure warmth and comfort throughout the season, with a touch of luxury and a great look. Inspired by Aran knits, these socks feature a cable knit pattern and contrasting heel/toe. Knitted in wool yarn with 5% cashmere, spun around a nylon core for durability.
 Anonymous Ism socks are crafted in Tokyo, Japan using a wide range of the finest materials available made for durability, comfort and a bit of fun. Knitted on vintage knitting machines from the 70's, in small runs with hand-linked toes to ensure optimal quality.
 Fits size 42 – 45</t>
  </si>
  <si>
    <t>Aran knits inspire these socks, featuring a cable knit pattern with contrasting colors. Knitted for warmth, durability, and a great look.</t>
  </si>
  <si>
    <t>wool-cashmere-links-combi-crew-indigo, wool-cashmere-links-combi-crew-oatmeal</t>
  </si>
  <si>
    <t>wool-cashmere-links-combi-crew-indigo</t>
  </si>
  <si>
    <t>Wool Cashmere Links Combi Crew Indigo</t>
  </si>
  <si>
    <t>Their cashmere blend socks provide warmth and comfort with a touch of luxury. Inspired by Aran knits, featuring a cable knit pattern.</t>
  </si>
  <si>
    <t>wool-cashmere-links-combi-crew-charcoal, wool-cashmere-links-combi-crew-oatmeal</t>
  </si>
  <si>
    <t>wool-cashmere-links-combi-crew-oatmeal</t>
  </si>
  <si>
    <t>Wool Cashmere Links Combi Crew Oatmeal</t>
  </si>
  <si>
    <t>These cashmere blend socks ensure warmth and comfort throughout the season, with a luxury touch and great look, inspired by Aran knits, featuring a cable knit pattern.</t>
  </si>
  <si>
    <t>wool-cashmere-links-combi-crew-charcoal, wool-cashmere-links-combi-crew-indigo</t>
  </si>
  <si>
    <t>zurich-vl-taupe</t>
  </si>
  <si>
    <t>Zurich Taupe Suede</t>
  </si>
  <si>
    <t>Made in Germany
 A true Birkenstock classic, originally launched in the 70s, the Zürich model combines the stability of an open-toe shoe with the lightness of a sandal, thanks to its wide strap with double monk fastenings. The upper is made from especially soft and supple suede which hugs the foot like a second skin.
 This style features Birkenstock's Original Footbed, a contoured cork footbed that conforms to the shape of your foot and features pronounced arch support, a deep heel cup and roomy toe box.
 Sizing note: We carry Birkenstock in the regular width from size 41 and up, and the narrrow width from size 40 and down.</t>
  </si>
  <si>
    <t>The Zürich model, a classic since the 70s, combines the stability of an open-toe shoe with the lightness of a sandal, featuring wide straps and double buckle fastenings.</t>
  </si>
  <si>
    <t>zurich-suede-velvet-grey</t>
  </si>
  <si>
    <t>boston-taupe</t>
  </si>
  <si>
    <t>Boston Taupe</t>
  </si>
  <si>
    <t>Made in Germany
 The Birkenstock Boston is a true classic that can be worn all year round, first launched in 1977. Perfect to style with a wider trousers and jeans.
 The Taupe Suede has gloriously supple taupe suede uppers that hugs the foot like a second skin. It features Birkenstock's soft anatomically shaped cork-latex footbed lined with suede, and an EVA sole.
 This style features Birkenstock's Soft Footbed, a contoured cork footbed that conforms to the shape of your foot and features pronounced arch support, a deep heel cup and roomy toe box. En extra layer of super soft foam provides extra cushioning. Lined with suede.
 Sizing note: We carry Birkenstock in the regular width from size 41 and up, and the narrrow width from size 40 and down.</t>
  </si>
  <si>
    <t>The Birkenstock Boston is a true classic that can be worn all year round, first launched in 1977.</t>
  </si>
  <si>
    <t>boston-suede-faded-purple, boston-suede-velvet-grey, boston-suede-stone-coin, boston-mink-suede, boston-suede-mocha, boston-faded-lime, boston-elemental-blue, boston-suede-leather-faded-khaki, boston-wool-felt-anthracite, boston-big-buckle-fur-eggshell</t>
  </si>
  <si>
    <t>boston-shearling-suede-leather-mink</t>
  </si>
  <si>
    <t>Boston Shearling Suede Mink</t>
  </si>
  <si>
    <t>Made in Germany
 The Birkenstock Boston is a true classic that can be worn all year round, first launched in 1977. Perfect to style with wider trousers and jeans.
 Made in high quality suede leather, fully lined with real lamb shearling, the Boston shearling will keep your feet cozy throughout the autumn/winter season.
 This style features Birkenstock's Original Footbed, a contoured cork footbed that conforms to the shape of your foot and features pronounced arch support, a deep heel cup and roomy toe box. Lined with soft and warm lamb shearling.
 Sizing note: We carry Birkenstock in the regular width from size 41 and up, and the narrrow width from size 40 and down.</t>
  </si>
  <si>
    <t>The Birkenstock Boston, launched in 1977, can be worn all year round, perfect with wider trousers and jeans. High-quality suede leather, fully lined with real lamb shearling for coziness in autumn/winter. Features the original contoured cork footbed.</t>
  </si>
  <si>
    <t>boston-shearling-suede-leather-mocha, boston-big-buckle-fur-eggshell, boston-wool-felt-anthracite, boston-suede-faded-purple, boston-suede-velvet-grey, boston-suede-stone-coin, boston-suede-mocha, boston-mink-suede, boston-taupe, boston-elemental-blue, boston-faded-lime, boston-suede-leather-faded-khaki</t>
  </si>
  <si>
    <t>boston-shearling-suede-leather-mocha</t>
  </si>
  <si>
    <t>Boston Shearling Suede Mocha</t>
  </si>
  <si>
    <t>Made in Germany
 The Birkenstock Boston is a true classic that can be worn all year round, first launched in 1977. Perfect to style with wider trousers and jeans.
 Made in high quality suede leather, fully lined with dyed real lamb shearling, the Boston shearling will keep your feet cozy throughout the autumn/winter season.
 This style features Birkenstock's Original Footbed, a contoured cork footbed that conforms to the shape of your foot and features pronounced arch support, a deep heel cup and roomy toe box. Lined with soft and warm lamb shearling.
 Sizing note: We carry Birkenstock in the regular width from size 41 and up, and the narrrow width from size 40 and down.</t>
  </si>
  <si>
    <t>The Birkenstock Boston, a classic since 1977, can be styled with trousers and jeans for year-round wear.</t>
  </si>
  <si>
    <t>boston-big-buckle-fur-eggshell, boston-shearling-suede-leather-mink, boston-wool-felt-anthracite, boston-suede-faded-purple, boston-suede-velvet-grey, boston-suede-stone-coin, boston-suede-mocha, boston-mink-suede, boston-taupe, boston-elemental-blue, boston-faded-lime, boston-suede-leather-faded-khaki</t>
  </si>
  <si>
    <t>boston-wool-felt-anthracite</t>
  </si>
  <si>
    <t>Boston Wool Felt Anthracite</t>
  </si>
  <si>
    <t>Made in Germany
 The Birkenstock Boston is a true classic that can be worn all year round, first launched in 1977. Perfect to style with wider trousers and jeans.
 The Boston Wool Felt features felted 100% wool uppers, their original anatomically shaped cork-latex footbed lined with suede, and an EVA sole.
 This style features Birkenstock's Original Footbed, a contoured cork footbed that conforms to the shape of your foot and features pronounced arch support, a deep heel cup and roomy toe box.
 Sizing note: We carry Birkenstock in the regular width from size 41 and up, and the narrrow width from size 40 and down.</t>
  </si>
  <si>
    <t>boston-big-buckle-fur-eggshell, boston-suede-faded-purple, boston-suede-velvet-grey, boston-suede-stone-coin, boston-suede-mocha, boston-mink-suede, boston-taupe, boston-elemental-blue, boston-faded-lime, boston-shearling-suede-leather-mocha, boston-shearling-suede-leather-mink, boston-suede-leather-faded-khaki</t>
  </si>
  <si>
    <t>boston-elemental-blue</t>
  </si>
  <si>
    <t>Boston Elemental Blue</t>
  </si>
  <si>
    <t>Made in Germany
 The Birkenstock Boston is a true classic that can be worn all year round, first launched in 1977. Perfect to style with a wider trousers and jeans. 
 The Elemental Blue Suede has gloriously supple blue suede uppers that hugs the foot like a second skin, and a tonal EVA sole.
 This style features Birkenstock's Original Footbed, a contoured cork footbed that conforms to the shape of your foot and features pronounced arch support, a deep heel cup and roomy toe box.</t>
  </si>
  <si>
    <t>boston-faded-lime, boston-mink-suede, boston-taupe, boston-suede-leather-faded-khaki, boston-wool-felt-anthracite</t>
  </si>
  <si>
    <t>w796-black</t>
  </si>
  <si>
    <t>w796-rose-charcoal</t>
  </si>
  <si>
    <t>w796-rose-duck-egg</t>
  </si>
  <si>
    <t>rose-old-rose</t>
  </si>
  <si>
    <t>rose-raspberry</t>
  </si>
  <si>
    <t>w796-wine</t>
  </si>
  <si>
    <t>boston-faded-lime</t>
  </si>
  <si>
    <t>Boston Faded Lime</t>
  </si>
  <si>
    <t>Made in Germany
 The Birkenstock Boston is a true classic that can be worn all year round, first launched in 1977. Perfect to style with a wider trousers and jeans.
 The Faded Lime Suede has gloriously supple light green suede uppers that hugs the foot like a second skin, and a tonal EVA sole.
 This style features Birkenstock's Original Footbed, a contoured cork footbed that conforms to the shape of your foot and features pronounced arch support, a deep heel cup and roomy toe box.
 Sizing note: We carry Birkenstock in the regular width from size 41 and up, and the narrrow width from size 40 and down.</t>
  </si>
  <si>
    <t>boston-suede-faded-purple, boston-suede-velvet-grey, boston-suede-stone-coin, boston-elemental-blue, boston-suede-mocha, boston-mink-suede, boston-taupe, boston-suede-leather-faded-khaki, boston-wool-felt-anthracite</t>
  </si>
  <si>
    <t>rose-navy</t>
  </si>
  <si>
    <t>shinjuku-black</t>
  </si>
  <si>
    <t>Shinjuku Black</t>
  </si>
  <si>
    <t>Made in Germany
 The Birkenstock Shinjuku brings a futuristic look to the classic sandal.
 Shinjuku's upper is made of high quality nubuck leaher in combination with durable nylon fabric and metal closures. Two strap sandal design with a padded heel strap. Set on an eva outer sole designed for urban environments.
 This style features Birkenstock's Original Footbed, a contoured cork footbed that conforms to the shape of your foot and features pronounced arch support, a deep heel cup and roomy toe box. Lined with soft and tear-resistant microfibre.</t>
  </si>
  <si>
    <t>The Birkenstock Shinjuku brings a futuristic look to the classic sandal.</t>
  </si>
  <si>
    <t>shinjuku-cork-brown</t>
  </si>
  <si>
    <t>Shinjuku Cork Brown</t>
  </si>
  <si>
    <t>st-barths-black</t>
  </si>
  <si>
    <t>St Barths Black</t>
  </si>
  <si>
    <t>Made in Germany
 Birkenstock's St. Barths stands out as an elevated take on their classic Arizona. Made with a high-quality, soft natural leather upper, featuring rectangular zamak buckles. 
 The St. Barths features Birkenstock's exquisite footbed, built on their original cork sole and fully lined with soft leather, making it exceptionally comfortable. Finished with a two-part natural rubber outsole, which facilitates the rolling of the foot and ensures an elegant gait and excellent grip.</t>
  </si>
  <si>
    <t>Birkenstock's St. Barths, an elevated take on the classic Arizona, featuring a soft natural leather upper. The leather-lined footbed offers exceptional comfort, while the two-part natural rubber outsole ensures an elegant gait.</t>
  </si>
  <si>
    <t>boston-mink-suede</t>
  </si>
  <si>
    <t>Boston Mink Suede</t>
  </si>
  <si>
    <t>Made in Germany
 The Birkenstock Boston is a true classic that can be worn all year round, first launched in 1977. Perfect to style with a wider trousers and jeans.
 The Mink Suede has gloriously supple golden brown suede uppers that hugs the foot like a second skin. It features Birkenstock's soft anatomically shaped cork-latex footbed lined with suede, and an EVA sole.
 This style features Birkenstock's Soft Footbed, a contoured cork footbed that conforms to the shape of your foot and features pronounced arch support, a deep heel cup and roomy toe box. En extra layer of super soft foam provides extra cushioning. Lined with suede.
 Sizing note: We carry Birkenstock in the regular width from size 41 and up, and the narrrow width from size 40 and down.</t>
  </si>
  <si>
    <t>boston-big-buckle-fur-eggshell, boston-suede-mocha, boston-taupe, boston-suede-velvet-grey, boston-suede-faded-purple, boston-suede-stone-coin, boston-elemental-blue, boston-faded-lime, boston-suede-leather-faded-khaki, boston-wool-felt-anthracite, boston-shearling-suede-leather-mink, boston-shearling-suede-leather-mocha</t>
  </si>
  <si>
    <t>arizona-suede-velvet-grey</t>
  </si>
  <si>
    <t>Arizona Suede Velvet Grey</t>
  </si>
  <si>
    <t>Made in Germany
 Birkenstock's iconic Arizona, first launched in 1973, is an individually adjustable two-strap sandal. The Arizona Elemental Blue features gloriously supple softly coloured suede straps, tonal hardware, Birkenstock's original anatomically shaped cork footbed, and a tonal EVA sole.
 This style features Birkenstock's Original Footbed, a contoured cork footbed that conforms to the shape of your foot and features pronounced arch support, a deep heel cup and roomy toe box.</t>
  </si>
  <si>
    <t>The Birkenstock Arizona in a limited colourway: Velvet Grey</t>
  </si>
  <si>
    <t>arizona-elemental-blue, arizona-sfb-vl-black</t>
  </si>
  <si>
    <t>boston-suede-mocha</t>
  </si>
  <si>
    <t>Boston Suede Mocha</t>
  </si>
  <si>
    <t>Made in Germany
 The Birkenstock Boston is a true classic that can be worn all year round, first launched in 1977. Perfect to style with a wider trousers and jeans.
 The Mocha Suede has gloriously supple brown suede uppers that hugs the foot like a second skin. It features Birkenstock's soft anatomically shaped cork-latex footbed lined with suede, and an EVA outsole.
 This style features Birkenstock's Soft Footbed, a contoured cork footbed that conforms to the shape of your foot and features pronounced arch support, a deep heel cup and roomy toe box. En extra layer of super soft foam provides extra cushioning. Lined with suede.
 Sizing note: We carry Birkenstock in the regular width from size 41 and up, and the narrrow width from size 40 and down.</t>
  </si>
  <si>
    <t>boston-suede-faded-purple, boston-suede-velvet-grey, boston-suede-stone-coin, boston-elemental-blue, boston-faded-lime, boston-mink-suede, boston-taupe, boston-wool-felt-anthracite, boston-shearling-suede-leather-mocha, boston-shearling-suede-leather-mink, boston-suede-leather-faded-khaki</t>
  </si>
  <si>
    <t>boston-suede-stone-coin</t>
  </si>
  <si>
    <t>Boston Suede Stone Coin</t>
  </si>
  <si>
    <t>Made in Germany
 The Birkenstock Boston is a true classic that can be worn all year round, first launched in 1977. Perfect to style with a wider trousers and jeans.
 The Stone Coin Suede has gloriously supple light grey suede uppers that hugs the foot like a second skin. It features Birkenstock's anatomically shaped cork footbed and a tonal EVA outsole.
 This style features Birkenstock's Original Footbed, a contoured cork footbed that conforms to the shape of your foot and features pronounced arch support, a deep heel cup and roomy toe box.
 Sizing note: We carry Birkenstock in the regular width from size 41 and up, and the narrrow width from size 40 and down.</t>
  </si>
  <si>
    <t>The Birkenstock Boston back in a sought-after colourway: Stone Coin</t>
  </si>
  <si>
    <t>boston-suede-faded-purple, boston-suede-velvet-grey, boston-elemental-blue, boston-faded-lime, boston-suede-mocha, boston-mink-suede, boston-taupe, boston-big-buckle-fur-eggshell, boston-wool-felt-anthracite, boston-shearling-suede-leather-mink, boston-shearling-suede-leather-mocha, boston-suede-leather-faded-khaki</t>
  </si>
  <si>
    <t>boston-suede-velvet-grey</t>
  </si>
  <si>
    <t>Boston Suede Velvet Grey</t>
  </si>
  <si>
    <t>Made in Germany
 The Birkenstock Boston is a true classic that can be worn all year round, first launched in 1977. Perfect to style with a wider trousers and jeans.
 The Velvet Grey Suede has gloriously supple dark grey suede uppers that hugs the foot like a second skin. It features Birkenstock's anatomically shaped cork footbed, tonal hardware and a black EVA outsole.
 This style features Birkenstock's Original Footbed, a contoured cork footbed that conforms to the shape of your foot and features pronounced arch support, a deep heel cup and roomy toe box.
 Sizing note: We carry Birkenstock in the regular width from size 41 and up, and the narrrow width from size 40 and down.</t>
  </si>
  <si>
    <t>The Birkenstock Boston in a limited colourway: Velvet Grey</t>
  </si>
  <si>
    <t>boston-suede-faded-purple, boston-suede-stone-coin, boston-big-buckle-fur-eggshell, boston-suede-mocha, boston-mink-suede, boston-elemental-blue, boston-faded-lime, boston-taupe, boston-wool-felt-anthracite, boston-shearling-suede-leather-mink, boston-shearling-suede-leather-mocha, boston-suede-leather-faded-khaki</t>
  </si>
  <si>
    <t>london-suede-black</t>
  </si>
  <si>
    <t>London Suede Black</t>
  </si>
  <si>
    <t>Made in Germany
 The Birkenstock London is a light open shoe based on the classic Boston. Fusing the Boston clog front with a raised heel section giving a secure fit. 
 The Black Suede has gloriously supple suede uppers that hugs the foot like a second skin. It features Birkenstock's anatomically shaped cork footbed and an EVA outsole.
 This style features Birkenstock's Original Footbed, a contoured cork footbed that conforms to the shape of your foot and features pronounced arch support, a deep heel cup and roomy toe box.
 Sizing note: We carry Birkenstock in the regular width from size 41 and up, and the narrrow width from size 40 and down.</t>
  </si>
  <si>
    <t>The Birkenstock London is a light open shoe based on the classic Boston. Combining the Boston clog front with a raised heel section giving a secure fit.</t>
  </si>
  <si>
    <t>london-suede-taupe</t>
  </si>
  <si>
    <t>London Suede Taupe</t>
  </si>
  <si>
    <t>Made in Germany
 The Birkenstock London is a light open shoe based on the classic Boston. Fusing the Boston clog front with a raised heel section giving a secure fit. 
 The Taupe Suede has gloriously supple suede uppers that hugs the foot like a second skin. It features Birkenstock's anatomically shaped cork footbed and an EVA outsole.
 This style features Birkenstock's Original Footbed, a contoured cork footbed that conforms to the shape of your foot and features pronounced arch support, a deep heel cup and roomy toe box.
 Sizing note: We carry Birkenstock in the regular width from size 41 and up, and the narrrow width from size 40 and down.</t>
  </si>
  <si>
    <t>Zürich Suede Velvet grey</t>
  </si>
  <si>
    <t>The Birkenstock Zürich in a limited colourway: Velvet Grey</t>
  </si>
  <si>
    <t>boston-big-buckle-fur-eggshell</t>
  </si>
  <si>
    <t>Boston Big Buckle Shearling Eggshell</t>
  </si>
  <si>
    <t>Made in Germany
 The Birkenstock Boston is a true classic that can be worn all year round, first launched in 1977. Perfect to style with a wider trousers and jeans.
 The Big Buckle Shearling is made with warm and soft teddy lambskin shearling. It features Birkenstock's anatomically shaped cork footbed, lined with lambskin shearling, and an EVA outsole.
 This style features Birkenstock's Original Footbed, a contoured cork footbed that conforms to the shape of your foot and features pronounced arch support, a deep heel cup and roomy toe box.
 Sizing note: The Boston Big Buckle Shearling is made in Birkenstock's regular width. The Shearling lining will secure a good fit also for those who usually prefers the narrow width.</t>
  </si>
  <si>
    <t>The Birkenstock Boston in a warm and plush lambskin shearling.</t>
  </si>
  <si>
    <t>boston-shearling-suede-leather-mink, boston-shearling-suede-leather-mocha, boston-wool-felt-anthracite, boston-suede-faded-purple, boston-suede-velvet-grey, boston-suede-stone-coin, boston-suede-mocha, boston-mink-suede, boston-taupe, boston-faded-lime, boston-elemental-blue, boston-suede-leather-faded-khaki</t>
  </si>
  <si>
    <t>boston-suede-faded-purple</t>
  </si>
  <si>
    <t>Boston Suede Faded Purple</t>
  </si>
  <si>
    <t>Made in Germany
 The Birkenstock Boston is a true classic that can be worn all year round, first launched in 1977. Perfect to style with a wider trousers and jeans.
 The Faded Purple Suede has gloriously supple suede uppers that hugs the foot like a second skin. It features Birkenstock's anatomically shaped cork footbed and an EVA outsole.
 This style features Birkenstock's Original Footbed, a contoured cork footbed that conforms to the shape of your foot and features pronounced arch support, a deep heel cup and roomy toe box.
 Sizing note: We carry Birkenstock in the regular width from size 41 and up, and the narrrow width from size 40 and down.</t>
  </si>
  <si>
    <t>The Birkenstock Boston in a limited colourway: Faded Purple</t>
  </si>
  <si>
    <t>boston-suede-mocha, boston-suede-stone-coin, boston-suede-velvet-grey, boston-big-buckle-fur-eggshell, boston-elemental-blue, boston-faded-lime, boston-mink-suede, boston-taupe, boston-wool-felt-anthracite, boston-shearling-suede-leather-mocha, boston-shearling-suede-leather-mink</t>
  </si>
  <si>
    <t>Bon Parfumeur</t>
  </si>
  <si>
    <t>Apothecary Unisex</t>
  </si>
  <si>
    <t>101-edp</t>
  </si>
  <si>
    <t>101 Eau de Parfum</t>
  </si>
  <si>
    <t>Made in France
 The 101 from Bon Parfumeur.
 With Damask rose essence and absolute, this fragrance reveals fresh and floral notes. Bon Perfumeur's perfumer Alexandra Monet added green and spicy cardamom to the top notes. In the heart notes, rose is enveloped in a sweet pea accord and delicate lily of the valley to accentuate the floral touch. Musk and white cedar lend a very powdery, cottony softness to the base notes, while patchouli gives 101 definite character.
 Notes: 
 Top: Bergamot, Cardamom, Lavander
 Heart: Damask rose, Lily-of -the-valley, White cedar, Sweat pea
 Base: Amber, Crystal, Patchouli, Musk
 Mix &amp; Match:
 You can mix 101 with 102 for a fresh and zesty touch. Or combine it with aquatic scent 801 with its notes of sea spray and grapefruit for a sensation reminiscent of the seaside.</t>
  </si>
  <si>
    <t>With Damask rose essence and absolute, this fragrance unveils fresh and floral notes, while green and spicy cardamom in the top notes adds a unique twist.</t>
  </si>
  <si>
    <t>102-edp</t>
  </si>
  <si>
    <t>102 Eau de Parfum</t>
  </si>
  <si>
    <t>Made in France
 The 102 from Bon Parfumeur.
 The top notes burst with colors. Bergamot reveals its floral, green and subtly fruity tones. Underpinned by coriander and cardamom, the tea notes released by this citrus fruit add a breath of freshness. The heart of this fragrance is structured around a bouquet of three flowers. Mimosa from France, violet and jasmine combine to unveil a powdery softness, as elegant as it is delicate. A backdrop of musks and oakmoss bring warmth to the trail of this creation.
 Notes:
 Top: Bergamot, Coriander, Cardamom
 Heart: Jasmine, Tea, Violet
 Base: Mimosa, Oak moss, Musk
 Mix &amp; Match:
 We suggest combining 102 and 801 for a seaside sensation that reveals bright briny notes. 102 and 402 make a marvelous pairing, enhancing the combination’s sweet, almost honeyed hints. 102 can also be combined with 101 for a fresh and zesty mix.</t>
  </si>
  <si>
    <t>The top notes reveal floral, green, and subtly fruity tones, underpinned by freshness. Bergamot, coriander, and cardamom add a breath of fresh air.</t>
  </si>
  <si>
    <t>201-edp</t>
  </si>
  <si>
    <t>201 Eau de Parfum</t>
  </si>
  <si>
    <t>Made in France
 The 201 from Bon Parfumeur.
 The bright and crisp fruits in the top notes titillate the floral touches of bergamot for real invigoration. With green apple and blackcurrant leaf, the fragrance begins with a fresh botanical dimension, conjuring up an imaginary garden. The heart presents a magnificent bouquet of magnolia, freesia, marigold and lily of the valley, which lend the creation harmony with their soft and elegant floral notes. The woody intensity of cedar and vetiver is mingled with musks to extend the wear of this ethereal fragrance.
 Notes:
 Top: Bergamot, Granny smith, Blackcurrant leaf, Pear
 Heart: Magnolia, Freesia, Tagete, Lily-of-the-valley
 Base: Cedar, Vetiver, Musk
 Mix &amp; Match:
 We suggest layering 201 and 101 to accentuate the soft floral aspects.</t>
  </si>
  <si>
    <t>The bright fruits tantalize with floral bergamot for invigoration, intertwining green apple and blackcurrant leaf, unveiling an imaginary garden.</t>
  </si>
  <si>
    <t>202-edp</t>
  </si>
  <si>
    <t>202 Eau de Parfum</t>
  </si>
  <si>
    <t>Made in France
 The 202 from Bon Parfumeur.
 This fragrance bursts with energy, evoking happiness and joy with a real fruit cocktail. Watermelon and citrus fruits: there’s nothing more refreshing on a sunny afternoon. The transparent notes of cyclamen contrast with the more velvety facets of jasmine and lily of the valley. These white flowers waft like a gentle breeze over soft Indian sandalwood.
 Notes:
 Top: Italian lemon, Grapefruit, Watermelon
 Heart: Cyclamen, Lily-of-the-valley, Mango, Redcurrant, Jasmine
 Base: Indian sandalwood, Toffee, Peach
 Mix &amp; Match:
 Layer the 202 with the 801 to add some bright sun and a gentle sea breeze to this fruity scent.</t>
  </si>
  <si>
    <t>This fragrance overflows with energy, symbolizing happiness with a real fruit cocktail. The refreshing citrus fruits on sunny afternoons contrast beautifully with soft Indian sandalwood.</t>
  </si>
  <si>
    <t>203-edp</t>
  </si>
  <si>
    <t>203 Eau de Parfum</t>
  </si>
  <si>
    <t>Made in France
 The 203 from Bon Parfumeur.
 Explosive with hints of rose, it adds a touch of sexiness. Warmed by a floral hint in the form of neroli and jasmine, it illuminates the entire creation. Vanilla, ambergris and musks intertwine, converging to become one with this fragrance.
 Notes:
 Top: Pear, Red fruits, Neroli
 Heart: Jasmine, Rose, Sunny notes
 Base: Vanilla, White wood, Grey amber, Musk
 Mix &amp; Match:
 Blending the 203 with the 901 adds sensuality and turns up the intensity.</t>
  </si>
  <si>
    <t>With hints of rose, adds a touch of sexiness with a floral hint through neroli and jasmine, illuminating the creation. Vanilla, ambergris, and musks intertwine, becoming one with this fragrance.</t>
  </si>
  <si>
    <t>301-edp</t>
  </si>
  <si>
    <t>301 Eau de Parfum</t>
  </si>
  <si>
    <t>Made in France
 The 301 from Bon Parfumeur.
 Captivating spicy amber aromas initially draws you in to this fragrance. The top notes see a battle between warm and cold spices, with cumin vying cardamom to create a tension that exhilarates the entire scent. Behind this power lies the floral softness of jasmine, which adds volume and carries the sandalwood. The rich and intense facets of this wood become warm, sweet and milky. With its distinguished notes of dry woods, cedar elegantly completes the composition.
 Notes:
 Top: Cypress, Cumin, Ylang Ylang, Thyme, Cardamom
 Heart: Jasmine, Coconut, Cedar
 Base: Sandalwood, Benzoin, Patchouli, Amber
 Mix &amp; Match:
 The soft and creamy woody notes of our 301 meet the oriental notes of 401's candied fruit, and the combination is hypnotising., amber, cardamom. Woody.</t>
  </si>
  <si>
    <t>Captivating spicy amber draws in with warm and cold spices. Cumin and cardamom create tension, exhilarating the scent, floral softness of jasmine adds volume, carrying sandalwood into warm, sweet, milky notes. Cedar elegantly completes.</t>
  </si>
  <si>
    <t>302-edp</t>
  </si>
  <si>
    <t>302 Eau de Parfum</t>
  </si>
  <si>
    <t>Made in France
 The 302 from Bon Parfumeur.
 It all begins with a sharp, spicy opening led by red berries. Iris ignites the fragrance by unleashing its velvety-soft dark floral facets. Vanilla and incense reveal dense smooth notes, setting the heart alight and turning up the temperature. Before a balanced blend of sandalwood, amber and musk captivates us with its warm and balsamic notes.
 Notes:
 Top: Red berries, Geranium
 Heart: Incense, Vanilla
 Base: Amber, Sandalwood, Musk
 Mix &amp; Match:
 Have you tried layering 302 and 801? This aquatic fragrance lends a breath of freshness and boosts the amber facets. 401 brings strength and character and adds body with its fruity notes.</t>
  </si>
  <si>
    <t>Iris reveals its velvety dark floral facets. Vanilla and incense unveil smooth notes, turning up the heart's temperature before sandalwood, amber, and musk captivate with warm balsamic notes.</t>
  </si>
  <si>
    <t>402-edp</t>
  </si>
  <si>
    <t>402 Eau de Parfum</t>
  </si>
  <si>
    <t>Made in France
 The 402 from Bon Parfumeur.
 A caressing velvetysoft vanilla. Almond flower and heliotrope combine and enhance this Madagascan pod with their powdery facets. A shift toward woody and musky facets fills the air. Soft and milky sandalwood brings warmth to this fragrance, velvety and sweet with a head-turning toffeescented trail.
 Notes: 
 Top: Apple, Almond flower
 Heart: Madagascan vanilla, Heliotrope
 Base: Icing sugar, Musk, Benzoin, Santal, Toffee
 Mix &amp; Match:
 When combined with 202, 402 reveals its full opulence and richness. Pair it with 901 for more intense woody notes.</t>
  </si>
  <si>
    <t>A velvety soft vanilla caressing with almond flower and heliotrope, enhancing the Madagascan pod with powdery facets. A shift toward woody and musky facets fills the air.</t>
  </si>
  <si>
    <t>601-edp</t>
  </si>
  <si>
    <t>601 Eau de Parfum</t>
  </si>
  <si>
    <t>Made in France
 The 601 from Bon Parfumeur.
 Pink pepper, grapefruit and bergamot turn on their charms, driving us crazy with their fresh bursting notes. At the heart of the fragrance, dazzling violet adds a floral dimension. We love the winning trio of woods in the background: cedar, sandalwood and vetiver. A distinguished fragrance signature that makes a strong impression.
 Notes:
 Top: Bergamot, Pink pepper, Grapefruit
 Heart: Pepper, Violet
 Base: Cedar, Sandalwood, Vetiver</t>
  </si>
  <si>
    <t>Pink pepper, grapefruit, and bergamot charm with fresh notes. Violet adds a floral dimension. Cedar, sandalwood, and vetiver create a distinguished fragrance signature.</t>
  </si>
  <si>
    <t>602-edp</t>
  </si>
  <si>
    <t>602 Eau de Parfum</t>
  </si>
  <si>
    <t>Made in France
 The 602 from Bon Parfumeur.
 This woody fragrance with the biting spices of the South Seas creates that unique comforting sensation characteristic of woody scents. 602 opens on sunny notes of neroli as they meet the spicy freshness of West Indian bay and unleash spicy floral notes. The heart reveals a cold and spicy character with Madagascan black pepper, Somalian frankincense, and Cedar, which sets a mysterious tone. In the base notes, woody essences of patchouli, vetiver, and benzoin resin add smoky hintsreminiscent of a spicy fougère scent. 602 is a woody fragrance with spicy touches closer to the woody spicy family than woody oriental. This woody 602, which borders on a fougère fragrance, will appeal to all noses – from the simplest to the most complex.
 Notes:
 Top: St Thomas berries, Incense, Neroli
 Heart: Chilli pepper, Cedar
 Base: Incense, Patchouli, Vetiver, Benzoin
 Mix &amp; Match:
 For a fresher quality, we suggest mixing the woody spicy 602 with 801 for a seaside sensation.</t>
  </si>
  <si>
    <t>602, with its biting spices from the South Seas, provides a comforting sensation through its unique woody scents.</t>
  </si>
  <si>
    <t>701-edp</t>
  </si>
  <si>
    <t>701 Eau de Parfum</t>
  </si>
  <si>
    <t>Made in France
 The 701 from Bon Parfumeur.
 701 begins with substantial, slightly fruity freshness and a hint of bitterness lent by the duo of grapefruit and bergamot. 701 bursts with spices and aromatics; pepper, rosemary, coriander, eucalyptus, cypress – and a subtle note of cannabis. They turn up the temperature and combine marvelously with the white wood, amber and frankincense.
 Notes:
 Top: Grapefruit, Bergamot, Pineapple
 Heart: Pepper, Rosemary, Eucalyptus, Nutmeg
 Base: Incense, Liatris, White wood, Amber
 Mix &amp; Match: 
 Layering 701 with 901 evokes sensual, earthy fragrances featuring rich botanical notes and spicy scents.</t>
  </si>
  <si>
    <t>701 with substantial freshness, slight fruity hint, and a bit of bitterness, lent by grapefruit and bergamot duo.</t>
  </si>
  <si>
    <t>801-edp</t>
  </si>
  <si>
    <t>801 Eau de Parfum</t>
  </si>
  <si>
    <t>Made in France
 The 801 from Bon Parfumeur.
 Sea, spray and sun! Like the sea breeze brushing against our face, 801 refreshes us with its trio of Italian citrus fruits. This wind then picks up, sending spices, pink pepper and nutmeg swirling. The rows of cedars and cypresses fill the air with their facets of wood dried by the sun’s rays. A summer fragrance to wear all year round.
 Notes:
 Top: Italian lemon, Mandarin, Ivy, Grapefruit
 Heart: Rosemary, Pink pepper, Nutmeg, Sea Spray
 Base: Cedar, Cypress, White musks
 Mix &amp; Match: 
 801 is one of the most versatile scents with regards to mixing, adding an immediate seaside sensation.Try combining it with the floral 101 and 102 or the fruity 202 for bright summery scents, or layer it with the spicy 302 for a fresh scent with deep notes of amber.</t>
  </si>
  <si>
    <t>Sea breeze brushes our face, refreshing with Italian citrus trio. Wind carries spices, pink pepper, nutmeg amidst sun-dried woods. A fragrance of sea, spray, sun, for all year round.</t>
  </si>
  <si>
    <t>902-edp</t>
  </si>
  <si>
    <t>902 Eau de Parfum</t>
  </si>
  <si>
    <t>Made in France
 The 902 from Bon Parfumeur.
 902 opens on fresh and zesty notes lent by orange, basil and ginger. Then in its heart, the intoxicating spicy heat of a cinnamon and clove duo takes us toward a more narcotic base. With odours of dried tobacco-scented leaves and the aromas of armagnac, the richness and intensity of this fragrance is fully revealed, giving way to a daring trail.
 Notes:
 Top: Orange, Basil, Ginger, Cognac
 Heart: Cinnamon, Clove, Geranium, Plum
 Base: Patchouly, Labdanum, Vanilla, Tobacco</t>
  </si>
  <si>
    <t>902 unfurls with orange, basil, and ginger, leading to a heart warmed by cinnamon and clove, finishing on notes of tobacco and armagnac for a daring trail.</t>
  </si>
  <si>
    <t>901-edp</t>
  </si>
  <si>
    <t>901 Eau de Parfum</t>
  </si>
  <si>
    <t>Made in France
 The 901 from Bon Parfumeur.
 A shot of ginger awakens the first citrus notes of mandarin and grapefruit. The warmth of spices emerges: Black pepper, chili and nutmeg. Almond then reveals its softness and marks the transition toward sweet vanilla facets. Tonka bean, patchouli and musk scent the skin with their tremendously sensual aromas. A trail with an assertive character.
 Notes:
 Top: Mandarin, Grapefruit, Ginger
 Heart: Black pepper, Chilli, Blond wood, Nutmeg, Almond
 Base: Patchouli, Musk, Tonka bean, Vanilla
 Mix &amp; Match:
 Layer 901 with the oriental 402 to reveal intense woody notes. Combining 901 with the fruity 203 results in a sensual fruity scent.</t>
  </si>
  <si>
    <t>A shot awakens citrus notes of mandarin and grapefruit, while warmth of spices, black pepper, chili, and nutmeg emerges, transitioning to sweet vanilla facets.</t>
  </si>
  <si>
    <t>solid-soap-101</t>
  </si>
  <si>
    <t>Solid soap 101</t>
  </si>
  <si>
    <t>cologne-intense-003</t>
  </si>
  <si>
    <t>003 Cologne Intense</t>
  </si>
  <si>
    <t>Made in Portugal
 Our big coat Blake. Full length, featuring a wide collar, and hidden mother of pearl buttons down the front. A wide silhouette that has room for heavy layering, or a full suit, while still feeling relaxed and unconstricting. Inner pocket at the chest, and hand warmer pockets at the hips.
 Made in an incredibly soft, brushed 100% recycled superfine wool fabric made by Manteco in Tuscany, Italy, resulting in a hefty, warm and comfortable coat. Recycled superfine wool fibres are carded and spun with traditional methods, and the fabric is woven with a special construction that allows for the strong brushing process creating the long hair finish. The colour of the fabric is acheived entirely without any additional dyeing. 
 Details:
 - 680 gsm brushed recycled wool fabric spun and woven by Manteco in Italy
 - 100% recycled superfine wool, 17-19 μm
 - Yarns made through the traditional carded spinning process
 - Made without dyeing
 - Mother of pearl buttons made by Louropel in Italy
 - Stitched with durable poly-core cotton thread
 - Cut &amp; sewn by DIA in Portugal</t>
  </si>
  <si>
    <t>This Cologne Intense series cologne features fresh classic scents with Eau de Parfum quality.</t>
  </si>
  <si>
    <t>702-edp</t>
  </si>
  <si>
    <t>702 Eau de Parfum</t>
  </si>
  <si>
    <t>Made in France
 The 702 from Bon Parfumeur.
 The top notes unleash notes of incense, elemi, lemon and pink pepper, forming a half-spicy, half-green blend that issues floral hints and a touch of French lavender from the south of France. The olfactory journey draws to a close with cashmere wood, vanilla, balsam of Peru and white musk. Fresh yet warm, traditional yet rock ‘n’ roll, understated yet full of personality, 702 is a fragrance of contradictions that will appeal to the curious at heart.
 Notes:
 Top: Incense, elemi, lemon, pink berry
 Heart: Lavender, cashmere wood, cedar 
 Base: Peru balsam, vanilla, white musk
 Mix &amp; Match:
 702 Layered with the aquatic 801 creates a deep but delicate blend that definitely evokes distant and exotic destinations.</t>
  </si>
  <si>
    <t>The top notes feature incense, lemon, and pink pepper, blending spicy and green hints with French lavender. The journey ends with cashmere wood, vanilla, and white musk, crafting a fresh yet warm fragrance for the curious.</t>
  </si>
  <si>
    <t>106-eau-de-parfum</t>
  </si>
  <si>
    <t>106 Eau de Parfum</t>
  </si>
  <si>
    <t>Made in France
 The 106 from Bon Parfumeur.
 Intoxicating and smooth, the Damascena rose radiates throughout the 106 fragrance. A twist of pink pepper brings a touch of freshness. Then, the velvet-touch rose petals combine with the musky and vanilla notes of the creation.
 Notes:
 Top: Incense, elemi, lemon, pink berry
 Heart: Lavender, cashmere wood, cedar 
 Base: Peru balsam, vanilla, white musk
 Mix &amp; Match:
 106 is a great scent to play around with. Mix it with the fruity 203 for a summery union of raspberry and rose. The spicy 601 softens the sweet tones of rose, or do the opposite with the floral 101 wich really turns up the rose!</t>
  </si>
  <si>
    <t>Intoxicating, smooth Damascena rose radiates. A twist of pink pepper brings freshness. Velvet-touch rose petals combine with musky, vanilla notes.</t>
  </si>
  <si>
    <t>802-eau-de-parfum</t>
  </si>
  <si>
    <t>802 Eau de Parfum</t>
  </si>
  <si>
    <t>Made in France
 The 802 from Bon Parfumeur.
 Initially fresh and green, the fragrance blooms in the morning dew, awoken by fruity aromas of blackcurrant and osmanthus. Peony then reveals its full beauty, intoxicating us with its delicately floral rose-tinged facets. Lotus and bamboo join peony, revealing their tender aquatic notes. Ethereal musks help this creation to diffuse readily. A very fresh fragrance.
 Notes:
 Top: Violet leaves, blackcurrant, osmanthus
 Heart: Freesia, peony, rose, lotus
 Base: Musk, bamboo
 Mix &amp; Match:
 Layer 802 with the 201 for a combination that evokes the countryside with spashes of sea spray combined with floral and fruity notes of apple and pears.</t>
  </si>
  <si>
    <t>Initially fresh, the fragrance blooms in morning dew, awakening with fruity aromas of blackcurrant and osmanthus. Peony reveals its beauty, with delicate, floral rose-tinged facets.</t>
  </si>
  <si>
    <t>Apothecary</t>
  </si>
  <si>
    <t>001-cologne-intense</t>
  </si>
  <si>
    <t>001 Cologne Intense</t>
  </si>
  <si>
    <t>Made in France
 The 001 from Bon Parfumeur's Cologne Intense series. Fresh takes on classic Cologne scents with Eau de Parfum concentrations and quality.
 A trio of sparkling citrus fruits awaken this timeless cologne: Bergamot and lavandin combine with the sweetness of orange blossom, and musky base notes add lasting hold. Much more than a simple fresh cologne, it sticks to our skin.
 Notes:
 Top: Bergamot, Lemon and Mandarin
 Heart: Petit grain, Orange blossom and Lavandin
 Base: Musk, Jasmine and Rosemary
 Mix &amp; Match:
 Being a cologne fragrance, the 001 is perfect as a base for other scents. Combining it with the 901 creates a more complex fragrance with a more intense wake. The 001 layered with the 601 becomes a fresher fragrance with stronger woody notes.</t>
  </si>
  <si>
    <t>A trio of citrus fruits invigorates this cologne: Bergamot and lavandin blend with orange blossom sweetness, while musky base notes add depth. More than a simple fresh scent, it lingers on the skin.</t>
  </si>
  <si>
    <t>needle-tee-white</t>
  </si>
  <si>
    <t>roth-moonlight-overdye</t>
  </si>
  <si>
    <t>002-cologne-intense</t>
  </si>
  <si>
    <t>002 Cologne Intense</t>
  </si>
  <si>
    <t>Made in France
 The 002 from Bon Parfumeur's Cologne Intense series. Fresh takes on classic Cologne scents with Eau de Parfum concentrations and quality.
 A vibrant start with bergamot that meets the luminous neroli and jasmine. These flowers are joined by the sweetness of musk and white amber.
 Notes:
 Top: Bergamot, Neroli and Violet leaves
 Heart: Jasmine, Lily of the valley and Peony
 Base: Musks, White amber and Honey
 Mix &amp; Match:
 Being a cologne fragrance, the 002 is perfect as a base for other scents. Combining it with the 701 reveals more aromatic notes. The 002 layered with the 302 brings warm intensity with amber and spice.</t>
  </si>
  <si>
    <t>A vibrant bergamot meets luminous neroli and jasmine, joined by sweet musk and white amber.</t>
  </si>
  <si>
    <t>nelson-grisaille-overdye</t>
  </si>
  <si>
    <t>roth-white</t>
  </si>
  <si>
    <t>004-cologne-intense</t>
  </si>
  <si>
    <t>004 Cologne Intense</t>
  </si>
  <si>
    <t>Made in France
 The 004 from Bon Parfumeur's Cologne Intense series. Fresh takes on classic Cologne scents with Eau de Parfum concentrations and quality.
 A gin and tonic effect brought by juniper berries, followed by fresh citrus: Lemon, bergamot and tangerine form an echo of vitality. Then, a small note of nutmeg comes to excite our hearts. In the base, we find patchouli and tonka bean that warms and brings hold.
 Notes:
 Top: Lemon, Bergamot and Mandarin
 Heart: Juniper berries, Ginger and Nutmeg
 Base: Tobacco, Patchouli and Musks
 Mix &amp; Match:
 Being a cologne fragrance, the 004 is perfect as a base for other scents. 
 Combining it with the 801 reveals transparent, fizzy and fruity notes. The 004 layered with the 702 creates a daring blend with aromatic facets.</t>
  </si>
  <si>
    <t>A gin and tonic effect with juniper berries, followed by fresh citrus: Lemon, bergamot, and tangerine. A vitality echo, then a nutmeg note excites. Base finds patchouli and tonka bean, bringing warmth and hold.</t>
  </si>
  <si>
    <t>nash-femme-black</t>
  </si>
  <si>
    <t>303-eau-de-parfum-les-prives</t>
  </si>
  <si>
    <t>303 Eau De Parfum Les Privés</t>
  </si>
  <si>
    <t>Made in France
 The 303 from Bon Parfumeur's «Les Privés» collection of rare and intense perfumes made with exceptional ingredients.
 The 303 makes pepper and chili dance in the head. Initially spicy, the fragrance warms up around cardamom and then displays its floral ylang ylang heart. The amber notes of benzoin and Tolu balsam leave intensely sensual scents on the skin.
 Notes:
 Top: Cardamom, Pink pepper and Chilli
 Heart: Ylang Ylang, Patchouli and Tolu Balsam
 Base: Vetiver, Bejoin and Musks
 Mix &amp; Match:
 Layer 903 with the 003 for a sparkling start, or the 203 to add some fruit to the spice.</t>
  </si>
  <si>
    <t>The 303 engages in a dance of pepper and chili, warming around cardamom, revealing a floral heart with ylang ylang. Benzoin and Tolu balsam notes leave sensual scents on the skin.</t>
  </si>
  <si>
    <t>tuck-black, dahle-charcoal</t>
  </si>
  <si>
    <t>401-eau-de-parfum</t>
  </si>
  <si>
    <t>401 Eau De Parfum</t>
  </si>
  <si>
    <t>Made in France
 The 401 from Bon Parfumeur.
 A fragrant liquor with fruity and vanilla accents. A fresh and spicy trio of cypress, elemi and bergamot to start. Then the plum reveals sweet and bewitching candied fruit tones, balanced by the elegance of cedar wood. The vanilla signs the strong character of this creation by bringing roundness and sensuality.
 Notes:
 Top: Cypress, Elemi and Bergamot
 Heart: Plum, Cinnamon leaf and Incense
 Base: Labdanum, Vanilla and Cedar
 Mix &amp; Match:
 Layer the 401 on top of the citrusy cologne base of the 001 for a fresher fragrance, or combine it with the 602 for a deep woody trail.</t>
  </si>
  <si>
    <t>A fragrant liquor with fruity and vanilla accents. Fresh and spicy, revealing sweet candied fruit tones, elegantly balanced. Vanilla brings roundness and sensuality, creating a strong character.</t>
  </si>
  <si>
    <t>nelson-putty-overdye</t>
  </si>
  <si>
    <t>tiki-japan-charcoal-noil-silk</t>
  </si>
  <si>
    <t>501-eau-de-parfum</t>
  </si>
  <si>
    <t>501 Eau De Parfum</t>
  </si>
  <si>
    <t>Made in France
 The 501 from Bon Parfumeur.
 The 501 is a gourmand fragrance with the smell of your first childhood pleasures! Hazelnut sets the tone, then in the heart, praline and liquorice form a bubble of softness. Powdery iris launches the transition to musky notes. A deliciously addictive fragrance, with a strong patchouli trail.
 Notes:
 Top: Bergamot, Hazelnut and Yuzu
 Heart: Iris, Praline and Liquorice
 Base: Amber, Musk and Patchouli
 Mix &amp; Match:
 Layer the 501 with the 302 for a spicy opening with deeper amber notes, or the 601 for a woody fragrance.</t>
  </si>
  <si>
    <t>The 501 is a gourmand scent, evoking childhood pleasures with hazelnut, then praline and liquorice, transitioning to musky notes through powdery iris, ending with a strong patchouli trail.</t>
  </si>
  <si>
    <t>603-eau-de-parfum-les-prives</t>
  </si>
  <si>
    <t>603 Eau De Parfum Les Privés</t>
  </si>
  <si>
    <t>Made in France
 The 603 from Bon Parfumeur's «Les Privés» collection of rare and intense perfumes made with exceptional ingredients.
 The 603 is a mystical leather scent with a citrusy start refreshed by the aromatic facets of cypress. The fragrance continues with notes of leather that mix with incense. Cashmere wood and tonka bean give a warmer and more sensual dimension to the trail.
 Notes:
 Top: Lemon, Nutmeg and Vioelt leaf
 Heart: Incense, Cypress and Clary sage
 Base: Leather, Tonka bean and Cashmeran
 Mix &amp; Match:
 Layer 603 with the 004 for a fresher fragrance, or the 902 for more intensity.</t>
  </si>
  <si>
    <t>The 603 is a mystical leather scent with citrusy start, enriched by cypress' aromatic facets. The fragrance evolves with incense and leather, while cashmere wood and tonka bean add warmth to the sensual trail.</t>
  </si>
  <si>
    <t>803-eau-de-parfum</t>
  </si>
  <si>
    <t>803 Eau de Parfum</t>
  </si>
  <si>
    <t>Made in France
 The 803 from Bon Parfumeur.
 The 803 displays a palpable tension between hot and cold. The fragrance begins on a frosted note with marine accents, warmed by a spicy combination of ginger, pink pepper and juniper berry. The patchouli is intense, warm and powerful.
 Notes:
 Top: Pink pepper, Juniper berry and Ginger
 Heart: Aniseed, Ylang Ylang and Sea spray
 Base: Patchouli, Seaweed and Ambergris
 Mix &amp; Match:
 Layer 803 with fresh vetiver from the 601, for a woodier scent with a hint of citrus.</t>
  </si>
  <si>
    <t>The 803 fragrance juxtaposes the hot and cold, starting with marine frosted notes and warming into a spicy blend of ginger, pink pepper, and juniper berry for a powerful scent.</t>
  </si>
  <si>
    <t>903-eau-de-parfum-les-prives</t>
  </si>
  <si>
    <t>903 Eau De Parfum Les Privés</t>
  </si>
  <si>
    <t>Made in France
 The 903 from Bon Parfumeur's «Les Privés» collection of rare and intense perfumes made with exceptional ingredients.
 The fragrance opens with an intriguing contrast between the fresh notes of Nepalese berries and the warm notes of saffron. The body of the fragrance is designed around oud and musk, supported by other powerful woods. A bewitching and very sensual perfume.
 Notes:
 Top: Coriander seed, Nepalese berries, Saffron
 Heart: Powdery accord, Tonkin musk accord, Cashmere wood
 Base: Oud, Patchouli, Sandalwood
 Mix &amp; Match:
 Layer 903 with the 003 for a fresher fragrance, or the 401 for a fruity and round scent.</t>
  </si>
  <si>
    <t>The fragrance opens with Nepalese berries and saffron warmth, evolving into a powerful blend of oud, musk, and woods, creating a bewitching and sensual perfume.</t>
  </si>
  <si>
    <t>103-eau-de-parfum</t>
  </si>
  <si>
    <t>103 Eau De Parfum</t>
  </si>
  <si>
    <t>104-eau-de-parfum-les-prives</t>
  </si>
  <si>
    <t>104 Eau De Parfum Les Privés</t>
  </si>
  <si>
    <t>904-eau-de-parfum-afterhomework</t>
  </si>
  <si>
    <t>904 Afterhomework Eau De Parfum</t>
  </si>
  <si>
    <t>Made in France
 The 904 Afterhomework from Bon Parfumeur is a captivating nightlife scent.
 Fresh, strongly spiced and intensely woody, with notes of tobacco and iced vodka. Burning freshness between juniper berry, cinnamon and patchouli.
 Notes:
 Top: Bitter Orange, Juniper, Peppermint
 Heart: Cinnamon, Vodka, Pink Pepper
 Base: Patchouli, Vetiver, Tobacco</t>
  </si>
  <si>
    <t>Fresh, strongly spiced and intensely woody, with notes of tobacco and iced vodka. Burning freshness between juniper berry, cinnamon and patchouli.</t>
  </si>
  <si>
    <t>Chimi</t>
  </si>
  <si>
    <t>Sunglasses</t>
  </si>
  <si>
    <t>01-black</t>
  </si>
  <si>
    <t>01 Black</t>
  </si>
  <si>
    <t>Chimi's 01 is a sophisticated frame designed to complement all occasions. Slightly rounded and suitable for different face shapes.
 01 is handcrafted with premium Italian acetate and CR-39 lenses with 100% UV (400) Protection. The temple and front are connected by an OBE seven- barrel hinge. Complete with the engraved Chimi logo.</t>
  </si>
  <si>
    <t>01 is crafted with premium acetate and CR-39 lenses offering 100% UV protection. Featuring an OBE seven-barrel hinge and engraved logo, designed to elevate every occasion.</t>
  </si>
  <si>
    <t>01-brown, 01-green, 01-ecru, 01-light-green</t>
  </si>
  <si>
    <t>04-pink-l</t>
  </si>
  <si>
    <t>04L Pink</t>
  </si>
  <si>
    <t>Chimi's 04L is a frame with a minimalistic aesthetic versatile in style.
 04L is handcrafted with premium Italian acetate and CR-39 lenses with 100% UV (400) Protection. The temple and front are connected by an OBE seven-barrel hinge. Complete with the engraved Chimi logo.</t>
  </si>
  <si>
    <t>Handcrafted premium CR-39 lenses with 100% UV (400) Protection. Connected by an OBE seven-barrel hinge. Engraved Chimi logo.</t>
  </si>
  <si>
    <t>04-black-l, 04-green-l, 04-ecru-l</t>
  </si>
  <si>
    <t>05-ecru</t>
  </si>
  <si>
    <t>05 Ecru</t>
  </si>
  <si>
    <t>Chimi's 05's angular silhouette is detailed with bold edges and thick corners.
 05 is handcrafted with premium Italian acetate and CR-39 lenses with 100% UV (400) Protection. The temple and front are connected by a Comotec five-barrel hinge. Complete with the engraved Chimi logo.</t>
  </si>
  <si>
    <t>05 features premium Italian acetate and CR-39 lenses with UV protection. They're connected by a Comotec five-barrel hinge and display the engraved Chimi logo.</t>
  </si>
  <si>
    <t>05-black, 05-brown, 05-clear, 05-dark-grey, 05-light-green</t>
  </si>
  <si>
    <t>09-pink</t>
  </si>
  <si>
    <t>09 Pink</t>
  </si>
  <si>
    <t>Chimi's 09, the contemporary cat-eye. This frame is designed with voluminous temples and soft edges.
 09 is handcrafted with premium Italian acetate and CR-39 lenses with 100% UV (400) Protection. The temple and front are connected by a Comotec five-barrel hinge. Complete with the engraved Chimi logo.</t>
  </si>
  <si>
    <t>09 features a cat-eye design with voluminous temples, crafted with premium acetate and CR-39 lenses offering 100% UV protection, connected by a five-barrel hinge and engraved with the Chimi logo.</t>
  </si>
  <si>
    <t>aviator-green</t>
  </si>
  <si>
    <t>Steel Aviator Green</t>
  </si>
  <si>
    <t>Chimi's Aviator is a contemporary angular take on the classic aviator style.
 The frames are handcrafted from stainless steel, with polarised lenses.</t>
  </si>
  <si>
    <t>Chimi's Aviator is a contemporary angular take on the classic aviator style.</t>
  </si>
  <si>
    <t>aviator-brown</t>
  </si>
  <si>
    <t>Steel Aviator Brown</t>
  </si>
  <si>
    <t>steel-polygon-grey</t>
  </si>
  <si>
    <t>Steel Polygon Grey</t>
  </si>
  <si>
    <t>Chimi's Polygon gives a geometric spin on the rectangular silhouette.
 The steel Round sunglasses feature an ultra-light frame handcrafted from stainless steel with cylinder shaped temples.</t>
  </si>
  <si>
    <t>The sunglasses have a handcrafted stainless steel frame with cylinder-shaped temples, featuring an ultra-light design.</t>
  </si>
  <si>
    <t>01-2-black</t>
  </si>
  <si>
    <t>01.2 Black</t>
  </si>
  <si>
    <t>Chimi's 01 is a classic rounded silhouette with a sculptural temple construction. Fitted with UV-protective CR39 lenses, silver-toned rivet hinges and finished with a beveled brow for an elegant profile.
 Handcrafted in premium Acetate Renew, composed of 42% wood cellulose and 28% certified recycled plastic waste, with a customized CHIMI metal core.
 Each pair comes with a branded case, pouch and cleaning cloth.</t>
  </si>
  <si>
    <t>Chimi's 01 is a classic rounded silhouette with a sculptural temple construction. Fitted with UV-protective CR39 lenses, silver-toned rivet hinges and finished with a beveled brow for an elegant profile.</t>
  </si>
  <si>
    <t>01-2-black, 01-2-brown, 01-2-green, 01-2-light-brown, 01-2-sage</t>
  </si>
  <si>
    <t>01-2-brown</t>
  </si>
  <si>
    <t>01.2 Brown</t>
  </si>
  <si>
    <t>01-2-green</t>
  </si>
  <si>
    <t>01.2 Green</t>
  </si>
  <si>
    <t>01-2-sage</t>
  </si>
  <si>
    <t>01.2 Sage</t>
  </si>
  <si>
    <t>04-2-light-brown</t>
  </si>
  <si>
    <t>04.2 Light Brown</t>
  </si>
  <si>
    <t>Chimi's 04 is a stylistic silhouette creating dynamic contrast with a strong rectangular frame and slim sides. Finished with silver-tone rivet hinges and deep bevel cuts along the UV-protective, flat CR39 lenses.
 Handcrafted in premium Acetate Renew, composed of 42% wood cellulose and 28% certified recycled plastic waste, with a customized CHIMI metal core.
 Each pair comes with a branded case, pouch and cleaning cloth.</t>
  </si>
  <si>
    <t>Chimi's 04 is a stylistic silhouette creating dynamic contrast with a strong rectangular frame and slim sides. Finished with silver-tone rivet hinges and deep bevel cuts along the UV-protective, flat CR39 lenses.</t>
  </si>
  <si>
    <t>04-2-l-black, 04-2-l-green, photocromic-04-solid-black</t>
  </si>
  <si>
    <t>05-2-black</t>
  </si>
  <si>
    <t>05.2 Black</t>
  </si>
  <si>
    <t>Chimi's 05 is a structural square-shaped silhouette with emphasis on architectural angles. The minimalist frame features distinct linear bevels at the temples for a sartorial look. Fitted with UV-protective CR39 lenses.
 Handcrafted in premium Acetate Renew, composed of 42% wood cellulose and 28% certified recycled plastic waste, with a customized CHIMI metal core.
 Each pair comes with a branded case, pouch and cleaning cloth.</t>
  </si>
  <si>
    <t>Chimi's 05 is a structural square-shaped silhouette with emphasis on architectural angles. The minimalist frame features distinct linear bevels at the temples for a sartorial look. Fitted with UV-protective CR39 lenses.</t>
  </si>
  <si>
    <t>05-2-brown, 05-2-dark-grey, 05-2-light-brown, 05-2-sage</t>
  </si>
  <si>
    <t>05-2-brown</t>
  </si>
  <si>
    <t>05.2 Brown</t>
  </si>
  <si>
    <t>05-2-black, 05-2-dark-grey, 05-2-light-brown, 05-2-sage</t>
  </si>
  <si>
    <t>05-2-dark-grey</t>
  </si>
  <si>
    <t>05.2 Dark Grey</t>
  </si>
  <si>
    <t>05-2-black, 05-2-brown, 05-2-light-brown, 05-2-sage</t>
  </si>
  <si>
    <t>05-2-light-brown</t>
  </si>
  <si>
    <t>05.2 Light Brown</t>
  </si>
  <si>
    <t>05-2-black, 05-2-brown, 05-2-dark-grey, 05-2-sage</t>
  </si>
  <si>
    <t>05-2-sage</t>
  </si>
  <si>
    <t>05.2 Sage</t>
  </si>
  <si>
    <t>05-2-black, 05-2-brown, 05-2-dark-grey, 05-2-light-brown</t>
  </si>
  <si>
    <t>09-3-dark-grey</t>
  </si>
  <si>
    <t>09.3 Dark Grey</t>
  </si>
  <si>
    <t>Chimi's 09 is an agile oval-contoured frame with bevel cuts and leveled temples, creating a seamless silhouette that subtly curves around the face. Fitted with softly rounded UV-protective CR39 lenses.
 Handcrafted in premium Acetate Renew, composed of 42% wood cellulose and 28% certified recycled plastic waste, with a customized CHIMI metal core.
 Each pair comes with a branded case, pouch and cleaning cloth.</t>
  </si>
  <si>
    <t>Chimi's 09 is an agile oval-contoured frame with bevel cuts and leveled temples, creating a seamless silhouette that subtly curves around the face. Fitted with softly rounded UV-protective CR39 lenses.</t>
  </si>
  <si>
    <t>10-3-indigo</t>
  </si>
  <si>
    <t>10.3 Indigo</t>
  </si>
  <si>
    <t>Chimi's 10 is a slim rectangular silhouette, creating a sharp look with a low-slung profile sitting comfortably on the bridge of the nose. Fitted with UV-protective CR39 lenses.
 Handcrafted in premium Acetate Renew, composed of 42% wood cellulose and 28% certified recycled plastic waste, with a customized CHIMI metal core.
 Each pair comes with a branded case, pouch and cleaning cloth.</t>
  </si>
  <si>
    <t>Chimi's 10 is a slim rectangular silhouette, creating a sharp look with a low-slung profile sitting comfortably on the bridge of the nose. Fitted with UV-protective CR39 lenses.</t>
  </si>
  <si>
    <t>11-2-tortoise</t>
  </si>
  <si>
    <t>11.2 Tortoise</t>
  </si>
  <si>
    <t>Chimi's 11 is an androgynous and angular silhouette. The thick frame is designed to feel graphic and strong, balancing audacious proportions with refined curvature and sleek, beveled temples. Fitted with softly rounded UV-protective CR39 lenses.
 Handcrafted in premium Acetate Renew, composed of 42% wood cellulose and 28% certified recycled plastic waste, with a customized CHIMI metal core.
 Each pair comes with a branded case, pouch and cleaning cloth.</t>
  </si>
  <si>
    <t>Chimi's 11 is an androgynous and angular silhouette. The thick frame is designed to feel graphic and strong, balancing audacious proportions with refined curvature and sleek, beveled temples. Fitted with softly rounded UV-protective CR39 lenses.</t>
  </si>
  <si>
    <t>12-black</t>
  </si>
  <si>
    <t>12 Black</t>
  </si>
  <si>
    <t>Chimi's 12 is a rectangular frame balanced by softened contours, slightly tilted for a charismatic touch of attitude. Understated bevel cuts frame the UV-protective CR39 lenses.
 Handcrafted in premium Acetate Renew, composed of 42% wood cellulose and 28% certified recycled plastic waste, with a customized CHIMI metal core.
 Each pair comes with a branded case, pouch and cleaning cloth.</t>
  </si>
  <si>
    <t>Chimi's 12 is a rectangular frame balanced by softened contours, slightly tilted for a charismatic touch of attitude.</t>
  </si>
  <si>
    <t>12-tortoise</t>
  </si>
  <si>
    <t>12 Tortoise</t>
  </si>
  <si>
    <t>Chimi's 12 is a rectangular frame balanced by softened contours, slightly tilted for a charismatic touch of attitude. Understated bevel cuts frame the UV-protective CR39 lenses.</t>
  </si>
  <si>
    <t>photocromic-10-solid-dark-grey</t>
  </si>
  <si>
    <t>Photocromic 10 Solid Dark Grey</t>
  </si>
  <si>
    <t>From Chimi's Lab collection with limited productions of highly relevant eyewear, comes the Photocromic 10, made with UV-protective photochromic lenses that darken within 60 seconds of being exposed to sunlight.
 Made in their 10 style, a slim rectangular silhouette, creating a sharp look with a low-slung profile sitting comfortably on the bridge of the nose.
 Handcrafted in premium Acetate Renew, composed of 42% wood cellulose and 28% certified recycled plastic waste, with a customized CHIMI metal core.
 Each pair comes with a branded case, pouch and cleaning cloth.</t>
  </si>
  <si>
    <t>From Chimi's Lab collection with limited productions of highly relevant eyewear, comes the Photocromic 10, made with UV-protective photochromic lenses that darken within 60 seconds of being exposed to sunlight.</t>
  </si>
  <si>
    <t>reach-matte-black</t>
  </si>
  <si>
    <t>Reach Matte Black</t>
  </si>
  <si>
    <t>From Chimi's Lab collection with limited productions of highly relevant eyewear, comes Reach.
 Turn-of-the-century minimalist and bold, Reach is a wraparound silhouette made in lightweight, titanium. Fitted with UV-protective lenses that are polarized for maximum visual clarity and comfort. The streamlined cylinder-shaped temples are set with spring hinges that allow them to bend past ninety degrees for improved flexibility and an adjustable fit.
 Each pair comes with a branded case, pouch and cleaning cloth.</t>
  </si>
  <si>
    <t>Turn-of-the-century minimalist and bold, Reach is a wraparound silhouette made in lightweight, titanium. Fitted with UV-protective lenses that are polarized for maximum visual clarity and comfort.</t>
  </si>
  <si>
    <t>reach-silver</t>
  </si>
  <si>
    <t>Reach Silver</t>
  </si>
  <si>
    <t>rimless-oval-matte-black</t>
  </si>
  <si>
    <t>Rimless Rectangle Matte Black</t>
  </si>
  <si>
    <t>From Chimi's Lab collection with limited productions of highly relevant eyewear, comes the Rimless Cubic.
 Cubic is a rimless angular silhouette made in lightweight, matte black titanium for durability to last a lifetime. Designed with UV-protective nylon lenses and spring hinges that allow the temples to bend past ninety degrees for improved flexibility and an adjustable fit.
 The titanium frame will never rust, tarnish or corrode, meaning it is biocompatible and non-toxic to living systems.
 Each pair comes with a branded case, pouch and cleaning cloth.</t>
  </si>
  <si>
    <t>From Chimi's Lab collection with limited productions of highly relevant eyewear, comes the Rimless Cubic.</t>
  </si>
  <si>
    <t>rimless-oval-matte-black-red</t>
  </si>
  <si>
    <t>Rimless Cubic Red</t>
  </si>
  <si>
    <t>From Chimi's Lab collection with limited productions of highly relevant eyewear, comes the Rimless Cubic.&amp;nbsp;
 Cubic is a rimless angular silhouette made in lightweight, matte black titanium for durability to last a lifetime. Designed with UV-protective nylon lenses and spring hinges that allow the temples to bend past ninety degrees for improved flexibility and an adjustable fit.
 The titanium frame will never rust, tarnish or corrode, meaning it is biocompatible and non-toxic to living systems.
 Each pair comes with a branded case, pouch and cleaning cloth.</t>
  </si>
  <si>
    <t>photocromic-04-solid-black</t>
  </si>
  <si>
    <t>Photocromic 04 Solid Black</t>
  </si>
  <si>
    <t>From Chimi's Lab collection with limited productions of highly relevant eyewear, comes the Photocromic 04, made with UV-protective photochromic lenses that darken within 60 seconds of being exposed to sunlight.
 Made in their 04 style, a stylistic silhouette creating dynamic contrast with a strong rectangular frame and slim sides. Finished with silver-tone rivet hinges, pointed temple tips and deep bevel cuts along the lenses.
 Handcrafted in premium Acetate Renew, composed of 42% wood cellulose and 28% certified recycled plastic waste, with a customized CHIMI metal core.
 Each pair comes with a branded case, pouch and cleaning cloth.</t>
  </si>
  <si>
    <t>From Chimi's Lab collection with limited productions of highly relevant eyewear, comes the Photocromic 04, made with UV-protective photochromic lenses that darken within 60 seconds of being exposed to sunlight.</t>
  </si>
  <si>
    <t>04-2-l-black, 04-2-l-green, 04-2-light-brown</t>
  </si>
  <si>
    <t>04-2-l-black</t>
  </si>
  <si>
    <t>04.2 L Black</t>
  </si>
  <si>
    <t>04-2-l-green, 04-2-light-brown, photocromic-04-solid-black</t>
  </si>
  <si>
    <t>04-2-l-green</t>
  </si>
  <si>
    <t>04.2 L Green</t>
  </si>
  <si>
    <t>04-2-l-black, 04-2-light-brown, photocromic-04-solid-black</t>
  </si>
  <si>
    <t>one-black</t>
  </si>
  <si>
    <t>One Black</t>
  </si>
  <si>
    <t>From Chimi's Lab collection with limited productions of highly relevant eyewear, comes the limted edition Chimi ONE.
 Inspired by a drop of water and sculpted by the natural force of gravity, ONE emerges as a form free from edges or interruptions. Cast from nylon as the only material, it is molded in one piece, without metal hardware or hinges. Finished with branding at the top.
 Each pair comes with a branded case.
 Please be advised: Due to the sculpted nature of the lenses, the ONE results in a subtly blurred periphery vision.</t>
  </si>
  <si>
    <t>From Chimi's Lab collection with limited productions of highly relevant eyewear, comes the limted edition Chimi ONE.</t>
  </si>
  <si>
    <t>one-brown</t>
  </si>
  <si>
    <t>One Brown</t>
  </si>
  <si>
    <t>Clarks</t>
  </si>
  <si>
    <t>Shoe Men</t>
  </si>
  <si>
    <t>desert-trek-dark-grey</t>
  </si>
  <si>
    <t>Desert Trek Dark Grey</t>
  </si>
  <si>
    <t>Made in Vietnam
 The Clarks Original Desert Trek is instantly recognisable with its center seam. First introduced in the 1970's, the Desert Trek is a favourite from the Originals line.
 Designed on a unique comfort shape last, super-deconstructed suede uppers and a matching rubber crepe sole make for total durability and a signature Clarks Originals aesthetic. Featuring the classic 'Trek Man' heel badge.
 Details
 - Suede leather upper
 - Suede tanned by Charles F. Stead, in Leeds
 - Unique comfort shape last
 - Stitch-down construction
 - Natural crepe rubber sole
 - Includes tonal coloured laces
 - The Clarks Original suede tab is useful for testing shoe treatments</t>
  </si>
  <si>
    <t>The Desert Trek, a 1970's favorite from the Originals line, known for its center seam.</t>
  </si>
  <si>
    <t>trek-cup-black-quilted</t>
  </si>
  <si>
    <t>Trek Cup Black Quilted</t>
  </si>
  <si>
    <t>Made in Vietnam
 The Clarks Original Desert Trek is instantly recognisable with its center seam. First introduced in the 1970's, the Desert Trek is a favourite from the Originals line.
 Designed on a unique comfort shape last, the Black quilted version is made with a soft quilted nylon upper, closed with contrasting toggle fastened laces, and a chunky black natural crepe rupper cup sole. Featuring the classic 'Trek Man' heel badge.
 Details
 - Soft quilted nylon uppers
 - Unique comfort shape last
 - Natural crepe rubber cup sole
 - contrasting elastic laces with toggle fastenings</t>
  </si>
  <si>
    <t>The Clarks Original Desert Trek is known for its center seam, a 1970's icon. As a beloved piece of the Originals collection, it stands out for its distinctive design.</t>
  </si>
  <si>
    <t>wallabee-black-sde</t>
  </si>
  <si>
    <t>Wallabee Black Suede</t>
  </si>
  <si>
    <t>Made in Vietnam
 The Clarks Original Wallabee is a truly iconic shoe. First introduced in 1967, it quickly became the shoe of choice for the era's revolutionaries and counter-cultures, and has since become a true cult classic.
 The Wallabee is crafted from just two pieces of suede. Its authentic moccasin construction sits on a natural crepe outsole with a cushioned three-quarter sock for supreme comfort.
 Details
 - Suede leather upper
 - Suede tanned by Charles F. Stead, in Leeds
 - True moccasin construction
 - Natural crepe rubber sole
 - Includes contrasting coloured laces
 - The Clarks Original suede tab is useful for testing shoe treatments</t>
  </si>
  <si>
    <t>A true cult classic, the Wallabee is crafted from just two pieces of suede, with authentic moccasin construction, natural crepe outsoles with a cushioned three-quarter sock for supreme comfort.</t>
  </si>
  <si>
    <t>wallabee-maple-suede, wallabee-dark-brown-suede</t>
  </si>
  <si>
    <t>wallabee-dark-brown-suede</t>
  </si>
  <si>
    <t>Wallabee Dark Brown Suede</t>
  </si>
  <si>
    <t>wallabee-maple-suede, wallabee-black-sde</t>
  </si>
  <si>
    <t>wallabee-maple-suede</t>
  </si>
  <si>
    <t>Wallabee Maple Suede</t>
  </si>
  <si>
    <t>wallabee-black-sde, wallabee-dark-brown-suede</t>
  </si>
  <si>
    <t>Diemme</t>
  </si>
  <si>
    <t>Boots unisex</t>
  </si>
  <si>
    <t>alpago-dark-brown</t>
  </si>
  <si>
    <t>Alpago Dark Brown</t>
  </si>
  <si>
    <t>Made in Italy
 Diemme's Alpago is the pull-on boot to invest in this season. This style is the perfect combination of fashion, practicality and comfort.
 At first sight, it may seem like a heavy boot, however, its lightness will surprise you. Whether you’re on ski holidays or in the city, Alpago is a subtle nod to the fashion enthusiasts. The dark brown suede upper continues with a medium high shaft with padded cordura. The solid rubber rand contributes to extra shielding. The practical pull tabs in front and back makes life easier.
 The Alpago runs true to size.
 Details
 - Rough Mohawk Leather upper
 - Panatex Cordura shaft, 100% polyester
 - Sympatex Waterproof Recycled polyester lining
 - Vibram Jankuat outsole</t>
  </si>
  <si>
    <t>The Alpago boot perfectly combines practicality, fashion, and comfort. Despite its appearance, it's surprisingly light, suitable for both ski holidays and city life.</t>
  </si>
  <si>
    <t>balbi-black</t>
  </si>
  <si>
    <t>Balbi Black</t>
  </si>
  <si>
    <t>Made in Italy
 With a silhouette that blends the traditional Chelsea boot with the American duck boot", Diemme's Balbi is the perfect boot for wet and wintry weather conditions. 
 It’s a supremely practical boot, suede upper resting on a sturdy rubber lugged sole with elasticated side panels. Hand-crafted in the Diemme factory in Veneto, north-eastern Italy.
 The Balbi fits true to size.
 Details:
 - Suede uppers
 - Nappa leather lining
 - Rubber duck sole"</t>
  </si>
  <si>
    <t>A silhouette blending traditional Chelsea and American "duck boot", perfect for wet and wintry conditions.</t>
  </si>
  <si>
    <t>Shoe Women</t>
  </si>
  <si>
    <t>cornaro-olive-femme</t>
  </si>
  <si>
    <t>Cornaro Olive Suede</t>
  </si>
  <si>
    <t>Made in Italy
 Diemme's Cornaro is designed after a traditional low-top hiking boot. The composition of sleek design and sturdiness make for an adaptable style with all the ingredients you look for in an in-between season's shoe; it’s easy, cool and comfortable.
 Hand-crafted in the Diemme factory from a weather-proof wax-treated suede with a lightweight lugged rubber sole, the Cornaro tackles easy hikes as well as busy city walks.
 The Cornaro runs half a size large.
 Details
 - Waxed suede uppers
 - Nappa leather lining
 - Rubber toe</t>
  </si>
  <si>
    <t>Diemme's low-top hiking boot, made in waxed suede leather</t>
  </si>
  <si>
    <t>cornaro-gomma-rust, cornaro-black, cornaro-purple</t>
  </si>
  <si>
    <t>roccia-vet-sport-black</t>
  </si>
  <si>
    <t>Roccia Vet Sport Black</t>
  </si>
  <si>
    <t>Made in Italy
 Diemme's Roccia Vet has gained cult status thanks to its iconic design and superior construction. It’s modelled on classic Italian hiking boots updated with a lightweight sole, making it perfect for both city wear and alpine environments.
 Crafted to be supremely comfortable, the Roccia Vet features ankle support while the padded inner lining provides stability, meaning you’ll never lose your footing. Made from a durable Panatex Dragon textile upper, with a rubberised rand around the lower foot providing a sporty touch and extra protection.
 The Roccia Vet Sport runs true to size.
 Details
 - Panatex dragon upper, 100% polyester
 - Sympatex Waterproof Recycled polyester lining</t>
  </si>
  <si>
    <t>The Roccia Vet is inspired by classic Italian hiking boots but updated with a lightweight sole, ideal for the city or mountains.</t>
  </si>
  <si>
    <t>roccia-vet-gomma-cognac, roccia-vet-black-suede</t>
  </si>
  <si>
    <t>Sneaker Unisex</t>
  </si>
  <si>
    <t>grappa-hiker-ecru-suede</t>
  </si>
  <si>
    <t>Grappa Hiker Ecru Suede</t>
  </si>
  <si>
    <t>Made in Italy
 Diemme's Grappa Hiker is a low-cut boot, based on their classic mountaineering boot, the Civetta, transitioning between active city life and the remote trail.
 Crafted in the Diemme factory in Veneto, in a 
 mix of premium suede and sturdy Cordura. The Sympatex lining provides a high degree of water resistance, while the Vibram New Winkler ensures the right balance between stability and traction.
 The Grappa Hiker runs true to size.
 Details
 - Suede leather and Cordura uppers
 - Sympatex lining
 - Vibram New Winkler outsole</t>
  </si>
  <si>
    <t>The Grappa Hiker is a low-cut boot, transitioning between city life and the remote trail, based on the classic mountaineering boot.</t>
  </si>
  <si>
    <t>ys1025-thornham-01-navy</t>
  </si>
  <si>
    <t>thornham-mid-grey-fleck</t>
  </si>
  <si>
    <t>maggiore-black-suede</t>
  </si>
  <si>
    <t>Maggiore Black Suede</t>
  </si>
  <si>
    <t>Made in Italy
 Diemme's Maggiore slip-on, a 90's-inspired shoe that sits somewhere between a sneaker and a mule.
 Hand-crafted in the Diemme family factory in Veneto, the Maggiore is made from Italian suede uppers on chunky Vibram rubber soles that will keep your feet cosy and dry whatever the weather throws at you. The step-in construction makes the Maggiore an easy-to-wear, all-year-round go-to.
 The Maggiore runs slightly small, some customers prefer to size up one size.
 Details
 - Suede leather and Cordura uppers
 - Sympatex lining
 - Vibram New Winkler outsole</t>
  </si>
  <si>
    <t>The Maggiore is a shoe blending sneaker and mule elements, inspired by the '90s. Crafted for all-year use, its easy-to-wear design offers a reliable choice for diverse weather conditions.</t>
  </si>
  <si>
    <t>maggiore-fallow-suede</t>
  </si>
  <si>
    <t>thornham-dark-brown-fleck</t>
  </si>
  <si>
    <t>Maggiore Fallow Suede</t>
  </si>
  <si>
    <t>The Maggiore, crafted in the Diemme family factory in Veneto, offers slip-on comfort with Italian suede uppers and Vibram rubber soles. Ideal for all weather conditions.</t>
  </si>
  <si>
    <t>cornaro-dark-brown</t>
  </si>
  <si>
    <t>Cornaro Bison Suede</t>
  </si>
  <si>
    <t>Made in Italy
 Diemme's Cornaro is designed after a traditional low-top hiking boot. The composition of sleek design and sturdiness make for an adaptable style with all the ingredients you look for in an in-between season's shoe: It’s easy, cool and comfortable.
 Hand-crafted in the Diemme factory from a weather-proof wax-treated suede with a lightweight lugged rubber sole, the Cornaro tackles easy hikes as well as busy city walks.
 The Cornaro runs half a size large.
 Details
 - Waxed suede uppers
 - Nappa leather lining
 - Rubber toe
 - Delivered with both tonal and contrasting laces</t>
  </si>
  <si>
    <t>cornaro-gomma-cognac</t>
  </si>
  <si>
    <t>Cornaro Gomma Cognac Leather</t>
  </si>
  <si>
    <t>Made in Italy
 Diemme's Cornaro Gomma is designed after a traditional low-top hiking boot, updated with a contemporary wide rubber rand wrapping around the foot. The composition of sleek design and sturdiness make for a perfect lightweight alternative to winter boots, and an easy and comfortable everyday shoe.
 Hand-crafted in the Diemme factory from a structured leather with a lightweight lugged rubber sole, the Cornaro Gomma tackles easy hikes as well as busy city walks.
 The Cornaro Gomma runs true to size
 Details
 - Structured leather uppers
 - 360 degree rubber rand
 - Nappa leather lining
 - Delivered with both tonal and contrasting laces</t>
  </si>
  <si>
    <t>Diemme's sublime low-top boot, in a structured leather with rubber detailing.</t>
  </si>
  <si>
    <t>cornaro-gomma-rust, cornaro-dark-brown, cornaro-black, cornaro-olive-femme</t>
  </si>
  <si>
    <t>cornaro-gomma-rust</t>
  </si>
  <si>
    <t>Cornaro Gomma Tanned Tomato Suede</t>
  </si>
  <si>
    <t>Made in Italy
 Diemme's Cornaro Gomma is designed after a traditional low-top hiking boot, updated with a contemporary wide rubber rand wrapping around the foot. The composition of sleek design and sturdiness make for a perfect lightweight alternative to winter boots, and an easy and comfortable everyday shoe.
 Hand-crafted in the Diemme factory from a weather-proof wax-treated suede with a lightweight lugged rubber sole, the Cornaro Gomma tackles easy hikes as well as busy city walks.
 The Cornaro Gomma runs true to size
 Details
 - Waxed suede uppers
 - 360 degree rubber rand
 - Nappa leather lining
 - Delivered with both tonal and contrasting laces</t>
  </si>
  <si>
    <t>Diemme's sublime low-top boot, in a waxed suede leather with rubber detailing.</t>
  </si>
  <si>
    <t>cornaro-gomma-cognac, cornaro-black, cornaro-olive-femme, cornaro-purple</t>
  </si>
  <si>
    <t>Boot Men</t>
  </si>
  <si>
    <t>roccia-vet-black-suede</t>
  </si>
  <si>
    <t>Roccia Vet Black Suede</t>
  </si>
  <si>
    <t>Made in Italy
 Diemme's Roccia Vet has gained cult status thanks to its iconic design and superior construction. It’s modelled on classic Italian hiking boots updated with a lightweight sole, making it perfect for both city wear and more alpine environments.
 Crafted to be supremely comfortable, the Roccia Vet features ankle support while the padded leather lining provides stability, meaning you’ll never lose your footing. Made from a waxed suede leather upper, featuring hiking laces and a lightweight lug sole.
 The Roccia Vet Sport runs true to size.
 Details
 - Waxed suede uppers
 - Nappa Leather lining
 - Comes with both tonal and contrasting laces</t>
  </si>
  <si>
    <t>Diemme's Roccia Vet in black waxed suede leather.</t>
  </si>
  <si>
    <t>roccia-vet-gomma-cognac, roccia-vet-sport-black</t>
  </si>
  <si>
    <t>roccia-vet-gomma-cognac</t>
  </si>
  <si>
    <t>Roccia Vet Gomma Cognac</t>
  </si>
  <si>
    <t>Made in Italy
 Diemme's Roccia Vet has gained cult status thanks to its iconic design and superior construction. It’s modelled on classic Italian hiking boots updated with a lightweight sole, making it perfect for both city wear and more alpine environments. The Gomma gives it a fresh update with a contemporary wide rubber rand wrapping around the foot
 Crafted to be supremely comfortable, the Roccia Vet features ankle support while the padded leather lining provides stability, meaning you’ll never lose your footing. Made from a structured leather upper, featuring hiking laces and a lightweight lug sole.
 The Roccia Vet Sport runs true to size.
 Details
 - Structured leather uppers
 - 360 degree rubber rand
 - Nappa leather lining
 - Delivered with both tonal and contrasting laces</t>
  </si>
  <si>
    <t>Diemme's Roccia Vet in structured cognac leather, updated with rubber detailing.</t>
  </si>
  <si>
    <t>roccia-vet-black-suede, roccia-vet-sport-black</t>
  </si>
  <si>
    <t>cornaro-black</t>
  </si>
  <si>
    <t>Cornaro Black Suede</t>
  </si>
  <si>
    <t>cornaro-gomma-cognac, cornaro-gomma-rust, cornaro-olive-femme, cornaro-purple</t>
  </si>
  <si>
    <t>aiden-blue-check-pop</t>
  </si>
  <si>
    <t>aiden-grey-oxford</t>
  </si>
  <si>
    <t>cornaro-purple</t>
  </si>
  <si>
    <t>Cornaro Prince Purple Suede</t>
  </si>
  <si>
    <t>cornaro-gomma-rust, cornaro-black, cornaro-olive-femme</t>
  </si>
  <si>
    <t>aiden-brown-stripe-pop</t>
  </si>
  <si>
    <t>Boot Women</t>
  </si>
  <si>
    <t>badia-shearling-military-green</t>
  </si>
  <si>
    <t>Badia Shearling Military Green</t>
  </si>
  <si>
    <t>Made in Italy
 Diemme's Badia is the pull-on boot to invest in this season. The perfect combination of fashion, practicality and shearling-lined comfort.
 Designed with a heavy presence, its lightness will surprise you. The olive green suede upper is shaped with clean lines and a wide opening for easy on/off. The subtle rubber rand contributes to extra shielding and a sharp segueway to the hightened rubber sole. Fully lined with warm shearling.
 The Badia runs true to size.
 Details
 - Waxed suede uppers
 - Real shearling lining
 - Rubber sole</t>
  </si>
  <si>
    <t>Diemme's Badia delivers the perfect combination of fashion, practicality and shearling-lined comfort.</t>
  </si>
  <si>
    <t>EYM</t>
  </si>
  <si>
    <t>Home</t>
  </si>
  <si>
    <t>home-diffuser-200ml</t>
  </si>
  <si>
    <t>Home Diffuser</t>
  </si>
  <si>
    <t>rest-diffuser-200ml</t>
  </si>
  <si>
    <t>Rest Diffuser</t>
  </si>
  <si>
    <t>Fellow</t>
  </si>
  <si>
    <t>stagg-xf-dripper-filters</t>
  </si>
  <si>
    <t>Stagg XF Dripper Filters</t>
  </si>
  <si>
    <t>Fitguide</t>
  </si>
  <si>
    <t>norman</t>
  </si>
  <si>
    <t>Norman</t>
  </si>
  <si>
    <t>william</t>
  </si>
  <si>
    <t>William</t>
  </si>
  <si>
    <t>olav</t>
  </si>
  <si>
    <t>Olav</t>
  </si>
  <si>
    <t>kevin</t>
  </si>
  <si>
    <t>Kevin</t>
  </si>
  <si>
    <t>raglan</t>
  </si>
  <si>
    <t>Raglan</t>
  </si>
  <si>
    <t>ragnar</t>
  </si>
  <si>
    <t>Ragnar</t>
  </si>
  <si>
    <t>anton</t>
  </si>
  <si>
    <t>Anton</t>
  </si>
  <si>
    <t>shane</t>
  </si>
  <si>
    <t>Shane</t>
  </si>
  <si>
    <t>dion</t>
  </si>
  <si>
    <t>Dion</t>
  </si>
  <si>
    <t>barton</t>
  </si>
  <si>
    <t>Barton</t>
  </si>
  <si>
    <t>joshua</t>
  </si>
  <si>
    <t>Joshua</t>
  </si>
  <si>
    <t>christopher</t>
  </si>
  <si>
    <t>Christopher</t>
  </si>
  <si>
    <t>copy-of-norman</t>
  </si>
  <si>
    <t>kirby</t>
  </si>
  <si>
    <t>winchester</t>
  </si>
  <si>
    <t>Winchester</t>
  </si>
  <si>
    <t>cassidy</t>
  </si>
  <si>
    <t>Cassidy</t>
  </si>
  <si>
    <t>watkins</t>
  </si>
  <si>
    <t>Watkins</t>
  </si>
  <si>
    <t>hill</t>
  </si>
  <si>
    <t>Hill</t>
  </si>
  <si>
    <t>mitchell</t>
  </si>
  <si>
    <t>Mitchell</t>
  </si>
  <si>
    <t>noel</t>
  </si>
  <si>
    <t>Noel</t>
  </si>
  <si>
    <t>huffman</t>
  </si>
  <si>
    <t>Huffman</t>
  </si>
  <si>
    <t>compton</t>
  </si>
  <si>
    <t>Compton</t>
  </si>
  <si>
    <t>west</t>
  </si>
  <si>
    <t>West</t>
  </si>
  <si>
    <t>woods</t>
  </si>
  <si>
    <t>Woods</t>
  </si>
  <si>
    <t>connely</t>
  </si>
  <si>
    <t>Connely</t>
  </si>
  <si>
    <t>olly</t>
  </si>
  <si>
    <t>Olly</t>
  </si>
  <si>
    <t>richmond</t>
  </si>
  <si>
    <t>Richmond</t>
  </si>
  <si>
    <t>keri</t>
  </si>
  <si>
    <t>Keri</t>
  </si>
  <si>
    <t>lea</t>
  </si>
  <si>
    <t>Lea</t>
  </si>
  <si>
    <t>suna</t>
  </si>
  <si>
    <t>Suna</t>
  </si>
  <si>
    <t>aya</t>
  </si>
  <si>
    <t>Aya</t>
  </si>
  <si>
    <t>ada</t>
  </si>
  <si>
    <t>Ada</t>
  </si>
  <si>
    <t>mie</t>
  </si>
  <si>
    <t>Mie</t>
  </si>
  <si>
    <t>ida</t>
  </si>
  <si>
    <t>Ida</t>
  </si>
  <si>
    <t>ana</t>
  </si>
  <si>
    <t>Ana</t>
  </si>
  <si>
    <t>copy-of-edvard-skinny</t>
  </si>
  <si>
    <t>Hayes Classic Wide</t>
  </si>
  <si>
    <t>iris</t>
  </si>
  <si>
    <t>Iris</t>
  </si>
  <si>
    <t>simmons</t>
  </si>
  <si>
    <t>Simmons</t>
  </si>
  <si>
    <t>palmer</t>
  </si>
  <si>
    <t>Palmer</t>
  </si>
  <si>
    <t>flynn</t>
  </si>
  <si>
    <t>Flynn</t>
  </si>
  <si>
    <t>body-vest</t>
  </si>
  <si>
    <t>Boyd Vest</t>
  </si>
  <si>
    <t>brennan</t>
  </si>
  <si>
    <t>Brennan</t>
  </si>
  <si>
    <t>body-crew</t>
  </si>
  <si>
    <t>Boyd Crew</t>
  </si>
  <si>
    <t>oliver</t>
  </si>
  <si>
    <t>Oliver</t>
  </si>
  <si>
    <t>banks</t>
  </si>
  <si>
    <t>Banks</t>
  </si>
  <si>
    <t>cox</t>
  </si>
  <si>
    <t>Cox</t>
  </si>
  <si>
    <t>ruby</t>
  </si>
  <si>
    <t>Ruby</t>
  </si>
  <si>
    <t>kean</t>
  </si>
  <si>
    <t>Kean</t>
  </si>
  <si>
    <t>wells</t>
  </si>
  <si>
    <t>Wells</t>
  </si>
  <si>
    <t>huff</t>
  </si>
  <si>
    <t>Huff</t>
  </si>
  <si>
    <t>gill</t>
  </si>
  <si>
    <t>Gill</t>
  </si>
  <si>
    <t>olson</t>
  </si>
  <si>
    <t>Olson</t>
  </si>
  <si>
    <t>flemning</t>
  </si>
  <si>
    <t>Flemning</t>
  </si>
  <si>
    <t>tiki</t>
  </si>
  <si>
    <t>Tiki</t>
  </si>
  <si>
    <t>gosia</t>
  </si>
  <si>
    <t>Gosia</t>
  </si>
  <si>
    <t>lily</t>
  </si>
  <si>
    <t>Lily</t>
  </si>
  <si>
    <t>leslie</t>
  </si>
  <si>
    <t>Leslie</t>
  </si>
  <si>
    <t>tily</t>
  </si>
  <si>
    <t>Tily</t>
  </si>
  <si>
    <t>hazel</t>
  </si>
  <si>
    <t>Hazel</t>
  </si>
  <si>
    <t>cass</t>
  </si>
  <si>
    <t>Cass</t>
  </si>
  <si>
    <t>sonia</t>
  </si>
  <si>
    <t>Sonia</t>
  </si>
  <si>
    <t>kat</t>
  </si>
  <si>
    <t>Kat</t>
  </si>
  <si>
    <t>effie</t>
  </si>
  <si>
    <t>Effie</t>
  </si>
  <si>
    <t>luna</t>
  </si>
  <si>
    <t>Luna</t>
  </si>
  <si>
    <t>long-blazer</t>
  </si>
  <si>
    <t>Long Blazer</t>
  </si>
  <si>
    <t>maya</t>
  </si>
  <si>
    <t>Maya</t>
  </si>
  <si>
    <t>suna-1</t>
  </si>
  <si>
    <t>ellie</t>
  </si>
  <si>
    <t>Ellie</t>
  </si>
  <si>
    <t>mei</t>
  </si>
  <si>
    <t>Mei</t>
  </si>
  <si>
    <t>avery</t>
  </si>
  <si>
    <t>Avery</t>
  </si>
  <si>
    <t>lin</t>
  </si>
  <si>
    <t>Lin</t>
  </si>
  <si>
    <t>anna</t>
  </si>
  <si>
    <t>Anna</t>
  </si>
  <si>
    <t>jess</t>
  </si>
  <si>
    <t>Jess</t>
  </si>
  <si>
    <t>keri-1</t>
  </si>
  <si>
    <t>Keri Linen</t>
  </si>
  <si>
    <t>griffin</t>
  </si>
  <si>
    <t>Griffin</t>
  </si>
  <si>
    <t>jone-trouser</t>
  </si>
  <si>
    <t>Jone Trouser</t>
  </si>
  <si>
    <t>lou-long</t>
  </si>
  <si>
    <t>Lou Long</t>
  </si>
  <si>
    <t>lou-trunk</t>
  </si>
  <si>
    <t>Lou Trunk</t>
  </si>
  <si>
    <t>nichols</t>
  </si>
  <si>
    <t>Nichols</t>
  </si>
  <si>
    <t>noah</t>
  </si>
  <si>
    <t>Noah</t>
  </si>
  <si>
    <t>sawyer</t>
  </si>
  <si>
    <t>Sawyer</t>
  </si>
  <si>
    <t>shelton</t>
  </si>
  <si>
    <t>Shelton</t>
  </si>
  <si>
    <t>stone</t>
  </si>
  <si>
    <t>Stone</t>
  </si>
  <si>
    <t>joelle</t>
  </si>
  <si>
    <t>Joelle</t>
  </si>
  <si>
    <t>keen</t>
  </si>
  <si>
    <t>Keen</t>
  </si>
  <si>
    <t>blake</t>
  </si>
  <si>
    <t>Blake</t>
  </si>
  <si>
    <t>nash</t>
  </si>
  <si>
    <t>Nash</t>
  </si>
  <si>
    <t>brand</t>
  </si>
  <si>
    <t>Brand</t>
  </si>
  <si>
    <t>aiden</t>
  </si>
  <si>
    <t>Aiden</t>
  </si>
  <si>
    <t>kai</t>
  </si>
  <si>
    <t>Kai</t>
  </si>
  <si>
    <t>margo</t>
  </si>
  <si>
    <t>Margo</t>
  </si>
  <si>
    <t>faye</t>
  </si>
  <si>
    <t>Faye</t>
  </si>
  <si>
    <t>roth</t>
  </si>
  <si>
    <t>Roth</t>
  </si>
  <si>
    <t>ash</t>
  </si>
  <si>
    <t>Ash</t>
  </si>
  <si>
    <t>chuck</t>
  </si>
  <si>
    <t>Chuck</t>
  </si>
  <si>
    <t>dahle</t>
  </si>
  <si>
    <t>Dahle</t>
  </si>
  <si>
    <t>mila</t>
  </si>
  <si>
    <t>Mila</t>
  </si>
  <si>
    <t>burley</t>
  </si>
  <si>
    <t>Burley</t>
  </si>
  <si>
    <t>needle</t>
  </si>
  <si>
    <t>Needle</t>
  </si>
  <si>
    <t>hilal</t>
  </si>
  <si>
    <t>Hilal</t>
  </si>
  <si>
    <t>edvard</t>
  </si>
  <si>
    <t>Edvard Skinny</t>
  </si>
  <si>
    <t>ava</t>
  </si>
  <si>
    <t>Ava Skinny</t>
  </si>
  <si>
    <t>bailey</t>
  </si>
  <si>
    <t>Bailey Tapered</t>
  </si>
  <si>
    <t>addison</t>
  </si>
  <si>
    <t>Addison Slim/Straight</t>
  </si>
  <si>
    <t>jone</t>
  </si>
  <si>
    <t>Jone Slim</t>
  </si>
  <si>
    <t>emerson</t>
  </si>
  <si>
    <t>Emerson Straight</t>
  </si>
  <si>
    <t>var-1</t>
  </si>
  <si>
    <t>Vår Curved Skinny</t>
  </si>
  <si>
    <t>barnes-japan-fade</t>
  </si>
  <si>
    <t>barnes-japan-forest-fog</t>
  </si>
  <si>
    <t>barnes-japan-mole</t>
  </si>
  <si>
    <t>barnes-japan-putty</t>
  </si>
  <si>
    <t>barnes-japan-rinse-selvage</t>
  </si>
  <si>
    <t>barnes</t>
  </si>
  <si>
    <t>Barnes Wide</t>
  </si>
  <si>
    <t>ella</t>
  </si>
  <si>
    <t>Ella Slim Straight</t>
  </si>
  <si>
    <t>tia</t>
  </si>
  <si>
    <t>Tia Straight</t>
  </si>
  <si>
    <t>thea</t>
  </si>
  <si>
    <t>Thea Wide</t>
  </si>
  <si>
    <t>Frama</t>
  </si>
  <si>
    <t>apothecary-hand-lotion-375-ml</t>
  </si>
  <si>
    <t>Apothecary Hand Lotion</t>
  </si>
  <si>
    <t>Made in Denmark
 Frama's Apothecary Hand Lotion is created with their signature scent and provides a naturally fresh and aromatic hydrating experience that refreshes and softens the hands. Derived from pure, natural, and active ingredients, the Apothecary Hand Lotion is exceptionally gentle to skin and leaves hands soft and not sticky. Made in Denmark, and bottled in custom colored Italian glass bottles.
 Pairs perfectly with Frama's Apothecary Hand Wash.
 Essence
 - Ylang Ylang
 - Sandalwood
 - Cedar wood
 Frama's Apothocary line is genderless, vegan sustainably sourced, and come's in reusable bottles. 375 mL.</t>
  </si>
  <si>
    <t>Frama's Apothecary Hand Lotion is crafted to naturally refresh and soften hands. Formulated with pure and natural ingredients, it leaves skin gently hydrated without stickiness. Ideal for a soothing, aromatic experience.</t>
  </si>
  <si>
    <t>apothecary-hand-wash-375-ml</t>
  </si>
  <si>
    <t>Apothecary Hand Wash</t>
  </si>
  <si>
    <t>Made in Denmark
 Frama's mild Apothecary Hand Wash has been created with their signature scent, providing a naturally fresh and aromatic cleansing experience that refreshes and softens the hands. Developed with pure ingredients, the Apothecary Hand Wash also provides a pleasing aromatic scent to accompany the Hand Wash’s distinct clean. It's made in Denmark and is bottled in custom colored Italian glass bottles.
 Pairs perfectly with Frama's Apothecary Hand Lotion and Body Wash.
 Essence
 - Ylang Ylang
 - Sandalwood
 - Cedar wood
 Frama's Apothecary line is genderless, vegan, sustainably sourced, and come's in reusable bottles. 375 mL.</t>
  </si>
  <si>
    <t>Frama's Apothecary Hand Wash, created with their signature scent, offers a fresh and aromatic cleansing experience, refreshing and softening hands with pure ingredients.</t>
  </si>
  <si>
    <t>apothecary-hand-wash-refil</t>
  </si>
  <si>
    <t>apothecary-body-wash</t>
  </si>
  <si>
    <t>Apothecary Body Wash</t>
  </si>
  <si>
    <t>Made in Denmark
 Frama's Apothecary Body Wash is a plant-based cleanser for the body that contains a blend of nourishing oils and mineral-rich extracts. Featuring the collection's signature scent, this aromatic body wash is highlighted by notes of sandalwood, cedar, and ylang ylang. Its gentle lather and natural active ingredients restore balance and hydration, leaving skin soft, renewed, and protected. Formulated for everyday use, the Apothecary Body Wash provides an invigorating and refreshing cleanse that supports healthy skin.
 Pairs perfectly with Frama's Apothecary Hand Wash and Hand Lotion.
 Essence
 - Ylang Ylang 
 - Sandalwood
 - Cedar wood
 Frama's Apothecary line is genderless, vegan, sustainably sourced, and come's in reusable bottles. 375 mL.</t>
  </si>
  <si>
    <t>This plant-based body wash, blending nourishing oils with mineral-rich extracts, delivers a gentle lather. Enriched with a signature scent of sandalwood, cedar, and ylang ylang, it leaves skin hydrated, soft, and protected.</t>
  </si>
  <si>
    <t>apothecary-body-wash-refill</t>
  </si>
  <si>
    <t>Apothecary Body Wash Refill</t>
  </si>
  <si>
    <t>Made in Denmark
 Frama's Apothecary Body Wash is a plant-based cleanser for the body that contains a blend of nourishing oils and mineral-rich extracts. Featuring the collection's signature scent, this aromatic body wash is highlighted by notes of sandalwood, cedar, and ylang ylang. Its gentle lather and natural active ingredients restore balance and hydration, leaving skin soft, renewed, and protected. Formulated for everyday use, the Apothecary Body Wash provides an invigorating and refreshing cleanse that supports healthy skin.
 500 mL refill bottle for your permanent glass bottle.
 Pairs perfectly with Frama's Apothecary Hand Wash and Hand Lotion.
 Essence
 - Ylang Ylang
 - Sandalwood
 - Cedar wood
 Frama's Apothecary line is genderless, vegan, sustainably sourced, and come's in reusable bottles.This refill comes in a light plastic bottle, 500 mL.</t>
  </si>
  <si>
    <t>Frama's Apothecary Body Wash, a blend of nourishing oils and extracts, restores balance and hydration, leaving skin soft. Featuring sandalwood, cedar, and ylang ylang for a refreshing cleanse supporting healthy skin.</t>
  </si>
  <si>
    <t>Apothecary Hand Wash Refill</t>
  </si>
  <si>
    <t>Made in Denmark
 Frama's mild Apothecary Hand Wash has been created with their signature scent, providing a naturally fresh and aromatic cleansing experience that refreshes and softens the hands. Developed with pure ingredients, the Apothecary Hand Wash also provides a pleasing aromatic scent to accompany the Hand Wash’s distinct clean.
 500 mL refill bottle for yourpermanent glass bottle.
 Pairs perfectly with Frama's Apothecary Hand Lotion and Body Wash.
 Essence 
 – Ylang Ylang
 – Sandalwood
 – Cedar wood
 Frama's Apothecary line is genderless, vegan, sustainably sourced, and come's in reusable bottles.This refill comes in a light plastic bottle, 500 mL.</t>
  </si>
  <si>
    <t>Frama's Apothecary Hand Wash, created with a signature scent, provides a naturally fresh, aromatic cleansing experience, refreshing and softening hands with pure ingredients for a distinct clean.</t>
  </si>
  <si>
    <t>hand-cream-60ml</t>
  </si>
  <si>
    <t>Apothecary Hand Cream 60ml</t>
  </si>
  <si>
    <t>Made in Denmark
 Frama's Apothecary Hand Cream is formulated with natural, active ingredients, the Apothecary Hand Cream is a nourishing hand treatment with absorbent fatty acids that delivers intense hydration to skin, cuticles, and nails. With its rich blend of calming ingredients and skin-softening emollients, the cream features the collection’s signature, gender-neutral scent, highlighted by aromatic notes of sandalwood, cedar, and ylang ylang.
 A soothing treat for your skin, perfect on the go or while travelling.
 Essence
 – Ylang Ylang
 – Sandalwood
 – Cedar wood
 Frama's Apothecary line is genderless, vegan sustainably sourced. 60 mL</t>
  </si>
  <si>
    <t>Formulated with natural, active ingredients, this hand cream delivers intense hydration to skin, cuticles, and nails, featuring a nourishing blend of calming ingredients and emollients.</t>
  </si>
  <si>
    <t>0405-bottle-round</t>
  </si>
  <si>
    <t>0405 Bottle Round</t>
  </si>
  <si>
    <t>Made in Denmark
 Inspired by Giorgio Morandi’s still life representations, Frama's Bottle Round has a weighty, solid, and sturdy appearance—almost architectural in form.
 Each piece in the 0405 Collection is an individual work of art, expertly handcrafted by a glassblower and shaped to create a tactile experience. Designed for daily use, the glass bottle multifunctions as a beverage jug, vase for freshly cut flowers, or decorative object.
 For a coordinated dining set, pair Bottle Wide with other pieces from the 0405 Glassware Collection. 
 Due to the handmade nature of the glass, each piece is unique
 Highly durable, dishwasher-safe glass
 H 18 / Ø 5.5 cm</t>
  </si>
  <si>
    <t>Inspired by Morandi’s still life, Frama's Bottle Round appears weighty and sturdy—almost architectural. Expertly handcrafted, it's designed for daily multifunction as a beverage jug, vase, or decorative object.</t>
  </si>
  <si>
    <t>0405-bottle-wide</t>
  </si>
  <si>
    <t>0405 Bottle Wide</t>
  </si>
  <si>
    <t>Made in Denmark
 Inspired by Giorgio Morandi’s still life representations, Frama's Bottle Wide has a weighty, solid, and sturdy appearance—almost architectural in form.
 Each piece in the 0405 Collection is an individual work of art, expertly handcrafted by a glassblower and shaped to create a tactile experience. Designed for daily use, the glass bottle multifunctions as a beverage jug, vase for freshly cut flowers, or decorative object.
 For a coordinated dining set, pair Bottle Wide with other pieces from the 0405 Glassware Collection. 
 Due to the handmade nature of the glass, each piece is unique
 Highly durable, dishwasher-safe glass
 H 22 / Ø 4.4 cm</t>
  </si>
  <si>
    <t>Inspired by Giorgio Morandi's still life, Frama's Bottle Wide has a solid and sturdy appearance—almost architectural in form.</t>
  </si>
  <si>
    <t>0405-glass-medium</t>
  </si>
  <si>
    <t>0405 Glass Medium</t>
  </si>
  <si>
    <t>Made in Italy
 The 0405 Glassware Collection reinvents traditional glassware with organic details. Each piece is an individual work of art, expertly handcrafted by a glassblower and shaped to create a tactile experience. Perfect for your daily water or weekend aperitif.
 Crafted with durable glass, each piece is mouth-blown and unique
 Dishwasher-safe (up to max 70°C)
 H 11 / Ø 6 cm
 Holds approximately 175 ml</t>
  </si>
  <si>
    <t>Each piece, an art, expertly by a glassblower. Shaped for a tactile experience, perfect for daily or weekend.</t>
  </si>
  <si>
    <t>0405-glass-wide</t>
  </si>
  <si>
    <t>0405 Glass Wide</t>
  </si>
  <si>
    <t>Made in Italy
 The 0405 Glassware Collection reinvents traditional glassware with organic details. Each piece is an individual work of art, expertly handcrafted by a glassblower and shaped to create a tactile experience. Perfect for your daily water or weekend aperitif.
 Crafted with durable glass, each piece is mouth-blown and unique
 Dishwasher-safe (up to max 70°C)
 H 7 / Ø 8.5 cm
 Holds approximately 250 ml</t>
  </si>
  <si>
    <t>Each piece, crafted by hand, unfolds as an art form, shaped for tactile enjoyment. Perfect for daily or celebratory moments.</t>
  </si>
  <si>
    <t>apothecary-body-oil-100-ml</t>
  </si>
  <si>
    <t>Apothecary Body Oil 100 ml</t>
  </si>
  <si>
    <t>Made in Denmark
 Formulated with a highly nourishing formula, Frama's Apothecary Body Oil deeply moisturizes the skin leaving it soft and replenished. The oil is suitable for all skin types and can be applied directly to body and hair. Lightly scented with Apothecary’s distinct scent of sandalwood, cedar, and ylang ylang, renew your skin with this hydrating, aromatic body oil.
 A natural blend of vitamins and active ingredients such as rosehip, pomegranate, apricot, avocado, safflower, and jojoba oils — regenerate the skin, increase radiance, and promote a healthy and glowing complexion with Apothecary Body Oil.
 Key notes: Sandalwood, Cedarwood, Ylang Ylang
 Aroma: Citrus, Floral, Woody
 For a nourished and beautified complexion, gently apply the Body Oil to clean and dry skin. It can be used on its own or by mixing a few drops in the palm of your hand together with the Frama's Body Lotion. You can also apply the oil to the face using smoothing strokes, working from the center toward the contours. Moreover, it can be used as a hair oil on the lengths and ends as often as required.</t>
  </si>
  <si>
    <t>Formulated with a highly nourishing formula, deeply moisturizes the skin leaving it soft and replenished. Suitable for all skin types.</t>
  </si>
  <si>
    <t>dry-cutting-board-oak-rectangle</t>
  </si>
  <si>
    <t>Dry Studios Cutting Board Oak Rectangle</t>
  </si>
  <si>
    <t>Made in Lithuania
 Frama's aesthetic, yet functional cutting boards are a collaboration between Frama and the Stockholm based Dry Studios. Thick natural oiled oak is finished with a brass hole for function.
 H 50 / W 20 / D 3 cm</t>
  </si>
  <si>
    <t>Frama's cutting boards, a collaboration with Stockholm's Dry Studios, feature thick, natural oiled oak with a brass hole for functionality.</t>
  </si>
  <si>
    <t>dry-cutting-board-pe-blue-rectangle</t>
  </si>
  <si>
    <t>Dry Studios Cutting Board PE Blue Rectangle</t>
  </si>
  <si>
    <t>Made in Denmark
 Frama's Dry Studios Cutting Board is a smooth, non-slip, and easy to clean chopping board made of hygienic polyethylene. Designed in collaboration with Stockholm-based design practice Dry Studios, the colorful board features a circular ring that makes it easy to carry and hang. Crafted to withstand the wear and tear of any kitchen space, this durable board is a cooking essential.
 H 50 / W 20 / D 2 cm</t>
  </si>
  <si>
    <t>A non-slip, easy to clean chopping board made hygienic. Designed with a circular ring for easy carry and hang. Crafted to withstand kitchen wear and tear.</t>
  </si>
  <si>
    <t>herbarium-body-lotion-90-ml-tube</t>
  </si>
  <si>
    <t>Herbarium Body Lotion 90 ml tube</t>
  </si>
  <si>
    <t>Made in Denmark
 Created to embody the calming essence of wild flora, Herbarium Body Lotion is a compact, travel-friendly soothing treat for your skin. Scented with a fresh yet exhilarating aroma and a balsamic undertone, this lotion is a soothing treat for your skin, perfect on the go. A soothing treat for your skin, an essential care among your basics.
 Key notes: Orange, White Rose, Cedarwood, Patchouli
 Aroma: Herbal, Spicy, Woody</t>
  </si>
  <si>
    <t>A compact, travel-friendly soothing treat for your skin, perfect on the go. Scented with a fresh yet exhilarating aroma and a balsamic undertone, this lotion is a soothing treat for your skin.</t>
  </si>
  <si>
    <t>herbarium-body-oil-100-ml</t>
  </si>
  <si>
    <t>Herbarium Body Oil 100 ml</t>
  </si>
  <si>
    <t>Made in Denmark
 Created to embody the calming essence of wild flora, Frama's Herbarium Body Oil deeply moisturizes the skin leaving it soft and replenished. Scented with a fresh yet exhilarating aroma and a balsamic undertone, this oil is a deeply nourishing treatment delivering intense skin radiance.
 A natural blend of vitamins and active ingredients such as safflower, jojoba and apricot kernel oils promotes a healthy and glowing complexion. The scent features keynotes of orange, rose, juniper, and ho wood–a tall evergreen tree with a spreading canopy made of glossy, bright green aromatic leaves native to Asia.
 Key notes: Orange, White Rose, Cedarwood, Patchouli
 Aroma: Herbal, Spicy, Woody
 For a nourished and beautified complexion, gently apply the Body Oil to clean and dry skin. It can be used on its own or by mixing a few drops in the palm of your hand together with the Frama's Body Lotion. You can also apply the oil to the face using smoothing strokes, working from the center toward the contours. Moreover, it can be used as a hair oil on the lengths and ends as often as required.</t>
  </si>
  <si>
    <t>Frama's Herbarium Body Oil, deeply moisturizes, leaving skin soft and replenished. Scents of fresh exhilarating aroma with a balsamic undertone, nourishing treatment for intense skin radiance.</t>
  </si>
  <si>
    <t>herbarium-hand-cream-60-ml-tube</t>
  </si>
  <si>
    <t>Herbarium Hand Cream 60 ml tube</t>
  </si>
  <si>
    <t>Made in Denmark
 Created to embody the essence of wild flora, Herbarium Hand Cream is a compact, travel-friendly nourishing hand treatment with absorbent fatty acids that deliver intense hydration to skin, cuticles, and nails. Scented with a fresh yet exhilarating aroma with a balsamic undertone, this cream is a treat for your skin, an essential part of your care routine, perfect on the go or while travelling.
 Key notes: Orange, White Rose, Cedarwood, Patchouli
 Aroma: Herbal, Spicy, Woody</t>
  </si>
  <si>
    <t>Nourishing hand cream with intense hydration for skin, cuticles, and nails. Fresh, exhilarating aroma with a balsamic undertone. Perfect for on-the-go care.</t>
  </si>
  <si>
    <t>herbarium-hand-lotion-375-ml</t>
  </si>
  <si>
    <t>Herbarium Hand Lotion 375 ml</t>
  </si>
  <si>
    <t>Made in Denmark
 Created to embody the calming essence of wild flora, Frama's Herbarium Hand Lotion replenishes and hydrates the skin, leaving it soft and revitalized. Scented with a fresh yet exhilarating aroma with a balsamic undertone, this lotion is a soothing treat for your skin, an essential part of your care routine.
 Made in Denmark and bottled in custom colored Italian glass bottles.
 Pairs perfectly with Frama's Herbarium Hand Wash and Body Oil.
 Key notes: Orange, White Rose, Cedarwood, Patchouli
 Aroma: Herbal, Spicy, Woody</t>
  </si>
  <si>
    <t>Replenishes and hydrates skin, leaving it soft and revitalized. Scented with a fresh, exhilarating aroma and a balsamic undertone for soothing skin care.</t>
  </si>
  <si>
    <t>herbarium-hand-wash-375-ml</t>
  </si>
  <si>
    <t>Herbarium Hand Wash 375 ml</t>
  </si>
  <si>
    <t>Made in Denmark
 Created to embody the calming essence of wild flora, Frama's Herbarium Hand Wash is a mild, scented cleansing gel with a fresh yet exhilarating aroma and a balsamic undertone. Formulated for everyday use and rooted in a palette of nuanced natural ingredients, Herbarium Hand Wash illuminates the path to wellness with a scent both lush and decadent.
 Made in Denmark and bottled in custom colored Italian glass bottles.
 Pairs perfectly with Frama's Herbarium Hand Lotion and Body Oil.
 Key notes: Orange, White Rose, Cedarwood, Patchouli
 Aroma: Herbal, Spicy, Woody</t>
  </si>
  <si>
    <t>Cleansing gel with a fresh yet exhilarating aroma and balsamic undertone. Formulated for everyday use, rooted in nuanced natural ingredients, illuminating the path to wellness with a lush and decadent scent.</t>
  </si>
  <si>
    <t>apothecary-conditioner-375ml</t>
  </si>
  <si>
    <t>Apothecary Conditioner-375ml</t>
  </si>
  <si>
    <t>apothecary-shampoo-refill-500ml</t>
  </si>
  <si>
    <t>Apothecary Shampoo Refill-500ml</t>
  </si>
  <si>
    <t>apothecary-shampoo-375ml</t>
  </si>
  <si>
    <t>Apothecary Shampoo-375ml</t>
  </si>
  <si>
    <t>dry-cutting-board-oak-square</t>
  </si>
  <si>
    <t>Dry Studios Cutting Board Oak Square</t>
  </si>
  <si>
    <t>Made in Lithuania
 Frama's aesthetic, yet functional cutting boards are a collaboration between Frama and the Stockholm based Dry Studios. Thick natural oiled oak is finished with a brass hole for function.
 H 28 / W 25 / D 3 cm</t>
  </si>
  <si>
    <t>Frama's aesthetic yet functional cutting boards, a collaboration with Dry Studios. Thick natural oiled oak finished with a brass hole for function.</t>
  </si>
  <si>
    <t>heavy-towel-bone-white-hand</t>
  </si>
  <si>
    <t>Heavy Towel Bone White Hand</t>
  </si>
  <si>
    <t>Made in Turkey
 Frama Heavy Towels, woven with 30% hemp and 70% organic, GOTS-certified terry cotton, create a warm experience with their textured yet smooth character. Soft and thick, these highly absorbent towels combine natural fibers free from harmful chemicals with double-stitched hems and closed corners. Suitable for use as a kitchen towel or bathroom hand towel. Featuring two loops for easy hanging in either direction.</t>
  </si>
  <si>
    <t>These towels, woven with natural fibers, promise a warm, textured yet smooth experience. Soft, thick, and highly absorbent, they are crafted for comfort without harmful chemicals, featuring durable double-stitched hems and closed corners.</t>
  </si>
  <si>
    <t>heavy-towel-burnt-orange-hand</t>
  </si>
  <si>
    <t>Heavy Towel Burnt Orange Hand</t>
  </si>
  <si>
    <t>Soft and thick, these towels are highly absorbent, combining natural fibers free from harmful chemicals. They feature double-stitched hems and closed corners, suitable for kitchen or bathroom use with two loops for easy hanging in either direction.</t>
  </si>
  <si>
    <t>Hestra</t>
  </si>
  <si>
    <t>Gloves Men</t>
  </si>
  <si>
    <t>20210-710-deerskin-primaloft-rib</t>
  </si>
  <si>
    <t>Deerskin Primaloft Rib Cork</t>
  </si>
  <si>
    <t>Our clear customer favourite! Hestra's classic Deerskin Primaloft Rib is a soft, warm deerskin glove with a knitted cuff and a pre curved fit. Light and compact, this glove keeps you warm on the coldest of days!
 Made with American deerskin, a supple and isolating leather with a beautiful grain texture, and luxurious handfeel.
 Isolated with Primaloft Gold, a soft, down-like insulation with breathable and warming properties, that keeps you warm, even when wet. Lined with a durable brushed polyester lining with a soft feeling. The brushed surface binds more air which provides an even better insulation.</t>
  </si>
  <si>
    <t>A soft, warm deerskin glove primaloft-insulated for the coldest days.</t>
  </si>
  <si>
    <t>20210-100-deerskin-primaloft-rib</t>
  </si>
  <si>
    <t>Gloves Women</t>
  </si>
  <si>
    <t>megan-black</t>
  </si>
  <si>
    <t>Megan Black</t>
  </si>
  <si>
    <t>Hestra's Megan glove is a clean glove in super supple hairsheep leather with a long wool lining.
 Composition:
 Shell: Hairsheep leather
 Lining: 80% wool, 20% polyamide</t>
  </si>
  <si>
    <t>A glove in supple hairsheep leather with a long wool lining.</t>
  </si>
  <si>
    <t>megan-chestnut</t>
  </si>
  <si>
    <t>Megan Chestnut</t>
  </si>
  <si>
    <t>Hestra's Megan glove is a clean glove in super supple hairsheep leather with a long wool lining.
 Composition:
 Shell: Hairsheep leather
 Lining: 80% wool, 20% polyamide</t>
  </si>
  <si>
    <t>emilia-offwhite-natural-grey</t>
  </si>
  <si>
    <t>Emilia Offwhite/Natural grey</t>
  </si>
  <si>
    <t>The Emilia is a soft, warm mitten in a curly wool pile, insulated with Primaloft Gold that warms with a light, down-like feel.
A beautiful everyday fashion accessory for the style-conscious, sewn in fluffy wool/cashmere curly wool pile with palm and details in Italian lamb nappa. A fleece lining and ribbed cuff add to the sense of comfort. Perfect for chilly days in autumn and winter and equally attractive for a dressier look and as part of a more laid-back outfit.
Composition:
- Wool pile Shell: 50% wool,14% cashmere, 14% alpaca, 22% polyamide
- Palm and details: Italian lamb nappa leather
- Cuff: 80% wool, 20% polyamide
- Insulation: Primaloft Gold
- Lining: Brushed polyester fleece</t>
  </si>
  <si>
    <t>A beautiful everyday fashion accessory for the style-conscious, sewn in fluffy wool/cashmere curly wool pile with palm and details in Italian lamb nappa.</t>
  </si>
  <si>
    <t>bergvik-bottle-green</t>
  </si>
  <si>
    <t>Bergvik Bottle green</t>
  </si>
  <si>
    <t>Hestra's Bergvik is a classic warm winter glove sewn in soft but durable nubuck goatskin. 
 A stylish, minimalist men's glove with a short, ribbed cuff and a leather strap with a press stud on the backhand. 
 A soft, polyester fleece lining with Primaloft Gold synthetic insulation provides comfortable warmth on cold winter days.</t>
  </si>
  <si>
    <t>Hestra's Bergvik glove, featuring Primaloft Gold insulation and soft nubuck leather.</t>
  </si>
  <si>
    <t>bergvik-tan</t>
  </si>
  <si>
    <t>Bergvik Tan</t>
  </si>
  <si>
    <t>noah-mustard-multi</t>
  </si>
  <si>
    <t>Noah Mustard Multi</t>
  </si>
  <si>
    <t>Hestra's Noah is a warm leather glove in sturdy nubuck leather, with a backhand in brushed woven wool.
 A soft fleece lining with Primaloft Gold synthetic insulation keeps the hands warm in cold winter weather. The wrist features an elasticated backhand and a ribbed cuff that gently encloses the wrist.</t>
  </si>
  <si>
    <t>Hestra's Noah glove, in soft and durable nubuck leather, featuring a colourful woven wool backhand.</t>
  </si>
  <si>
    <t>ebela-brown</t>
  </si>
  <si>
    <t>kathryn-cork</t>
  </si>
  <si>
    <t>Kathryn Cork</t>
  </si>
  <si>
    <t>Hestra's Kathryn is an elegant, beautifully warming mitten. Sewn in exclusive Italian lamb nappa and lined with soft lambsfur which also creates a warming cuff around the opening of the mitten. 
Kathryn's classic design features handsewn decorative stitching on the backhand. The side gussets add volume, increasing the warmth around the hand, and soft elastic at the inside wrist makes for a comfortable fit.</t>
  </si>
  <si>
    <t>Hestra's elegant, shearling-lined leather mitten.</t>
  </si>
  <si>
    <t>otra-black</t>
  </si>
  <si>
    <t>Otra Black</t>
  </si>
  <si>
    <t>Hestra's Otra is a light, warming mitten with quilted details for a stylish, retro-inspired look. 
Made from supple windproof and water-repellent polyamide ripstop fabric. A soft, brushed polyester lining and Primaloft Gold synthetic insulation gives a warming, down-like feel. A ribbed, wool blend cuff encloses the wrist. Finished with a vintage Hestra logo patch. A caual winter mitten perfect for everyday use.</t>
  </si>
  <si>
    <t>Hestra's retro-inspired, primaloft insulated mitten, Otra.</t>
  </si>
  <si>
    <t>otra-chocolate</t>
  </si>
  <si>
    <t>otra-natural-beige</t>
  </si>
  <si>
    <t>Otra Chocolate</t>
  </si>
  <si>
    <t>Hestra's Otra is a light, warming mitten with quilted details for a stylish, retro-inspired look. 
Made from supple windproof and water-repellent recycled polyamide ripstop fabric. A soft, brushed polyester lining and Primaloft Gold synthetic insulation gives a warming, down-like feel. A ribbed, wool blend cuff encloses the wrist. Finished with a vintage Hestra logo patch. A caual winter mitten perfect for everyday use.</t>
  </si>
  <si>
    <t>Otra Natural beige</t>
  </si>
  <si>
    <t>utsjo-chestnut</t>
  </si>
  <si>
    <t>Utsjö Chestnut</t>
  </si>
  <si>
    <t>Hesstra's Utsjö glove is sewn in high-quality Nordic elk leather with a rustic, natural feel. Thick and warm but also extremely supple, elk leather is a fantastic material for winter gloves. The leather easily marks with use, gaining a patina over time that adds character. 
Utsjö's cut is pre-curved and a fleece lining with Primaloft Gold insulation adds an airy down-like feel. A knitted cuff encases the wrist above an adjustable wrist strap. A comfortable, timeless glove for autumn and winter, equally at home in the city as in the great outdoors.</t>
  </si>
  <si>
    <t>Hestra's Scandinavian elk leather glove, insulated with Primaloft Gold.</t>
  </si>
  <si>
    <t>Ichiko Ichie</t>
  </si>
  <si>
    <t>cedarwood-incense</t>
  </si>
  <si>
    <t>Cedarwood Incense</t>
  </si>
  <si>
    <t>Made in Japan
Ichikō Ichie's NATURAL series aims to deliver the scent of Cedarwood itself.
Cedar is a large conifer and has strong roots, so it has been considered a symbol of great power, and treated as a sacred tree since ancient times. The scent of cedarwood atlas is dry, spicy, and sweet, with a complex aroma. Like a forest bath, that leaves you feeling fresh.
Main note: Woody
Sub note: Oriental, spicy
Ichikō Ichie collects rare natural fragrant woods and essential oils, and continues to explore ways to express the scents created by nature itself in incense. Their short incense sticks are created with the idea that you can easily incorporate a moment of listening to your favorite scent into your routine, even in the middle of a busy day. Working diligently with natural ingredients, Ichikō Ichie crafts incense sticks that are meticulously conditioned to leave the perfect shape of ash and release the perfect amount of smoke.
Contents: 30 incense sticks
Length: 60mm
Burn time: Approx. 15 minutes
Included items: Brand card, scent card, incense mat
Ingredients: Oak bark powder, charcoal powder, Indonesian sandalwood, fragrances, natural cedarwood essential oil
How to use:
- Light the tip and extinguish the flame to release the fragrance.
- Place stick on the included incense mat, or in a fitting incense holder</t>
  </si>
  <si>
    <t>Ichikō Ichie's all natural Cedarwood incense.</t>
  </si>
  <si>
    <t>sandalwood-incense</t>
  </si>
  <si>
    <t>Sandalwood Incense</t>
  </si>
  <si>
    <t>Made in Japan
Ichikō Ichie's NATURAL series aims to deliver the scent of Sandalwood itself.
By blending natural sandalwood oil with Indian sandalwood, which is characterized by its soft sweetness, Ichikō Ichie have created a scent with the natural, spaciousness and depth of sandalwood. The soft sweetness of sandalwood will envelop any mood. A gentle, comforting scent.
Main note: Woody
Sub note: Oriental, powdery
Ichikō Ichie collects rare natural fragrant woods and essential oils, and continues to explore ways to express the scents created by nature itself in incense. Their short incense sticks are created with the idea that you can easily incorporate a moment of listening to your favorite scent into your routine, even in the middle of a busy day. Working diligently with natural ingredients, Ichikō Ichie crafts incense sticks that are meticulously conditioned to leave the perfect shape of ash and release the perfect amount of smoke.
Contents: 30 incense sticks
Length: 60mm
Burn time: Approx. 15 minutes
Included items: Brand card, scent card, incense mat
Ingredients: Oak bark powder, charcoal powder, Indian sandalwood, fragrances, natural sandalwood oil
How to use:
- Light the tip and extinguish the flame to release the fragrance.
- Place stick on the included incense mat, or in a fitting incense holder</t>
  </si>
  <si>
    <t>Ichikō Ichie's all natural Sandalwood incense.</t>
  </si>
  <si>
    <t>rose-green-incense</t>
  </si>
  <si>
    <t>ylang-ylang-incense</t>
  </si>
  <si>
    <t>osmanthus-incense</t>
  </si>
  <si>
    <t>magnolia-incense</t>
  </si>
  <si>
    <t>Rose &amp; Green Incense</t>
  </si>
  <si>
    <t>Made in Japan
Ichikō Ichie's NATURAL series aims to deliver the scent of Rose itself.
Ichikō Ichie have created a pure rose that exudes the scent of not only the flower but also the stems and leaves, just like the vibrant, fresh greenery that decorates the front of a florist shop. The vitality of fresh green balancing the sweetness of the rose flower. Use when you want to take a deep breath, when you want to breathe fresh energy into a room, or as a scent to welcome a friend or loved one.
Main note: Floral
Sub note: Green
Ichikō Ichie collects rare natural fragrant woods and essential oils, and continues to explore ways to express the scents created by nature itself in incense. Their short incense sticks are created with the idea that you can easily incorporate a moment of listening to your favorite scent into your routine, even in the middle of a busy day. Working diligently with natural ingredients, Ichikō Ichie crafts incense sticks that are meticulously conditioned to leave the perfect shape of ash and release the perfect amount of smoke.
Contents: 30 incense sticks
Length: 60mm
Burn time: Approx. 15 minutes
Included items: Brand card, scent card, incense mat
Ingredients: Oak bark powder, charcoal powder, Indian sandalwood, fragrances, natural rose essential oil
How to use:
- Light the tip and extinguish the flame to release the fragrance.
- Place stick on the included incense mat, or in a fitting incense holder</t>
  </si>
  <si>
    <t>Ichikō Ichie's all natural Rose &amp; Green incense.</t>
  </si>
  <si>
    <t>Ylang Ylang Incense</t>
  </si>
  <si>
    <t>Ichikō Ichie's all natural Ylang Ylang incense.</t>
  </si>
  <si>
    <t>Magnolia Incense</t>
  </si>
  <si>
    <t>Made in Japan
Ichikō Ichie's white THINGS series aims to deliver familiar scents for everyday life.
Magnolia blooms flowers upwards towards the sky, painting the trees pure white. The elegant fragrance that drifts on the wind gently announces the arrival of spring. With a white floral base and accented with musk, Ichikō Ichie's Magnolia incense has depth and calm, and an elegant lingering aftertaste. Made to calm your tensions, and even lift your mood.
Main note: Floral
Subnote: Musky
Ichikō Ichie collects rare natural fragrant woods and essential oils, and continues to explore ways to express the scents created by nature itself in incense. Their short incense sticks are created with the idea that you can easily incorporate a moment of listening to your favorite scent into your routine, even in the middle of a busy day. Working diligently with natural ingredients, Ichikō Ichie crafts incense sticks that are meticulously conditioned to leave the perfect shape of ash and release the perfect amount of smoke.
Contents: 30 incense sticks
Length: 60mm
Burn time: Approx. 15 minutes
Included items: Brand card, scent card, incense mat
Ingredients: Oak bark powder, charcoal powder, Indian sandalwood, fragrances
How to use:
- Light the tip and extinguish the flame to release the fragrance.
- Place stick on the included incense mat, or in a fitting incense holder</t>
  </si>
  <si>
    <t>Ichikō Ichie's Magnolia incense.</t>
  </si>
  <si>
    <t>Osmanthus Incense</t>
  </si>
  <si>
    <t>Made in Japan
Ichikō Ichie's white THINGS series aims to deliver familiar scents for everyday life.
With the arrival of autumn, the sweet ostmanthus or "kinmokusei" (sweet orange flower) blooms in abundance. In the past, it was also called "senri-ko" (a flower with a thousand fragrances) because its scent is carried far away on the wind. Ichikō Ichie's Osmanthus is an incense that not only has the scent of the kinmokusei flower itself, but also projects the image of the arrival of autumn. The slightly powdery finish expresses the nostalgia you feel through the scent of kinmokusei in the cool autumn breeze.
Main note: Floral
Sub note: Powdry
Ichikō Ichie collects rare natural fragrant woods and essential oils, and continues to explore ways to express the scents created by nature itself in incense. Their short incense sticks are created with the idea that you can easily incorporate a moment of listening to your favorite scent into your routine, even in the middle of a busy day. Working diligently with natural ingredients, Ichikō Ichie crafts incense sticks that are meticulously conditioned to leave the perfect shape of ash and release the perfect amount of smoke.
Contents: 30 incense sticks
Length: 60mm
Burn time: Approx. 15 minutes
Included items: Brand card, scent card, incense mat
Ingredients: Oak bark powder, charcoal powder, Indian sandalwood, fragrances
How to use:
- Light the tip and extinguish the flame to release the fragrance.
- Place stick on the included incense mat, or in a fitting incense holder</t>
  </si>
  <si>
    <t>Ichikō Ichie's Osmanthus incense.</t>
  </si>
  <si>
    <t>Sneaker Men</t>
  </si>
  <si>
    <t>jasper-black-black</t>
  </si>
  <si>
    <t>Jasper Black/Black</t>
  </si>
  <si>
    <t>Made in Cambodia
 Keen's original climbing-inspired outdoors sneaker, Jasper. As comfortable heading to the crag as it is around town.
 The climbing-inspired rubber outsole wraps around the bottom of the shoe for good grip and more protection, while remaining flexible and comfortable. The suede uppers are lined with a breathable mesh lining, closed with laces that go from tongue to toe.
 The Jaspers are delivered with two sets of different coloured laces, letting you switch up the look.
 Details
 - Premium leather upper from LWG-certified tannery
 - Low profile rubber outsole
 - Tongue to toe lacing, including two sets of laces
 - Removable PU insole for long-lasting comfort
 - Eco Anti-Odour for natural odour control
 - Contoured fit for a secure fit</t>
  </si>
  <si>
    <t>Keen's original climbing-inspired sneaker.</t>
  </si>
  <si>
    <t>jasper-silver-mink</t>
  </si>
  <si>
    <t>jasper-rocks-sky-captain-curry</t>
  </si>
  <si>
    <t>Jasper Rocks Sky Captain/Curry</t>
  </si>
  <si>
    <t>Made in Cambodia
 Keen's climbing-inspired outdoors sneaker, Jasper Rocks, updates their Jasper sneaker with a more robust look and bungee-laces.
 The high-traction rubber outsole wraps around the bottom of the shoe for good grip and more protection, while remaining flexible and comfortable. The suede and textile uppers are waterproof, but breathable. Made with a cork and latex footbed for all-day comfort.
 The Jasper rocks are fitted with a bungee-lace system for easy on and off, but are also delivered with a set of regular laces, letting you switch up the look.
 Details
 - Waterproof leather and textile upper
 - Premium leather from LWG-certified tannery
 - High Traction rubber outsole
 - Tongue to toe lacing, including two sets of laces
 - Removable PU insole for long-lasting comfort
 - Eco Anti-Odour for natural odour control
 - Original Keen fit with generous space across forefoot letting your toes spread out</t>
  </si>
  <si>
    <t>Keen's Jasper Rocks updates the classic Jasper with bungee-laces and a wider fit.</t>
  </si>
  <si>
    <t>Sneaker Women</t>
  </si>
  <si>
    <t>jasper-rocks-w-baked-clay</t>
  </si>
  <si>
    <t>Jasper Rocks W Baked Clay</t>
  </si>
  <si>
    <t>Made in Cambodia
 Keen's climbing-inspired outdoors sneaker, Jasper Rocks, updates their Jasper sneaker with a more robust look and bungee-laces.
 The high-traction rubber outsole wraps around the bottom of the shoe for good grip and more protection, while remaining flexible and comfortable. The suede and textile uppers are waterproof, but breathable. Made with a cork and latex footbed for all-day comfort.
 The Jasper rocks are fitted with a bungee-lace system for easy on and off, but are also delivered with a set of regular laces, letting you switch up the look.
 Details
 - Waterproof leather and textile upper
 - Premium leather from LWG-certified tannery
 -High Traction rubber outsole
 - Tongue to toe lacing, including two sets of laces
 - Removable PU insole for long-lasting comfort
 - Eco Anti-Odour for natural odour control
 -Original Keen fit with generous space across forefoot letting your toes spread out</t>
  </si>
  <si>
    <t>jasper-nostalgia-rose-birch</t>
  </si>
  <si>
    <t>Jasper Nostalgia Rose/Birch</t>
  </si>
  <si>
    <t>Jasper Silver Mink</t>
  </si>
  <si>
    <t>jasper-zionic-orange-pepper-aura-orange</t>
  </si>
  <si>
    <t>Jasper Zionic Orange Pepper/Aura Orange</t>
  </si>
  <si>
    <t>Made in Vietnam
The Jasper Zionic combines the performance of a fast and light hiker with the clean and sleek look from the climbing-inspired Jasper.
The lightweight and responsive outsole ensures grip on the trail, while the upper of the Jasper has proven it's versatilty when styled for the city.
Jasper Zionic features a contoured fit, which follows the contours of your foot for a comfortably snug fit.
 Details
 - Premium leather upper from LWG-certified tannery
 - Higher-traction rubber outsole with 4 mm multi-directional lugs
 - Tongue to toe lacing, including two sets of laces
 - Removable and resilient foam insole for long-lasting comfort
 - Stability shank for lightweight stability 
 - Eco Anti-Odour for natural odour control
 - Contoured fit for a secure fit</t>
  </si>
  <si>
    <t>Keen's hybrid sneaker, the Jasper Zionic.</t>
  </si>
  <si>
    <t>jasper-zionic-safari-sky-captain</t>
  </si>
  <si>
    <t>Jasper Zionic Safari/Sky Captain</t>
  </si>
  <si>
    <t>Kinfill</t>
  </si>
  <si>
    <t>dish-soap-refills</t>
  </si>
  <si>
    <t>Dish Soap Refill</t>
  </si>
  <si>
    <t>At the core of Kinfill is a mission to offer high-performance formulas without any harsh chemicals. Their Dish Soap has a powerful liquid formula that helps scrub off stuck-on food and grease to reveal clean, and shiny dishes. All while leaving your hands smooth and soft, with a pleasant scent of lemon and basil.
 Kinfill's Refill Pouch is made from 80% less plastic compared to standard dish soap bottles and has been developed to be fully and easily recyclable. Refill for their Italian glass Forever bottles.
 Made with no harmfull ingredients, minimal single-use plastic, no animal cruelty.</t>
  </si>
  <si>
    <t>Kinfill's Dish Soap has a powerful formula for clean, shiny dishes and smooth hands, with a refreshing lemon and basil scent.</t>
  </si>
  <si>
    <t>dish-soap-starter-kit</t>
  </si>
  <si>
    <t>Dish Soap Starter Kit</t>
  </si>
  <si>
    <t>At the core of Kinfill is a mission to offer high-performance formulas without any harsh chemicals. Their Dish Soap has a powerful liquid formula that helps scrub off stuck-on food and grease to reveal clean, and shiny dishes. All while leaving your hands smooth and soft, with a pleasant scent of lemon and basil.
 The Dish Soap Starer Kit includes
 - 1 Italian glass Forever bottle, pre-filled with Kinfill's powerful dish soap
 - Colour coded rubber anti-slip base
 Buy it once, refill it forever. When you start to run out, refill it.
 Made with no harmfull ingredients, no single-use plastic, no animal cruelty.</t>
  </si>
  <si>
    <t>A powerful liquid formula for scrubbing off stuck-on food and grease, revealing clean, shiny dishes. Leaves hands smooth, soft, with a pleasant scent of lemon and basil.</t>
  </si>
  <si>
    <t>full-house-refills</t>
  </si>
  <si>
    <t>Full House Refills</t>
  </si>
  <si>
    <t>Kinfill's Full House refills 
 At the core of Kinfill is a mission to offer high-performance cleaning products without any harsh chemicals. Each extract is packed with responsibly sourced, toxin-free cleaning agents and natural fragrances — so you can be sure they’re effective, safe, and all-around pleasant to use.
 The Full House Refill set includes four vials of cleaning concentrates, to refill your Full House Forever bottles.
 Made with no harmfull ingredients, no single-use plastic, no animal cruelty.</t>
  </si>
  <si>
    <t>Each extract, responsibly sourced, toxin-free cleaning agents, natural fragrances—effective, safe, pleasant.</t>
  </si>
  <si>
    <t>kitchen-cleaner-refills-cucumis</t>
  </si>
  <si>
    <t>Kitchen Cleaner Refills - Cucumis</t>
  </si>
  <si>
    <t>Kinfill's Kitchen Cleaner works delightfully on everything from stainless steel to natural stone, it leaves no halos whatsoever, and of course, the Cucumis scent smells great.
 The refill set includes two vials of cleaning concentrate. Enough to fillKinfill's spray bottlestwice.
 Top notes: Cucumber, green mandarinHeart notes: Galia melon, violet, pear, jasmine, freesia,Base notes: Orris
 Made with no harmfull ingredients, no single-use plastic, no animal cruelty.</t>
  </si>
  <si>
    <t>Leaves no halos, great Cucumis scent. Refill set includes two vials of cleaning concentrate. Enough to fill spray bottles twice.</t>
  </si>
  <si>
    <t>Kinto</t>
  </si>
  <si>
    <t>travel-tumbler-350-ml-black</t>
  </si>
  <si>
    <t>Travel Tumbler 350 ml Black</t>
  </si>
  <si>
    <t>Kinto's Travel Tumbler is designed for people who lead a conscious and flexible lifestyle, and is perfect on the go. Both good looking and functional, with a leak proof lid, that lets you slip it in your purse without risk, or take it on your bike ride.
 The cap is simple, easy to clean, without excess details and lets you drink from any angle pleasantly, like drinking out of a glass or mug. A special structure catches ice cubes, and drinks pour at a perfect rate.
 The vacuum insulated tumbler has great heat and cold retention, and maintains the aroma and flavor of drinks for a long time.Keeps drinks hot and cold for 6 hours.For maximum insulation efficiency, preheat or precool the tumbler prior to use by filling in a bit of hot/cold water for 1-2 mins.</t>
  </si>
  <si>
    <t>For people who lead a conscious and flexible lifestyle, perfect on the go. Good looking and functional, with a leak-proof lid for risk-free travel or bike rides.</t>
  </si>
  <si>
    <t>travel-tumbler-350-ml-white, travel-tumbler-350-ml-khaki</t>
  </si>
  <si>
    <t>travel-tumbler-350-ml-khaki</t>
  </si>
  <si>
    <t>Travel Tumbler 350 ml Khaki</t>
  </si>
  <si>
    <t>Designed for a conscious, flexible lifestyle, perfect on the go. Good looking, functional, with a leak-proof lid for risk-free portability. Ideal for bike rides.</t>
  </si>
  <si>
    <t>travel-tumbler-350-ml-black, travel-tumbler-350-ml-white</t>
  </si>
  <si>
    <t>travel-tumbler-350-ml-white</t>
  </si>
  <si>
    <t>Travel Tumbler 350 ml White</t>
  </si>
  <si>
    <t>Designed for people with a conscious, flexible lifestyle. Perfect for on-the-go use. Good looking and functional with a leak-proof lid, ideal for travel.</t>
  </si>
  <si>
    <t>travel-tumbler-350-ml-black, travel-tumbler-350-ml-khaki</t>
  </si>
  <si>
    <t>travel-tumbler-500ml-stainless-steel</t>
  </si>
  <si>
    <t>Travel Tumbler 500ml Stainless Steel</t>
  </si>
  <si>
    <t>Kinto's Travel Tumbler is designed for people who lead a conscious and flexible lifestyle, and is perfect on the go. Both good looking and functional, with a leak proof lid, that lets you slip it in your purse without risk, or take it on your bike ride.
 The cap is simple, easy to clean, without excess details and lets you drink from any angle pleasantly, like drinking out of a glass or mug. A special structure catches ice cubes, and drinks pour at a perfect rate.
 The vacuum insulated tumbler has great heat and cold retention, and maintains the aroma and flavor of drinks for a long time.Keeps drinks hot and cold for 6 hours.For maximum insulation efficiency, preheat or precool the tumbler prior to use by filling in a bit of hot/cold water for 1-2 mins.
 500 mL capacity.</t>
  </si>
  <si>
    <t>Kinto's Travel Tumbler is designed for people who lead a conscious and flexible lifestyle, and is perfect on the go. The cap is simple, and easy to clean.</t>
  </si>
  <si>
    <t>cotton-paper-filt-2cup</t>
  </si>
  <si>
    <t>Cotton paper filter 2cup</t>
  </si>
  <si>
    <t>Made in Japan
 Kinto's conic coffee filters, designed to be used with Kinto's 2 cup Brewer.
 Made with a blend of cotton pulp and tree pulp, these filters have the same size as the well known Hario V60 01 filters, and also work well in Hario brewers. Kinto's cotton paper filters are slightly thicker, but also more porous, and make great, clean cup.</t>
  </si>
  <si>
    <t>Kinto's cotton paper filters blend cotton pulp and tree pulp, designed for Kinto's 2 cup Brewer. Comparable in size to Hario V60 01 filters, they offer a clean cup.</t>
  </si>
  <si>
    <t>cotton-paper-filt-4cup</t>
  </si>
  <si>
    <t>Cotton paper filter 4cup</t>
  </si>
  <si>
    <t>Made in Japan
 Kinto's conic coffee filters, designed to be used with Kinto's 4 cup Brewer.
 Made with a blend of cotton pulp and tree pulp, these filters have the same size as the well known Hario V60 01 filters, and also work well in Hario brewers. Kinto's cotton paper filters are slightly thicker, but also more porous, and make great, clean cup.</t>
  </si>
  <si>
    <t>Kinto's cotton paper filters, made for the 4 cup Brewer, share the size with Hario V60 01 filters. They're a bit thicker, more porous, ensuring a clean cup.</t>
  </si>
  <si>
    <t>water-bottle-500-ml-amber</t>
  </si>
  <si>
    <t>Water Bottle 500 ml Amber</t>
  </si>
  <si>
    <t>Kinto's lightweight and compact water bottle is made of high quality transparent copolyester, which is durable and scratch resistant. The lid opens with a single twist and has a handle that is comfortable to hold, making it convenient to carry around. The bottle's beautiful form and transparency stands out when you put water inside.
 500 mL capacity.</t>
  </si>
  <si>
    <t>The lid opens with a single twist. It has a handle that is comfortable to hold, making it convenient to carry around.</t>
  </si>
  <si>
    <t>water-bottle-500-ml-blue, water-bottle-500-ml-green, water-bottle-500-ml-clear, water-bottle-500-ml-smoke</t>
  </si>
  <si>
    <t>water-bottle-500-ml-clear</t>
  </si>
  <si>
    <t>Water Bottle 500 ml Clear</t>
  </si>
  <si>
    <t>The lid opens with a single twist, and has a comfortable handle, making it convenient to carry. The bottle's transparency stands out when filled with water.</t>
  </si>
  <si>
    <t>water-bottle-500-ml-blue, water-bottle-500-ml-green, water-bottle-500-ml-smoke, water-bottle-500-ml-amber</t>
  </si>
  <si>
    <t>water-bottle-500-ml-smoke</t>
  </si>
  <si>
    <t>Water Bottle 500 ml Smoke</t>
  </si>
  <si>
    <t>The lid opens with a single twist and has a handle, making it convenient to carry. The bottle's form and transparency shine when filled with water.</t>
  </si>
  <si>
    <t>water-bottle-500-ml-blue, water-bottle-500-ml-green, water-bottle-500-ml-clear, water-bottle-500-ml-amber</t>
  </si>
  <si>
    <t>water-bottle-500-ml-blue</t>
  </si>
  <si>
    <t>Water Bottle 500 ml Blue</t>
  </si>
  <si>
    <t>The lid opens with a twist and has a comfortable handle, making it easy to carry. The bottle's transparency stands out with water inside.</t>
  </si>
  <si>
    <t>water-bottle-500-ml-green, water-bottle-500-ml-clear, water-bottle-500-ml-smoke, water-bottle-500-ml-amber</t>
  </si>
  <si>
    <t>water-bottle-500-ml-green</t>
  </si>
  <si>
    <t>Water Bottle 500 ml Green</t>
  </si>
  <si>
    <t>The lid opens easily with just a twist and features a comfortable handle for carrying. Its unique form and transparency highlight the beauty when filled with water.</t>
  </si>
  <si>
    <t>water-bottle-500-ml-blue, water-bottle-500-ml-clear, water-bottle-500-ml-smoke, water-bottle-500-ml-amber</t>
  </si>
  <si>
    <t>w750-cashmere-lt-grey</t>
  </si>
  <si>
    <t>w750-cashmere-winter-white</t>
  </si>
  <si>
    <t>tabitha-lilac-mix</t>
  </si>
  <si>
    <t>tabitha-cashmere-denim-chine</t>
  </si>
  <si>
    <t>water-bottle-950-ml-amber</t>
  </si>
  <si>
    <t>Water Bottle 950 ml Amber</t>
  </si>
  <si>
    <t>Kinto's lightweight and compact water bottle is made of high quality transparent copolyester, which is durable and scratch resistant. The lid opens with a single twist and has a handle that is comfortable to hold, making it convenient to carry around. The bottle's beautiful form and transparency stands out when you put water inside.
 950 mL capacity.</t>
  </si>
  <si>
    <t>The lid opens with a twist and has a comfortable handle, convenient to carry. The bottle's beautiful form and transparency shines when filled with water.</t>
  </si>
  <si>
    <t>water-bottle-950-ml-blue, water-bottle-950-ml-green, water-bottle-950-ml-clear, water-bottle-950-ml-smoke</t>
  </si>
  <si>
    <t>w750-cashmere-black</t>
  </si>
  <si>
    <t>water-bottle-950-ml-blue</t>
  </si>
  <si>
    <t>Water Bottle 950 ml Blue</t>
  </si>
  <si>
    <t>The lid opens with a single twist and has a comfortable handle, convenient to carry. The bottle's form and transparency are highlighted with water inside.</t>
  </si>
  <si>
    <t>water-bottle-950-ml-green, water-bottle-950-ml-clear, water-bottle-950-ml-smoke, water-bottle-950-ml-amber</t>
  </si>
  <si>
    <t>water-bottle-950-ml-clear</t>
  </si>
  <si>
    <t>Water Bottle 950 ml Clear</t>
  </si>
  <si>
    <t>The lid opens with a single twist, featuring a comfortable handle. Convenient to carry around, its beautiful form and transparency stand out.</t>
  </si>
  <si>
    <t>water-bottle-950-ml-blue, water-bottle-950-ml-green, water-bottle-950-ml-smoke, water-bottle-950-ml-amber</t>
  </si>
  <si>
    <t>water-bottle-950-ml-green</t>
  </si>
  <si>
    <t>Water Bottle 950 ml Green</t>
  </si>
  <si>
    <t>The lid opens with a single twist and has a comfortable handle, making it convenient to carry. The bottle's transparency stands out with water inside.</t>
  </si>
  <si>
    <t>water-bottle-950-ml-blue, water-bottle-950-ml-clear, water-bottle-950-ml-smoke, water-bottle-950-ml-amber</t>
  </si>
  <si>
    <t>water-bottle-950-ml-smoke</t>
  </si>
  <si>
    <t>Water Bottle 950 ml Smoke</t>
  </si>
  <si>
    <t>The lid opens with a single twist and has a handle, making it convenient to carry. The bottle's form and transparency are notable with water inside.</t>
  </si>
  <si>
    <t>water-bottle-950-ml-blue, water-bottle-950-ml-green, water-bottle-950-ml-clear, water-bottle-950-ml-amber</t>
  </si>
  <si>
    <t>ava-japan-black-comfort</t>
  </si>
  <si>
    <t>Ava Japan Black Comfort</t>
  </si>
  <si>
    <t>Made in Portugal
 The Japan Black Comfort. Made from a 10,6 Oz black comfort wideloom denim woven at the renowned Japanese fabric mill, Kuroki. This particular fabric have been made with a premium black sulphur dye that keep the dark shade longer than most fabrics in the same segment. While all black denim loose colour, this particular denim fades in contrast after wear. This is due a special technique called rope dye, whereas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All black denim will loose its colour. Some transform into a dull grey version of itself, but this particular denim, fades in contrast giving more and more life, resulting in a denim that only get more beautiful with age.
 Another small detail. The surface of this particular denim has been an anti-dust treatment, preventing lint from attaching to the surface of the fabric. 
 Details &amp; Features
 - 10,6 Oz comfort wideloom denim from Kuroki, Japan
 - 96% cotton / 4% polyurethane
 - Warp &amp; weft dyed in black
 - 5 Oz ecru canvas pocketing
 - Black leather patch w/ wax treatment. Made in Italy
 - YKK two-prongtack, silver button and zip fly
 - YKK solid copper washed-burr rivets
 - Stitched with poly core cotton thread
 - Made at Lisama, Portugal
 Model is 173 cm and wears a size 26/34
 Go to our fitguide to read more about the Ava fit.
 Available sizes are 24-33 in 32″ inseam and 26-33 in 34″ inseam.</t>
  </si>
  <si>
    <t>Made from black denim with a premium dye, this fabric retains its dark shade longer, fading in contrast with wear due to a special dye technique.</t>
  </si>
  <si>
    <t>Made in Portugal
 The Japan Black Comfort. Made from a 10,6 Oz black comfort wideloom denim woven at the renowned Japanese fabric mill, Kuroki. This particular fabric have been made with a premium black sulphur dye that keep the dark shade longer than most fabrics in the same segment. While all black denim loose colour, this particular denim fades in contrast after wear. This is due a special technique called rope dye, whereas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All black denim will loose its colour. Some transform into a dull grey version of itself, but this particular denim, fades in contrast giving more and more life, resulting in a denim that only get more beautiful with age.
 Another small detail. The surface of this particular denim has been an anti-dust treatment, preventing lint from attaching to the surface of the fabric. 
 Details &amp; Features
 - 10,6 Oz comfort wideloom denim from Kuroki, Japan
 - 96% cotton / 4% polyurethane
 - Warp &amp; weft dyed in black
 - 5 Oz ecru canvas pocketing
 - Black leather patch w/ wax treatment. Made in Italy
 - YKK two-prongtack, silver button and zip fly
 - YKK solid copper washed-burr rivets
 - Stitched with poly core cotton thread
 - Made at Lisama, Portugal
 Model is 178 cm and wears a size 26/34
 Go to our fitguide to read more about the Vår skinny fit.
 Available sizes are 24-34 in 32″ inseam and 26-34 in 34″ inseam.</t>
  </si>
  <si>
    <t>ava-japan-blue-shadow</t>
  </si>
  <si>
    <t>Ava Japan Blue Shadow</t>
  </si>
  <si>
    <t>Made In Portugal
 Ava, our mid-rise skinny fit was quietly launched during the autumn of last year and quickly earned a top spot as one of our most popular models throughout our range of women’s fits. Being a mid- to high-rise skinny fit with a slightly bold curve enabled a wide rage of body types to acclaim our mid-rise as their new favourite companion.
 The Japan Blue Shadow is made from a 10,7 oz rinsed comfort wide-loom fabric from the renowned Japanese mill Kuroki Ltd. This top of the line garment features a 3×1 twill weave with indigo dyed warp x black reactive dyed weft. During production the cotton yarns are dipped using a method called rope dyed, where the yarns are dipped in such short intervalls between oxidation that the colour won’t completely penetrate the fibers. This leaves a white cotton core inside the fiber which will slowly appear as contrast fading throughout the jeans as friction tear the coloured layers off the fibers. Being it’s made from long staple cotton fibers with a 4% added polyester for increased comfort, it’ll mold neatly to the body while keeping its shape after wear.
 The garment features:
 – 10,7 Oz wideloom denim from Kuroki, Japan.
 – Indigo dyed warp x black reactive dyed weft
 – 96% co/4% PL Sanforized cotton
 – Waxed leather back patch
 – 5 oz ecru canvas pocke ting
 – YKK copper zipper
 – YKK solid copper washer-burr rivets
 – Stitched with high quality poly core cotton thread
 – Cut &amp; Sewn at Lisama in Portugal
 Model is 173 cm and wears a size 26/34
 Go to our fitguide to read more about the Ava Mid-Rise</t>
  </si>
  <si>
    <t>Ava, our mid-rise skinny fit, quickly became a popular model across our range. A mid- to high-rise skinny, it fits a wide range of body types, becoming a new favorite.</t>
  </si>
  <si>
    <t>Made in Portugal
 The Japan Indigo. Made from a beautiful mid-weight wideloom denim woven at the renowned Japanese fabric mill, Kuroki. This particular fabric was built by Kuroki with a main goal at hand, creating a comfortable stretch denim that maintained the look of a rigid (100% cotton) denim. That is also particularly why this denim is the most widely used denim-article throughout our collections, now being the fabric of choice for 10 different core-styles in our rage. A super versatile denim, beautiful in all types of shades in addition to providing great comfort, stretch and recovery after wear. A safe choice for all who loves a pair of genuine fitting jeans in their wardrobe.
 Made in our slim/straight leg jeans, Ella.
 Details &amp; Features
 - 13 Oz comfort wideloom denim from Kuroki, Japan. 
 - 98% cotton / 2% polyurethane
 - Warp dyed in indigo, natural coloured weft
 - 5 Oz ecru canvas pocketing 
 - Tanned leather patch w/ wax treatment, Made in Italy. 
 - YKK two-prongtack, silver button and zip fly
 - YKK solid copper washed-burr rivets
 - Stitched with poly core cotton thread
 - Made at Lisama, Portugal
 Model is 178 cm and wears a size 26/34
 Go to our fit guide to read more about the Ella Slim/straight. 
 Available sizes are 24-34 in 32” inseam and 26-34 in 34” inseam.</t>
  </si>
  <si>
    <t>Made in Portugal
 The Ida is made from a pre-shrunk 100% cotton jersey exclusively made for Livid in Portugal. This is the same jersey fabric we've used on our men's Richmond tee for many years, especially popular for its durability and comfortable handfeel.
 Made in our classic t-shirt fit, Ida features a regular slim fit built to rest close to the body for consistency of comfort. A wardrobe essential regardless of seasonal trends.
 The garment features:
 - 100% pre-shrunk cotton
 - 220 gsm jersey
 - Tonal Livid embroidery on the chest- Poly core cotton thread
 - Made at Texgoios in Portugal.
 Model is 176 cm and wears a size small
 Go to our fit guide to read more about the Ida. 
 Available sizes xsmall to xlarge</t>
  </si>
  <si>
    <t>Made from pre-shrunk 100% cotton jersey, popular for its durability and comfortable handfeel. A classic t-shirt fit, designed to be a wardrobe essential regardless of seasonal trends.</t>
  </si>
  <si>
    <t>Made in Portugal
 The Japan Black Comfort. Made from a 10,6 Oz black comfort wideloom denim woven at the renowned Japanese fabric mill, Kuroki. This particular fabric have been made with a premium black sulphur dye that keep the dark shade longer than most fabrics in the same segment. While all black denim loose colour, this particular denim fades in contrast after wear. This is due a special technique called rope dye, whereas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All black denim will loose its colour. Some transform into a dull grey version of itself, but this particular denim, fades in contrast giving more and more life, resulting in a denim that only get more beautiful with age.
 Another small detail. The surface of this particular denim has been an anti-dust treatment, preventing lint from attaching to the surface of the fabric. 
 Details &amp; Features
 - 10,6 Oz comfort wideloom denim from Kuroki, Japan
 - 96% cotton / 4% polyurethane
 - Warp &amp; weft dyed in black
 - 5 Oz ecru canvas pocketing
 - Black leather patch w/ wax treatment. Made in Italy
 - YKK two-prongtack, silver button and zip fly
 - YKK solid copper washed-burr rivets
 - Stitched with poly core cotton thread
 - Made at Lisama, Portugal
 Model is 178 cm and wears a size 26/34
 Go to our fitguide to read more about the Tia fit.
 Available sizes are 24-33 in 32″ inseam and 26-33 in 34″ inseam.</t>
  </si>
  <si>
    <t>tia-japan-indigo, tia-japan-blue</t>
  </si>
  <si>
    <t>Made in Portugal
 The Japan Indigo. Made from a beautiful mid-weight wideloom denim woven at the renowned Japanese fabric mill, Kuroki. This particular fabric was built by Kuroki with a main goal at hand, creating a comfortable stretch denim that maintained the look of a rigid (100% cotton) denim. That is also particularly why this denim is the most widely used denim-article throughout our collections, now being the fabric of choice for 10 different core-styles in our rage. A super versatile denim, beautiful in all types of shades in addition to providing great comfort, stretch and recovery after wear. A safe choice for all who loves a pair of genuine fitting jeans in their wardrobe.
 Made in our wide leg jeans, Tia.
 Details &amp; Features
 - 13 Oz comfort wideloom denim from Kuroki, Japan. 
 - 98% cotton / 2% polyurethane
 - Warp dyed in indigo, natural coloured weft
 - 5 Oz ecru canvas pocketing 
 - Tanned leather patch w/ wax treatment, Made in Italy. 
 - YKK two-prongtack, silver button and zip fly
 - YKK solid copper washed-burr rivets
 - Stitched with poly core cotton thread
 - Made at Lisama, Portugal
 Model is 178 cm and wears a size 26/34
 Go to our fit guide to read more about the Tia Wide.
 Available sizes are 24-34 in 32” inseam and 26-34 in 34” inseam.</t>
  </si>
  <si>
    <t>Our high-waisted straight, in our deep blue wash</t>
  </si>
  <si>
    <t>tia-japan-blue, tia-japan-black</t>
  </si>
  <si>
    <t>Made in Portugal
 The Japan Indigo Rinse. Made from a mid-weight wideloom denim woven at the renowned Japanese fabric mill, Kuroki. This particular denim has been woven with dual core-spun yarns which greatly improves the stretch, recovery, comfort and flexibility properties in the denim. Dual core-spun yarns are also composed of filament – fibers having extreme length - that contributes durability and long-lasting quality. In short terms a fabric that molds to the body, keeps it shape and is made to last longer both in regards to esthetics and simple durability.
 Made in our skinny fit jeans, Vår. 
 Details &amp; Features
 - 11,8 Oz comfort wideloom denim from Kuroki, Japan. 
 - 96% cotton / 2% polyurethane / 2% polyethylene
 - Woven with dual core-spun yarns
 - Warp dyed in indigo, natural coloured weft
 - 8 Oz / 5 Oz ecru canvas pocketing
 - Tanned leather patch w/ wax treatment, Made in Italy 
 - YKK two-prongtack, silver button and zip fly
 - YKK solid copper washed-burr rivets
 - Stitched with poly core cotton thread
 - Made at Lisama, Portugal
 Model is 178 cm and wears a size 26/34
 Go to our fit guide to read more about the Vår Skinny
 Available sizes are 24-34 in 32” inseam and 26-34 in 34” inseam.</t>
  </si>
  <si>
    <t>Made in Portugal
 The Japan Blue. Made from a beautiful mid-weight wideloom denim woven at the renowned Japanese fabric mill, Kuroki. This particular fabric was built by Kuroki with a main goal at hand, creating a comfortable stretch denim that maintained the look of a rigid (100% cotton) denim. That is also particularly why this denim is the most widely used denim-article throughout our collections, now being the fabric of choice for 10 different core-styles in our rage. A super versatile denim, beautiful in all types of shades in addition to providing great comfort, stretch and recovery after wear. A safe choice for all who loves a pair of genuine fitting jeans in their wardrobe.
 Made in our wide leg jeans, Tia.
 Details &amp; Features
 - 13 Oz comfort wideloom denim from Kuroki, Japan. 
 - 98% cotton / 2% polyurethane
 - Warp dyed in indigo, natural coloured weft
 - 5 Oz ecru canvas pocketing 
 - Tanned leather patch w/ wax treatment, Made in Italy. 
 - YKK two-prongtack, silver button and zip fly
 - YKK solid copper washed-burr rivets
 - Stitched with poly core cotton thread
 - Made at Lisama, Portugal
 Model is 178 cm and wears a size 26/34
 Go to our fit guide to read more about the Tia Wide.
 Available sizes are 24-34 in 32” inseam and 26-34 in 34” inseam.</t>
  </si>
  <si>
    <t>jess-banana-tech</t>
  </si>
  <si>
    <t>Jess Banana Tech</t>
  </si>
  <si>
    <t>Keri Black Linen</t>
  </si>
  <si>
    <t>The Keri Linen is Made in a beautiful 100% Linen quality woven by Klasikine in Lithuania. This particular fabric is light weight, soft and very comfortable to wear. Because linen has natural temperature-regulating properties, it is one of those miraculous natural fibers that will keep you cool during the summer. 
 Keri sits on the hips and has wide cropped legs. Starting from the top it is constructed with an open waistband, curved and comfortable through hip and seat with a dropped crotch. Then straight from top of thigh all the way down ending in a slightly flared leg opening.
 Keri is perfect for those who likes a more relaxed fit with a flared look or for someone with a generous build where normal issues with fitting is a tight waistband. Keri can be worn high in the waist or lower on the hips depending on sizing and preference.
 Details &amp; Features
 - 100% Linen fabric from Klasikine in Lithuania
 - 5 Oz ecru canvas pocketing
 - Black leather patch w/ wax treatment, Made in Italy.
 - YKK two-prongtack, silver button and zip fly
 - Stitched with poly core cotton thread
 - Made at Lisama, Portugal
 The model is 178 cm and wears a size 26/34.
 Go to our fit guide to read more about the wide leg fit, Keri.
 Available sizes are 24-33 in 32” inseam, and 26-34 in 34 inseam."</t>
  </si>
  <si>
    <t>keri-green-linen, keri-magnet-linen, keri-stone-linen, keri-white-linen</t>
  </si>
  <si>
    <t>Made in Portugal
 The Japan Black Comfort. Made from a 10,6 Oz black comfort wideloom denim woven at the renowned Japanese fabric mill, Kuroki. This particular fabric have been made with a premium black sulphur dye that keep the dark shade longer than most fabrics in the same segment. While all black denim loose colour, this particular denim fades in contrast after wear. This is due a special technique called rope dye, whereas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All black denim will loose its colour. Some transform into a dull grey version of itself, but this particular denim, fades in contrast giving more and more life, resulting in a denim that only get more beautiful with age.
 Another small detail. The surface of this particular denim has been an anti-dust treatment, preventing lint from attaching to the surface of the fabric. 
 Details &amp; Features
 - 10,6 Oz comfort wideloom denim from Kuroki, Japan
 - 96% cotton / 4% polyurethane
 - Warp &amp; weft dyed in black
 - 5 Oz ecru canvas pocketing
 - Black leather patch w/ wax treatment. Made in Italy
 - YKK two-prongtack, silver button and zip fly
 - YKK solid copper washed-burr rivets
 - Stitched with poly core cotton thread
 - Made at Lisama, Portugal
 Model is 178 cm and wears a size 26/34
 Go to our fitguide to read more about the Ella fit.
 Available sizes are 24-34 in 32″ inseam and 26-34 in 34″ inseam.</t>
  </si>
  <si>
    <t>Made in Portugal
 The Ida is made from a pre-shrunk 100% organic cotton jersey exclusively made for Livid in Portugal. This is the same jersey fabric we've used on our men's Richmond tee for many years, especially popular for its durability and comfortable handfeel. Made in our classic t-shirt fit, Ida. A regular slim fit built to rest close to the body for consistency of comfort. A wardrobe essential regardless of seasonal trends.
 The garment features:
 - 100% pre-shrunk organic cotton
 - 220 gsm jersey
 - Tonal Livid embroidery on the chest
 - Made at Texgoios in Portugal.
 Go to our fit guide to read more about the Ida.
 Available in size XS to XL. 
 How it's made</t>
  </si>
  <si>
    <t>Eva White</t>
  </si>
  <si>
    <t>Made in Portugal
 Our jersey top Eva is one of our jersey essentials. Eva is made in a soft 100% organic cotton jersey made in Portugal.
 Eva features a slim shape, wide neck opening with a narrow jersey rib at neck and sleeve opening.
 The shape gives a relaxed silhouette and a perfect complement to any outfit you may want to pull off.
 The garment features:
 - 100% organic cotton
 - 160 gsm pre-shrunk jersey
 - Poly core cotton thread
 - Made at Texgoios in Portugal
 Go to our fit guide to read more about the Eva. 
 Available in sizes XS to XL.</t>
  </si>
  <si>
    <t>Our jersey top Eva is one of our jersey essentials. Featuring a slim shape, wide neck opening with a narrow jersey rib at the neck and sleeve opening.</t>
  </si>
  <si>
    <t>eva-black, eva-magnet</t>
  </si>
  <si>
    <t>iris-black, 002-alipne-white-w</t>
  </si>
  <si>
    <t>leslie-black-flower</t>
  </si>
  <si>
    <t>Leslie Black Flower</t>
  </si>
  <si>
    <t>Made in Portugal
 Introducing our new jeans model Isla, featuring a straight, relaxed leg and a mid-rise waist - a modern and endurable classic. Isla is constructed with a straighter waist from the hips up to the waistband, making it a good fit for persons with a straighter build.
 Made from a 13 Oz 100% cotton, black wideloom denim woven by the renowned Japanese fabric mill, Kuroki. 
 While all black denim will loose colour eventually, this particular denim fades in contrast after wear, evolving a beautiful personal pattern. This is due a special technique called rope dye, whereas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Model is 178 cm and wears a size 26/34.
 Made in a one-wash finish to increase softness of touch.
 Available sizes are 24-33 in 32” inseam and 26-34 in 34” inseam.</t>
  </si>
  <si>
    <t>sile-wool-scarf-butter</t>
  </si>
  <si>
    <t>Sile wool scarf Butter</t>
  </si>
  <si>
    <t>Made in Portugal
 Sile, our large scarf with long tassles. In a luxuriously yarn from Italian producer Millefili, made with superior extra fine merino wool.
 The garment features:
 - 93% 120S extra fine merino, 7% polyamide
 - RWS, Responsible Wool Standard, certified wool
 - Yarns spun by Millefili in Italy
 - Knitted at Malhas da Torre in Portugal</t>
  </si>
  <si>
    <t>Made with superior extra fine merino wool, our large scarf features long tassels. Crafted using yarns spun by Millefili in Italy, certified merino ensures quality in every stitch.</t>
  </si>
  <si>
    <t>sile-wool-scarf-black, sile-wool-scarf-ceramic</t>
  </si>
  <si>
    <t>sile-wool-scarf-ceramic</t>
  </si>
  <si>
    <t>Sile wool scarf Ceramic</t>
  </si>
  <si>
    <t>Made in Portugal
 Sile, our large scarf with long tassles.
 Made from a soft, light and airy boucle yarn from Italian producer Millefili.
 The garment features:
 - Boucle yarn, 65% wool, 35% polyamide
 - RWS, Responsible Wool Standard, certified wool
 - Yarns spun by Millefili in Italy
 - Knitted at Malhas da Torre in Portugal</t>
  </si>
  <si>
    <t>Our Sile scarf, large with long tassels, is made of a soft, light, airy boucle yarn from Millefili.</t>
  </si>
  <si>
    <t>sile-wool-scarf-black, sile-wool-scarf-butter</t>
  </si>
  <si>
    <t>sile-wool-scarf-black</t>
  </si>
  <si>
    <t>Sile wool scarf Black</t>
  </si>
  <si>
    <t>Our large scarf with long tassels, made from a soft, light, and airy boucle yarn by Italian producer Millefili.</t>
  </si>
  <si>
    <t>sile-wool-scarf-ceramic, sile-wool-scarf-butter</t>
  </si>
  <si>
    <t>Top</t>
  </si>
  <si>
    <t>teli-black</t>
  </si>
  <si>
    <t>Teli Black</t>
  </si>
  <si>
    <t>Made in Portugal.
 The Teli Pullover, a versatile wool garment. Featuring an open V-neck, dropped shoulders and a relaxed body with room to accommo date heavy layering. A hybrid layer that works equally well as an outdoors garment in autumn and spring, as a warming indoor garment or midlayer in colder winter months. Layer up!
 Made in 100% Casentino wool, a luxurious Italian wool quality from the Casentino valley in Tuscany, that has a history dating back to the middle ages. World renowned for its high quality, and its neppy surface pile. 
 Details:
 - 100% Casentino wool
 - Woven by T.A.C.S., Italy
 - Stitched with polycore cotton thread
 - Made at Outfit21 in Portugal.</t>
  </si>
  <si>
    <t>The Teli Pullover, made in 100% Casentino wool, a luxurious Italian wool quality world renowned for its high quality, and its neppy surface pile.</t>
  </si>
  <si>
    <t>Naia Black</t>
  </si>
  <si>
    <t>Made in Portugal 
 Our maxi-fit t-shirt, Naia. Made from a pre-shrunk 100% organic cotton jersey exclusively made for Livid in Portugal. This is the same jersey fabric we've used on our men's Richmond tee for many years, especially popular for its durability and comfortable handfeel. Built with a generous silhouette ideal for someone who likes a more relaxed look. A wardrobe essential regardless of seasonal trends.
 The garment features:
 - 100% organic cotton
 - 220 gsm pre-shrunk jersey
 - Livid-embroidery on chest
 - Poly core cotton thread
 - Made at Texgoios in Portugal
 Go to our fit guide to read more about the Naia T-Shirt. 
 Available in size XS to XL.</t>
  </si>
  <si>
    <t>Our maxi-fit t-shirt, Naia, is made from pre-shrunk 100% organic cotton jersey. Durable and comfortable, it's ideal for a relaxed look, essential regardless of trends.</t>
  </si>
  <si>
    <t>naia-green-1</t>
  </si>
  <si>
    <t>nil-turtle</t>
  </si>
  <si>
    <t>Nil Turtle</t>
  </si>
  <si>
    <t>Made in Portugal 
 Nil, our longsleeve turtleneck. An understated basic made in a cotton jersey with 10% cashmere added for a luxuriously soft touch. Made to become your everyday favourite.
 Made from a pre-shrunk jersey developed by Livid, and exclusively made in Portugal. This particular jersey combines 10% cashmere with GOTS 4.0 certified organic cotton. 
 Details &amp; Features
 - 10% cashmere, 90% organic cotton GOTS 4.0 certified
 - Pre-shrunk jersey developed by Livid
 - Turtle neck
 - Poly core cotton thread
 - Made at Texgoios in Portugal</t>
  </si>
  <si>
    <t>An understated basic made in cotton/cashmere jersey with a soft touch, designed to become your everyday favourite.</t>
  </si>
  <si>
    <t>ella-japan-blue</t>
  </si>
  <si>
    <t>Ella Japan Blue</t>
  </si>
  <si>
    <t>Made in Portugal
 The Japan Blue. Made from a beautiful mid-weight wideloom denim woven at the renowned Japanese fabric mill, Kuroki. This particular fabric was built by Kuroki with a main goal at hand, creating a comfortable stretch denim that maintained the look of a rigid (100% cotton) denim. That is also particularly why this denim is the most widely used denim-article throughout our collections, now being the fabric of choice for 10 different core-styles in our rage. A super versatile denim, beautiful in all types of shades in addition to providing great comfort, stretch and recovery after wear. A safe choice for all who loves a pair of genuine fitting jeans in their wardrobe.
 Made in our slim/straight leg jeans, Ella.
 Details &amp; Features
 - 13 Oz comfort wideloom denim from Kuroki, Japan. 
 - 98% cotton / 2% polyurethane
 - Warp dyed in indigo, natural coloured weft
 - 5 Oz ecru canvas pocketing 
 - Tanned leather patch w/ wax treatment, Made in Italy. 
 - YKK two-prongtack, silver button and zip fly
 - YKK solid copper washed-burr rivets
 - Stitched with poly core cotton thread
 - Made at Lisama, Portugal
 Model is 178 cm and wears a size 26/34.
 Go to our fit guide to read more about the Ella Slim/straight. 
 Available sizes are 24-34 in 32” inseam and 26-34 in 34” inseam.</t>
  </si>
  <si>
    <t>This denim was created with comfort and the look of rigid denim in mind, serving as the core for multiple styles, offering versatility, great fit, and ease of wear.</t>
  </si>
  <si>
    <t>Made in Portugal
 Introducing Ann, our curved, high rise tapered fit. Identical to our popular Tia from the waist to the thigh, Ann then tapers to a slimmer leg opening. Perfect for the customer who wants a slimmer silhouette, but needs more room at the hip and thigh, or a customer who wants a relaxed tapered look.
 The Japan Black Comfort. Made from a 10,6 Oz black comfort wideloom denim woven at the renowned Japanese fabric mill, Kuroki. This particular fabric have been made with a premium black sulphur dye that keep the dark shade longer than most fabrics in the same segment. While all black denim loose colour, this particular denim fades in contrast after wear. This is due a special technique called rope dye, whereas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All black denim will loose its colour. Some transform into a dull grey version of itself, but this particular denim, fades in contrast giving more and more life, resulting in a denim that only get more beautiful with age.
 Another small detail. The surface of this particular denim has been given an anti-dust treatment, preventing lint from attaching to the surface of the fabric. 
 Details &amp; Features
 - 10,6 Oz comfort wideloom denim from Kuroki, Japan
 - 96% cotton / 4% polyurethane
 - Warp &amp; weft dyed in black
 - 5 Oz ecru canvas pocketing
 - Black leather patch w/ wax treatment. Made in Italy
 - YKK two-prongtack, silver button and zip fly
 - YKK solid copper washed-burr rivets
 - Stitched with poly core cotton thread
 - Made at Lisama, Portugal
 Model is 178 cm and wears a size 26/34.
 Available sizes are 24-33 in 32″ inseam and 26-34 in 34″ inseam.</t>
  </si>
  <si>
    <t>Made in Portugal
 Our rib jersey top Nile is one of our jersey essentials. Nile is made in a soft 100% cotton rib jersey made in Portugal.
 Nile features a slim shape, an open neck opening with a solid jersey rib at neck and sleeve opening.
 The garment features:
 - 100% cotton
 - Pre-shrunk rib jersey, knitted at Etevimol, Portugal
 - Poly core cotton thread
 - Made at Texgoios in Portugal
 Available in sizes XS to XL.</t>
  </si>
  <si>
    <t>nile-white, nile-chalk, nile-cashmere-natural</t>
  </si>
  <si>
    <t>mila-black</t>
  </si>
  <si>
    <t>Mila White</t>
  </si>
  <si>
    <t>Featuring dropped shoulders, a relaxed silhouette and a shorter length that ends perfectly at the hips.
 Made from a pre-shrunk 100% cotton jersey, knitted in a lighter weight than our regular tees for a fluid drape and easier feel.
 The garment features:
 - 100% cotton
 - 150 gsm pre-shrunk jersey
 - Sewn with durable poly-core cotton thread
 - Jersey knitted at Etevimol in Portugal
 - Made at Texgoios in Portugal</t>
  </si>
  <si>
    <t>mila-black-1, mila-grey-melange, mila-brown-stripe, mila-indigo-stripe</t>
  </si>
  <si>
    <t>Eva Black</t>
  </si>
  <si>
    <t>Made in Portugal
 Our jersey top Eva is one of our jersey essentials. Eva is made in a soft 100% organic cotton jersey made in Portugal.
 Eva features a slim shape, wide neck opening with a narrow jersey rib at neck and sleeve opening.
 The shape gives a relaxed silhouette and a perfect complement to any outfit.
 The garment features:
 - 100% cotton
 - 150 gsm pre-shrunk jersey
 - Sewn with strong poly core cotton thread
 - Jersey knitted at Etevimol in Portugal
 - Made at Texgoios in Portugal</t>
  </si>
  <si>
    <t>eva-white, eva-magnet</t>
  </si>
  <si>
    <t>Ann Japan Dawn</t>
  </si>
  <si>
    <t>Made in Portugal
 Introducing Ann, our curved, high rise tapered fit. Identical to our popular Tia from the waist to the thigh, Ann then tapers to a slimmer leg opening. Perfect for the customer who wants a slimmer silhouette, but needs more room at the hip and thigh, or a customer who wants a relaxed tapered look.
 The Japan Dawn, our rich mid-blue wash. Made from a beautiful mid-weight wideloom denim woven at the renowned Japanese fabric mill, Kuroki. This particular fabric was built by Kuroki with a main goal at hand, creating a comfortable stretch denim that maintained the look of a rigid (100% cotton) denim. That is also why this denim is the most widely used denim-article throughout our collections, now being the fabric of choice for more than 10 different core-styles in our rage. A super versatile denim, beautiful in all types of shades in addition to providing great comfort, stretch and recovery after wear. A safe choice for all who loves a pair of genuine fitting jeans in their wardrobe.
 Details &amp; Features
 - 13 Oz comfort wideloom denim from Kuroki, Japan.
 - 98% cotton / 2% polyurethane
 - Warp dyed in indigo, natural coloured weft
 - 5 Oz ecru canvas pocketing
 - Tanned leather patch w/ wax treatment, Made in Italy.
 - YKK two-prongtack, silver button and zip fly
 - YKK solid copper washed-burr rivets
 - Stitched with poly core cotton thread
 - Made at Lisama, Portugal
 Model is 178 cm and wears a size 26/34.
 Available sizes are 24-33 in 32″ inseam and 26-34 in 34″ inseam.</t>
  </si>
  <si>
    <t>Introducing Ann, our curved, high-rise tapered fit. Perfect for those who need more room at the hip and thigh, or for a relaxed tapered look.</t>
  </si>
  <si>
    <t>Made in Portugal
 Introducing Live, our straight waisted slim/straight. With a slim fit in the thigh, and straight from the knee down, Live has a classic slim/straight silhouette. Live has a straigher fit from hip to waist, making it an ideal fit for a straighter build.
 The Japan Black Comfort. Made from a 10,6 Oz black comfort wideloom denim woven at the renowned Japanese fabric mill, Kuroki. This particular fabric have been made with a premium black sulphur dye that keep the dark shade longer than most fabrics in the same segment. While all black denim loose colour, this particular denim fades in contrast after wear. This is due a special technique called rope dye, whereas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All black denim will loose its colour. Some transform into a dull grey version of itself, but this particular denim, fades in contrast giving more and more life, resulting in a denim that only gets more beautiful with age.
 Another small detail. The surface of this particular denim has been an anti-dust treatment, preventing lint from attaching to the surface of the fabric. 
 Details &amp; Features
 - 10,6 Oz comfort wideloom denim from Kuroki, Japan
 - 96% cotton / 4% polyurethane
 - Warp &amp; weft dyed in black
 - 5 Oz ecru canvas pocketing
 - Black leather patch w/ wax treatment. Made in Italy
 - YKK two-prongtack, silver button and zip fly
 - YKK solid copper washed-burr rivets
 - Stitched with poly core cotton thread
 - Made at Lisama, Portugal
 Model is 178 cm and wears a size 26/34.</t>
  </si>
  <si>
    <t>Made in Portugal
 Introducing Live, our straight waisted slim/straight. With a slim fit in the thigh, and straight from the knee down, Live has a classic slim/straight silhouette. Live has a straigher fit from hip to waist, making it an ideal fit for a straighter build.
 The Japan Indigo. Made from a beautiful mid-weight wideloom denim woven at the renowned Japanese fabric mill, Kuroki. This particular fabric was built by Kuroki with a main goal at hand, creating a comfortable stretch denim that maintained the look of a rigid (100% cotton) denim. That is also particularly why this denim is the most widely used denim-article throughout our collections, now being the fabric of choice for 10 different core-styles in our rage. A super versatile denim, beautiful in all types of shades in addition to providing great comfort, stretch and recovery after wear. A safe choice for all who loves a pair of genuine fitting jeans in their wardrobe.
 Details &amp; Features
 - 13 Oz comfort wideloom denim from Kuroki, Japan. 
 - 98% cotton / 2% polyurethane
 - Warp dyed in indigo, natural coloured weft
 - 5 Oz ecru canvas pocketing 
 - Tanned leather patch w/ wax treatment, Made in Italy. 
 - YKK two-prongtack, silver button and zip fly
 - YKK solid copper washed-burr rivets
 - Stitched with poly core cotton thread
 - Made at Lisama, Portugal
 Model is 178 cm and wears a size 26/34.</t>
  </si>
  <si>
    <t>evie-japan-indigo-rinse</t>
  </si>
  <si>
    <t>Evie Japan Indigo Rinse</t>
  </si>
  <si>
    <t>Made in Portugal
 Introducing Evie, our open-waist slim fit. Evie features slim legs and a generous, open waist, designed to fit a rounder bodytype with a larger waist. Made in a dual corespun Japanese stretch denim, with 8% stretch but still a good solid handfeel and made with long fibered cotton. Evie delivers a comfortable stretch with great recovery and a high quality feel.
 The Japan Indigo Rinse. Made from a solid mid-weight wideloom denim woven at the renowned Japanese fabric mill, Kuroki. This particular denim has been woven with dual core-spun yarns which greatly improves the stretch, recovery, comfort and flexibility properties in the denim. In short terms a fabric that molds to the body, keeps it shape and is made to last longer both in regards to esthetics and simple durability.
 Given just a simple rinse to give the denim a softer handfeel, the Japan Indigo Rinse will evolve beautifully over time, due to the rope-dye technique used in the indigo dying process. 
 Details &amp; Features
 - 13 Oz comfort wideloom denim from Kuroki, Japan. 
 - 92% cotton / 4% polyurethane / 4% polyethylene
 - Woven with dual core-spun yarns
 - Warp rope dyed in indigo, natural coloured weft
 - 8 Oz / 5 Oz ecru canvas pocketing
 - Tanned leather patch w/ wax treatment, Made in Italy 
 - YKK two-prongtack, silver button and zip fly
 - YKK solid copper washed-burr rivets
 - Stitched with poly core cotton thread
 - Made at Lisama, Portugal
 Available sizes are 28-40 in a 32” inseam.</t>
  </si>
  <si>
    <t>Evie features slim legs and a generous, open waist, designed to fit a rounder body type with a larger waist. Made in a dual corespun Japanese stretch denim.</t>
  </si>
  <si>
    <t>Made in Portugal
 Introducing Faye, our rigid curved straight fit. Made in a Japanese denim quality, 100% cotton, washed for a soft handfeel. Faye is curved at the waist giving a great fit, with a straight silhouette that slightly tapers at the leg opening. A very classic, but super relevant fit in this moment, that goes perfectly with your favourite pair of boots.
 Faye Japan Dawn features our mid-blue wash, made in a solid 13 Oz 100% cotton denim from the renowned Japanese denim mill Kuroki. Soft to the touch, the Japan Dawn reveals an incredible depth of colour and wonderful texture, due to the long-fibred indigo rope-dyed yarns of the fabric. Not too light, and not too dark, the Japan Dawn strikes the perfect balance for your everyday mid-blue needs. A definite essential.
 Details &amp; Features
 - Mid-blue washed rope-dyed indigo denim
 - 13 Oz wideloom denim from Kuroki, Japan
 - 100% Sanforized cotton
 - Warp dyed in indigo, natural coloured weft
 - 8 Oz ecru canvas pocketing
 - Tanned leather patch w/ wax treatment, Made in Italy.
 - YKK two-prongtack, silver button fly
 - YKK solid copper washed-burr rivets
 - Stitched with poly core cotton thread
 - Made at Lisama, Portugal
 Model is 178 cm and wears a size 26/34.
 Available sizes are 25-32 in 32” inseam, and 26-33 in 34 inseam."</t>
  </si>
  <si>
    <t>Made in Portugal
 Faye, our rigid curved straight fit.
 Made in a Japanese denim quality, 100% cotton, washed for a soft handfeel. Faye is curved at the waist giving a great fit, with a straight silhouette that slightly tapers at the leg opening. A very classic, but super relevant fit in this moment, that goes perfectly with your favourite pair of boots.
 Faye Japan Shadow is made from a 13 Oz 100% cotton, black wideloom denim woven by the renowned Japanese fabric mill, Kuroki. Washed down to a lived-in look. The Japan Shadow achieves a subtle depth and texture to the greying black, thanks to the 
 special dyeing technique called rope dye, where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Details &amp; Features
 - 13 Oz wideloom denim from Kuroki, Japan
 - 100% Sanforized cotton
 - Warp &amp; Weft sulphur dyed black
 - 8 Oz 5 Oz ecru canvas pocketing
 - Black leather patch w/ wax treatment, Made in Italy.
 - YKK two-prongtack, silver button and zip fly
 - YKK solid copper washed-burr rivets
 - Stitched with poly core cotton thread
 - Made at Lisama, Portugal
 Model is 178 cm and wears a size 26/34.
 Available sizes are 25-32 in 32” inseam, and 26-33 in 34" inseam.</t>
  </si>
  <si>
    <t>iro-sage-green-1</t>
  </si>
  <si>
    <t>Iro Sage Green</t>
  </si>
  <si>
    <t>lily-plum-check-1</t>
  </si>
  <si>
    <t>Lily Plum Check</t>
  </si>
  <si>
    <t>ernie-grey</t>
  </si>
  <si>
    <t>Ernie Grey</t>
  </si>
  <si>
    <t>Ernie Coat is a full length coat, made in an exclusive mohair pile, woven at the legendary teddybear manufacturer Steiff-Schulte in Germany. The result: A fur that is both cruelty free and free from micro plastics.
 Ernie has wide set-in sleeves, dropped shoulders and a generous collar and lapel. The collar can be worn closed with hook and eye at the center front and lapel, to protect the neck on the coldest days.
 Ernie is produced with our longtime partner Octa in Portugal. A small leather and fur workshop with four employees.
 Garment features:
 - 100% mohair pile, on a 100% cotton base- Fabric woven by Steiff-Schulte in Germany
 - Mother-of-pearl buttons from Louropel
 - Hook and eye closure at collar and lapel
 - 100% polyester lining from Cervotessile 
 - Pocket lining from Cervotessile</t>
  </si>
  <si>
    <t>Ernie Coat is a full length coat, made in an exclusive mohair pile, woven at the legendary teddybear manufacturer Steiff-Schulte in Germany. The result: A fur that is both cruelty free and free from micro plastics.</t>
  </si>
  <si>
    <t>joelle-japan-black, saige-black</t>
  </si>
  <si>
    <t>fir-black-heavy-satin</t>
  </si>
  <si>
    <t>Fir Japan Black Heavy Satin</t>
  </si>
  <si>
    <t>Made in Portugal
 Introducing the Fir, our front pleat trouser. With a high rise the Fir is slim at the waistband, curving out to give ample room at the hip, flowing down to a wide leg opening. Made in a black, heavy satin. 
 This satin is made from an acetate fibre developed by Eastman Naia, where the process starts with pine and eucalyptus wood, sourced exclusively from sustainably managed forests and plantations in North America and Brazil. The textile is then woven and finished by Komon Koubu in Japan. 
 The satin has a gently crushed texture that serves an eminent sheen to the surface, whilst being matt and delicate against the skin.
 Details &amp; Features
 - 100% acetate satin fabric- Woven by Komon Koubu, Japan- Mother of pearl buttons made by Louropel in Italy- YKK zipper
 - Stitched with poly core cotton thread.- Made at Outfit21 in Portugal</t>
  </si>
  <si>
    <t>The Fir trouser offers a high rise, slim at the waistband, with ample room at the hip, flowing down to a wide leg opening.</t>
  </si>
  <si>
    <t>fir-off-white</t>
  </si>
  <si>
    <t>Made in Portugal
 Keri Japan Black. Made from a 13 Oz 100% cotton, black wideloom denim woven by the renowned Japanese fabric mill, Kuroki. 
 Sulphur dyed for a black colour that stays black for a long time. While all black denim will loose colour eventually, this particular denim fades in contrast after wear, evolving a beautiful personal pattern. This is due a special technique called rope dye, whereas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Details &amp; Features
 - 13 Oz wideloom denim from Kuroki, Japan
 - One wash to increase softness
 - 100% Sanforized cotton
 - Warp &amp; Weft dyed in black
 - 8 Oz 5 Oz ecru canvas pocketing
 - Black leather patch w/ wax treatment, Made in Italy.
 - YKK two-prongtack, silver button and zip fly
 - YKK solid copper washed-burr rivets
 - Stitched with poly core cotton thread
 - Made at Lisama, Portugal
 Go to our fit guide to read more about the loose leg fit, Keri.</t>
  </si>
  <si>
    <t>Our wide straight Keri in Black.</t>
  </si>
  <si>
    <t>keri-japan-dawn, keri-japan-broken, keri-japan-fog, keri-japan-gravel</t>
  </si>
  <si>
    <t>Bags</t>
  </si>
  <si>
    <t>len-white-croco</t>
  </si>
  <si>
    <t>Len White Croco</t>
  </si>
  <si>
    <t>Made in Portugal
 Introducing Len, our leather tote.Made from 100% vegetable tanned cow leather, with crocodile embossing, from the Italian tannery, Lo Stivalle.
 Designed to fit all your daily essentials. Len features long tote handles allowing it to be carried on the shoulder, along with a detachable shoulder strap for cross-body wear.
 Details
 - 100% vegetable tanned cow leather
 - Lo Stivalle, Italian Tannery- Crocodile embossed
 - Detachable shoulder strap- Inside pocket- Stainless steel hardware
 - Made by Belcinto in Portugal</t>
  </si>
  <si>
    <t>Len, our leather tote, is designed to fit all your essentials. With long handles for shoulder carry and a detachable strap for cross-body wear, it's versatile for daily use.</t>
  </si>
  <si>
    <t>Belt</t>
  </si>
  <si>
    <t>oak-black-nappa</t>
  </si>
  <si>
    <t>Oak Black Nappa</t>
  </si>
  <si>
    <t>Made in Portugal
 From our All Seasons Collection-line comes our riveted belt, Oak. Made from 100% real vegetable tanned cow leather from the Italian tannery, Lo Stivalle. Designed with a minimal heritage inclination that spares unnecessary details yet provides durable construction mixed with the utmost in quality leather. Featuring a reliable buckle and premium materials that will make this a staple product that will last you many a seasons!
 Details
 - Classic leather belt
 - 100% real vegetable tanned cow leather
 - Lo Stivalle, Italian Tannery
 - Stainless steel rivets
 - Reliable buckle in stainless steel
 - Made by Belcinto in Portugal</t>
  </si>
  <si>
    <t>Our riveted belt, Oak, is made from vegetable tanned cow leather, designed with durability in mind. Features a reliable buckle and premium materials for lasting use.</t>
  </si>
  <si>
    <t>Made in Portugal
 Our maxi-fit shirt, Tiki. Made in an incredible pure noil silk fabric woven by the artisanal mill Kowa in Japan. Made with a slubby Thai silk yarn, and woven with artisanal skill, this particular fabric combines an organic texture with elegant drape and movement.
 Noil silk is produced with the shorter silk fibres that are left over from production of other silk fabrics. Spun together these differing fibre lengths give the silk yarn a rougher texture, and a matte finish compared to the sheen from continuous silk fibres. Stronger than cotton, noil silk features a heavy fluid drape and has excellent temperature regulating properties, breathing and keeping you cool and dry in hot weather and warm in cold climates.
 Tiki is designed with a generous straight cut, featuring a clean front placket, box pleat at the back yoke, curved hem, and pleats at cuff. Mother of pearl buttons at cuffs and placket.
 Details
 - 100% noil silk farmed in Thailand
 - Woven by Kowa in Japan
 - Real mother of pearl buttons made by Louropel in Italy
 - Stitched with high quality poly core cotton thread
 - Made at Stork in Portugal</t>
  </si>
  <si>
    <t>Our maxi-fit shirt, Tiki. Made in an incredible pure noil silk fabric woven by the artisanal mill Kowa in Japan.</t>
  </si>
  <si>
    <t>Made in Portugal
 Introducing Margo, our relaxed tapered fit. Identical to our popular Keri from the waist through the thigh, but tapered from the knee.
 Margo Japan Black is made from a 13 Oz 100% cotton, black wideloom denim woven by the renowned Japanese fabric mill, Kuroki. 
 While all black denim will loose colour eventually, this particular denim fades in contrast after wear, evolving a beautiful personal pattern. This is due a special technique called rope dye, whereas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Made in a one-wash finish to increase softness of touch.
 Details &amp; Features
 - 13 Oz wideloom denim from Kuroki, Japa
 - One wash to increase softness
 - 100% Sanforized cotton
 - Warp &amp; Weft sulphur dyed black
 - 8 Oz 5 Oz ecru canvas pocketing
 - Black leather patch w/ wax treatment, Made in Italy.
 - YKK two-prongtack, silver button and zip fly
 - YKK solid copper washed-burr rivets
 - Stitched with poly core cotton thread
 - Made at Lisama, Portugal
 Model is 178 cm and wears a size 26/34.</t>
  </si>
  <si>
    <t>aiden-shirtdress-beige-stripe-oxford</t>
  </si>
  <si>
    <t>Aiden Shirtdress Beige Stripe Oxford</t>
  </si>
  <si>
    <t>Made in Portugal.
 Aiden Shirtdress. This effortless shirtdress is based on our popular big shirt Aiden, featuring very dropped shoulders, a wide body and long, dress length curved hems. Topped off with authentic details inspired by traditional Oxford shirts such as the widerbutton-down collar with a pronounced collar roll, a chest pocket, and a hangar loop on the back yoke.
 Made in a solid heavy Oxford cloth, woven by Somelos i Portugal exclusively for Livid, featuring wide beige stripes.
 Details
 - Plain weave oxford fabric, 100% cotton.
 - Woven by Somelos in Portugal exclusively for Livid
 - Mother of Pearl buttons from Louropel, Portugal
 - Hanger loop on back yoke
 - Stitched with poly core cotton thread
 - Cut &amp; Sewn by Stork, Portugal
 The Aiden Shirtdress is made in two sizes, S and M. Size S features shorter sleeves, good for customers that usually wear sizes XS and S. Size M fits longer, for customers M to XL.</t>
  </si>
  <si>
    <t>This shirtdress boasts very dropped shoulders, a wide body, and long, dress length curved hems, designed with a pronounced collar roll, a chest pocket, and a hangar loop on the back yoke.</t>
  </si>
  <si>
    <t>nel-black</t>
  </si>
  <si>
    <t>Nel Black</t>
  </si>
  <si>
    <t>Made in Portugal.
 Introducing our T-shirt dress Nel. Made with elbow length sleeves and dropped shoulders for a relaxed fit, finished with side splits at the hem.
 Nel is made in a drapey ponte roma jersey, knitted at Etevimol in Portugal. This doubleknit jersey features a soft handfeel, and a good drape, while keeping a solid strutcture that resists creases and wrinkles throughout your day.
 Details:
 - 40% Lycocell, 20% cotton, 34% polyamide, 6% elastane
 - Made with Lenzing Ecovero lycocell
 - Ponte roma jersey knitted at Etevimol in Portugal
 - Stitched with durable poly core cotton thread
 - Made at Texgoios in Portugal</t>
  </si>
  <si>
    <t>Introducing Nel, a relaxed fit T-shirt dress with elbow length sleeves, dropped shoulders, and side splits at the hem for a comfortable, drapey look.</t>
  </si>
  <si>
    <t>nile-black, nile-chalk, nile-cashmere-natural</t>
  </si>
  <si>
    <t>tinker-light-check</t>
  </si>
  <si>
    <t>Tinker Light Check</t>
  </si>
  <si>
    <t>Made in Portugal.
 Introducing our long shirtdress Tinker. Designed for a relaxed fit, Tinker has dropped shoulders, with a straight, slightly A-lined body. Made with shirting details including a box pleat at the back yolk, and mother of pearl buttoning throughout. Tinker's full length ends with a straight hem with splits. 
 Made in lightweight seersucker fabric woven by Somelos in Portugal exclusively for Livid. This particular fabric is developed to have a fluid drape, and incredible lightness. The puckering of the seersucker fabric keeps the fabric away from the skin, creating a cooling effect in the summer heat.
 Details
 - Lightweight seersucker fabric, 98% cotton, 2% elastan
 - Woven by Somelos in Portugal exclusively for Livid
 - Mother of Pearl buttons from Louropel, made in Italy
 - Stitched with poly core cotton thread
 - Cut &amp; Sewn by Stork, Portugal</t>
  </si>
  <si>
    <t>Designed for a relaxed fit with dropped shoulders, a straight, slightly A-lined body, shirting details, a back yolk box pleat, and mother of pearl buttoning throughout. Ends with a straight hem with splits.</t>
  </si>
  <si>
    <t>tuck-black, hayes-black, plath-stone-merino, desert-trek-dark-grey</t>
  </si>
  <si>
    <t>iris-black, balbi-black</t>
  </si>
  <si>
    <t>mila-black-1</t>
  </si>
  <si>
    <t>Mila Black</t>
  </si>
  <si>
    <t>mila-black, mila-grey-melange, mila-brown-stripe, mila-indigo-stripe</t>
  </si>
  <si>
    <t>needle-tee-white-fluid-1</t>
  </si>
  <si>
    <t>Needle Tee White Fluid</t>
  </si>
  <si>
    <t>Made in Portugal
 Introducing the Needle Tee, our relaxed fluid tee constructed with dropped shoulders, a loose body, slits at the bottom hem, and a slightly longer back.
 Made in a light lyocell/cotton jersey exhibiting fantastic drape, and that breathes and wicks moisture to a much higher degree than pure cotton. A definite spring/summer essential. 
 The garment features:
 - 67% lyocell, 33% cotton
 - 160 gsm pre-shrunk jersey
 - Sewn with strong poly core cotton thread
 - Jersey knitted at Etevimol in Portugal
 - Made at Texgoios in Portugal</t>
  </si>
  <si>
    <t>Introducing the Needle Tee, our relaxed fluid tee constructed with dropped shoulders, a loose body, slits at the bottom hem, and a slightly longer back.</t>
  </si>
  <si>
    <t>nash-black</t>
  </si>
  <si>
    <t>aiden-brown-grunge-check-1</t>
  </si>
  <si>
    <t>Aiden Brown Grunge Check</t>
  </si>
  <si>
    <t>Made in Portugal.
 Aiden, our unisex big shirt. A super oversized shirt, featuring authentic details from traditional Oxford shirts such as the wider collar with a pronounced button-down collar roll, a chest pocket, and the hangar loop on the back yoke. The fit however is big: Very dropped shoulders, very wide body and long curved hems. The wider sleeves gather nicely at the cuffs.
 Made in lightweight seersucker fabric woven by Somelos in Portugal exclusively for Livid. This particular fabric is developed to have a fluid drape, and incredible lightness. 
 Details
 - Lightweight seersucker fabric, 98% cotton, 2% elastan
 - Woven by Somelos in Portugal exclusively for Livid
 - Mother of Pearl buttons from Louropel, Portugal
 - Hanger loop on back yoke
 - Stitched with poly core cotton thread
 - Cut &amp; Sewn by Stork, Portugal
 Designed to be unisex, the sleeve lengths have a greater jump between sizes S and M. XS and S fit most women and shorter men, M and L fit most men and taller women.</t>
  </si>
  <si>
    <t>A super oversized shirt with dropped shoulders, wide body, and long hems. Features a wider collar with a pronounced button-down roll, a chest pocket, and a hangar loop on the back yoke.</t>
  </si>
  <si>
    <t>keri-stone-linen</t>
  </si>
  <si>
    <t>Made in Portugal
 Introducing Joelle, our curved high-rise wide fit. Joelle is super high-waisted, wide and straight from the hips down, giving a flared or baggy silhouette. Joelle is curved in the waist, relaxed over the hips, and wide all the way down. 
 Joelle Japan Black is made from a 13 Oz 100% cotton, black wideloom denim woven by the renowned Japanese fabric mill, Kuroki. 
 Sulphur dyed for a black colour that stays black for a long time. While all black denim will loose colour eventually, this particular denim fades in contrast after wear, evolving a beautiful personal pattern. This is due a special technique called rope dye, whereas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Details &amp; Features
 - 13 Oz wideloom denim from Kuroki, Japan
 - One wash to increase softness
 - 100% Sanforized cotton
 - Warp &amp; Weft dyed in black
 - 8 Oz 5 Oz ecru canvas pocketing
 - Black leather patch w/ wax treatment, Made in Italy.
 - YKK two-prongtack, silver button and zip fly
 - YKK solid copper washed-burr rivets
 - Stitched with poly core cotton thread
 - Made at Lisama, Portugal
 Model is 178 cm and wears a size 26/34.
 Joelle can sit high in the waist, or lower on the hips, depending on preference. For customers with a slim waist, we advise to size down one size for a high-rise fit.
 Available sizes are 25-32 in 34” inseam.</t>
  </si>
  <si>
    <t>Joelle is super high-waisted, wide, and straight from the hips down, giving a flared or baggy silhouette.</t>
  </si>
  <si>
    <t>lando-multistripe</t>
  </si>
  <si>
    <t>Made in Portugal
 Our rib jersey top Nile is one of our jersey essentials. Nile is made in a soft 100% cotton rib jersey made in Portugal.
 Nile features a slim shape, an open neck opening with a solid jersey rib at neck and sleeve opening.
 The garment features:
 - 100% cotton
 - Pre-shrunk rib jersey
 - Poly core cotton thread
 - Made at Texgoios in Portugal
 Available in sizes XS to XL.</t>
  </si>
  <si>
    <t>nile-white, nile-black, nile-cashmere-natural</t>
  </si>
  <si>
    <t>Made in Portugal
 Introducing Joelle, our curved high-rise wide fit. Joelle is super high-waisted, wide and straight from the hips down, giving a flared or baggy silhouette. Joelle is curved in the waist, relaxed over the hips, and wide all the way down. 
 Joelle Japan Dawn features our mid-blue wash, made in a solid 13 Oz 100% cotton denim from the renowned Japanese denim mill Kuroki. Soft to the touch, the Japan Dawn reveals an incredible depth of colour and wonderful texture, due to the long-fibred indigo rope-dyed yarns of the fabric. Not too light, and not too dark, the Japan Dawn strikes the perfect balance for your everyday mid-blue needs. A definite essential.
 Details &amp; Features
 - Mid-blue washed rope-dyed indigo denim
 - 13 Oz wideloom denim from Kuroki, Japan
 - 100% Sanforized cotton
 - Warp dyed in indigo, natural coloured weft
 - 8 Oz ecru canvas pocketing
 - Tanned leather patch w/ wax treatment, Made in Italy.
 - YKK two-prongtack, silver button fly
 - YKK solid copper washed-burr rivets
 - Stitched with poly core cotton thread
 - Made at Lisama, Portugal
 Model is 178 cm and wears a size 26/34.
 Joelle can sit high in the waist, or lower on the hips, depending on preference. For customers with a slim waist, we advise to size down one size for a high-rise fit.
 Available sizes are 25-32 in 34” inseam.</t>
  </si>
  <si>
    <t>Joelle, a curved, high-rise, wide fit. Super high-waisted, straight from hips, giving a flared or baggy silhouette. Curved in waist, relaxed over hips, and wide down.</t>
  </si>
  <si>
    <t>Made in Portugal
 The Japan Dawn. Our mid-blue wash made in a solid 13 Oz 100% cotton denim from the renowned Japanese denim mill Kuroki. Soft to the touch, the Japan Dawn reveals an incredible depth of colour and wonderful texture, due to the long-fibred indigo rope-dyed yarns of the fabric. Not too light, and not too dark, the Japan Dawn strikes the perfect balance for your everyday mid-blue needs. A definite essential.
 Available in our loose leg fit, Keri.
 Details &amp; Features
 - Mid-blue washed rope-dyed indigo denim
 - 13 Oz wideloom denim from Kuroki, Japan
 - 100% Sanforized cotton
 - Warp dyed in indigo, natural coloured weft
 - 8 Oz ecru canvas pocketing
 - Tanned leather patch w/ wax treatment, Made in Italy.
 - YKK two-prongtack, silver button fly
 - YKK solid copper washed-burr rivets
 - Stitched with poly core cotton thread
 - Made at Lisama, Portugal
 Model is 178 cm and wears a size 26/34.
 Go to our fit guide to read more about the loose leg fit, Keri.
 Available sizes are 24-32 in 32” inseam and 26-34 in 34” inseam.</t>
  </si>
  <si>
    <t>keri-japan-black, keri-japan-broken, keri-japan-fog, keri-japan-gravel</t>
  </si>
  <si>
    <t>country-belt-black-cow-hair-on-hide</t>
  </si>
  <si>
    <t>Country Belt Black Cow Hair on Hide</t>
  </si>
  <si>
    <t>mila-black, mila-black-1, mila-brown-stripe, mila-indigo-stripe</t>
  </si>
  <si>
    <t>keri-white-linen, veley-lis-noir</t>
  </si>
  <si>
    <t>aiden-japan-shadow-1</t>
  </si>
  <si>
    <t>Aiden Japan Shadow</t>
  </si>
  <si>
    <t>Made in Portugal.
 Aiden, our unisex big shirt. A super oversized shirt, featuring authentic details from traditional Oxford shirts such as the wider button-down collar with a pronounced collar roll, a chest pocket, and the hangar loop on the back yoke. The fit however is big: Very dropped shoulders, very wide body and long curved hems. The wider sleeves gather nicely at the cuffs.
 Made in a 9 Oz black denim fabric woven by the artisanal mill Kowa in Japan, the Aiden Japan Shadow has been washed to a greying black colour, and finished with raw frayed edges.
 Details:
 - 9 Oz wideloom denim fabric, 100% cotton.
 - Woven by Kowa in Japan
 - Mother of Pearl buttons from Louropel, made in Italy
 - Hanger loop on back yoke
 - Stitched with poly core cotton thread
 - Cut &amp; Sewn by Stork, Portugal
 Designed to be unisex, the sleeve lengths have a greater jump between sizes S and M. XS and S fit most women and shorter men, M and L fit most men and taller women.</t>
  </si>
  <si>
    <t>A unisex oversized shirt with authentic Oxford details, featuring a wider button-down collar, a chest pocket, and a pronounced collar roll. The design includes dropped shoulders and a wide body for a comfortable fit.</t>
  </si>
  <si>
    <t>aiden-black-ox, aiden-blue-check-pop, aiden-brown-stripe-pop, aiden-eclipse-stripe-poplin, aiden-grey-oxford, aiden-japan-shadow, aiden-milk-check</t>
  </si>
  <si>
    <t>iris-black, cornaro-purple</t>
  </si>
  <si>
    <t>ash-ecplise-1</t>
  </si>
  <si>
    <t>Ash Ecplise</t>
  </si>
  <si>
    <t>Made in Portugal
 Ash, our full length ultralight mac coat. Ash is made for all season use, built for layering with slightly dropped shoulders, and a wide, long body protecting you from the elements. The unlined construction makes Ash highly packable and light enough for summer rain, while accommodating heavy layering for colder seasons. 
 Made in a ultralight technical material made by Olmetex in Italy, weighing only 50 grams per square meter. This particular fabric has a smooth and soft handfeel with a subtle sheen, while providing water-repellent properties.
 The garment features:
 - Technical fabric made by Olmetex, Italy
 - 100% polyamide
 - Lightweight, breathable and water repellent
 - Hidden Riri snap buttons, made in Switzerland
 - Piped seams
 - Made at DIA, Portugal</t>
  </si>
  <si>
    <t>Ash is made for all seasons, built for layering with slightly dropped shoulders, a wide, long body protecting you from elements, accommodating heavy layering for colder seasons.</t>
  </si>
  <si>
    <t>abby-green-stripe</t>
  </si>
  <si>
    <t>Abby Green stripe</t>
  </si>
  <si>
    <t>Made in Portugal
 Made from a pre-shrunk 6.5 Oz heavy 100% cotton jersey exclusively made for Livid in Portugal. This particular fabric has been used in our heavyweight t-shirts for many years and has become very popular due to its durability and comfortable hand feel.
 Abby features dropped shoulders, wider, longer sleeves and a generous silhouette, ideal for someone who likes a more relaxed look.
 Details &amp; Features
 - 100% cotton
 - 220 gsm pre-shrunk jersey
 - Fine rib collar
 - Finished with a raw roll-up hem
 - Sewn with durable poly core cotton thread
 - Knitted by Etevimol in Portugal
 - Made at Texgoios in Portugal</t>
  </si>
  <si>
    <t>Our Loose fit tee Abby, made in a seasonal green stripe.</t>
  </si>
  <si>
    <t>abby-chestnut, abby-white</t>
  </si>
  <si>
    <t>abby-white</t>
  </si>
  <si>
    <t>Abby White</t>
  </si>
  <si>
    <t>Made in Portugal
 Made from a pre-shrunk 6.5 Oz heavy 100% cotton jersey exclusively made for Livid in Portugal. This particular fabric has been used in our heavyweight t-shirts for many years and has become very popular due to its durability and comfortable hand feel.
 Abby features dropped shoulders, wider, longer sleeves and a generous silhouette, ideal for someone who likes a more relaxed look.
 Details &amp; Features
 - 100% cotton
 - 220 gsm pre-shrunk jerse
 - Fine rib collar
 - Finished with a raw roll-up hem
 - Sewn with durable poly core cotton thread
 - Knitted by Etevimol in Portugal
 - Made at Texgoios in Portugal</t>
  </si>
  <si>
    <t>Our Loose fit tee Abby.</t>
  </si>
  <si>
    <t>abby-green-stripe, abby-chestnut</t>
  </si>
  <si>
    <t>iris-charcoal, 002-alipne-white-w</t>
  </si>
  <si>
    <t>aiden-eclipse-stripe-poplin</t>
  </si>
  <si>
    <t>Aiden Eclipse Stripe Poplin</t>
  </si>
  <si>
    <t>Made in Portugal.
 Aiden, our unisex big shirt. A super oversized shirt, featuring very dropped shoulders, very wide body and long curved hems. The wider sleeves gather nicely at the cuffs.
 Made in a custom structured poplin fabric designed by Livid and woven by Somelos in Portugal. This particular fabric gets a slight seersucker texture from a subtle pucker along the stripes, while its poplin weave base creates a crisp handfeel.
 Details
 - Textured poplin fabric, 100% cotton
 - Woven by Somelos in Portugal exclusively for Livid
 - Mother of Pearl buttons from Louropel, Portugal
 - Hanger loop on back yoke
 - Stitched with poly core cotton thread
 - Cut &amp; Sewn by Stork, Portugal
 Designed to be unisex, the sleeve lengths have a greater jump between sizes S and M. XS and S fit most women and shorter men, M and L fit most men and taller women.</t>
  </si>
  <si>
    <t>A super oversized shirt with dropped shoulders, wide body, long curved hems, and sleeves that gather at the cuffs.</t>
  </si>
  <si>
    <t>aiden-black-ox, aiden-blue-check-pop, aiden-brown-stripe-pop, aiden-grey-oxford, aiden-japan-shadow, aiden-milk-check, aiden-white-ox</t>
  </si>
  <si>
    <t>keri-magnet-linen</t>
  </si>
  <si>
    <t>Aiden Grey Oxford</t>
  </si>
  <si>
    <t>Made in Portugal.
 Aiden, our unisex big shirt. A super oversized Oxford shirt, featuring authentic Oxford details such as the wider collar with a pronounced button-down collar roll, a chest pocket, and the hangar loop on the back yoke. The fit however is big: Very dropped shoulders, very wide body and long curved hems. The wider sleeves gather nicely at the cuffs.
 Made in a solid heavy oxford cloth, woven by Somelos i Portugal exclusively for Livid.
 Details
 - Plain weave oxford fabric, 100% cotton.
 - Woven by Somelos in Portugal exclusively for Livid
 - Mother of Pearl buttons from Louropel, Portugal
 - Hanger loop on back yoke
 - Stitched with poly core cotton thread
 - Cut &amp; Sewn by Stork, Portugal
 Designed to be unisex, the sleeve lengths have a greater jump between sizes S and M. XS and S fit most women and shorter men, M and L fit most men and taller women.</t>
  </si>
  <si>
    <t>Aiden, our unisex big shirt. A super oversized Oxford shirt, featuring authentic Oxford details.</t>
  </si>
  <si>
    <t>aiden-black-ox, aiden-blue-check-pop, aiden-brown-stripe-pop, aiden-eclipse-stripe-poplin, aiden-japan-shadow, aiden-milk-check, aiden-white-ox</t>
  </si>
  <si>
    <t>Made in Portugal
 Our V-neck dress, Aiofe. A relaxed summer dress with a wide full-length silhouette, featuring large patch pockets at the hip.
 Made in a soft seersucker fabric woven by Somelos in Portugal featuring a fantastic texture. The puckering of the seersucker fabric keeps the fabric away from the skin, creating a cooling effect during the summer heat.
 Details:
 - 98% cotton, 2% elastane
 - Seersucker woven by Somelos in Portugal
 - Patch pockets at hip
 - Zipper at back of neck made by YKK in Portugal
 - Stitched with durable poly core cotton thread
 - Made at Stork in Portugal</t>
  </si>
  <si>
    <t>Boogie Eclipse Stripe Poplin</t>
  </si>
  <si>
    <t>Made in Portugal.
 Boogie, our care-free summer short. Made with an elasticated waistband with two large patch pockets at the thigh. Designed in the same fabric as our Aiden Eclipse Stripe Poplin, for a complete set.
 Made in a custom structured poplin fabric designed by Livid and woven by Somelos in Portugal. This particular fabric gets a slight seersucker texture from a subtle pucker along the stripes, while its poplin weave base creates a crisp handfeel.
 Details
 - Textured poplin fabric, 100% cotton
 - Woven by Somelos in Portugal exclusively for Livid
 - Elastic waistband
 - Patch pockets
 - Stitched with poly core cotton thread
 - Cut &amp; Sewn by Stork, Portugal</t>
  </si>
  <si>
    <t>aiden-eclipse-stripe-poplin, grappa-hiker-ecru-suede</t>
  </si>
  <si>
    <t>Made in Portugal
 Introducing Devon, our mid-length denim skirt. Made in a 13 Oz black denim woven by the renowned denim mill Kuroki in Japan, washed to our faded black finish, Japan Shadow. 
 Designed with a waist that allows wearing the Devon both high waisted, or lower on the hip if desired by sizing up. Ending in a classic mid-length.
 Details &amp; Features
 - 13 Oz wideloom denim from Kuroki, Japan
 - One wash to increase softness
 - 100% Sanforized cotton
 - Warp &amp; Weft dyed in black
 - 8 Oz 5 Oz ecru canvas pocketing
 - Black leather patch w/ wax treatment, Made in Italy.
 - YKK two-prongtack, silver button and zip fly
 - YKK solid copper washed-burr rivets
 - Stitched with poly core cotton thread
 - Made at Lisama, Portugal</t>
  </si>
  <si>
    <t>Made in Portugal
 Esme, made from a pure linen fabric developed and woven at Somelos in Portugal. This fabric provides a lustrous drape, perfect breathability and the 1x1 linen weave gives a casual crimp when worn.
 Designed for an elegant and easy going fit, Esme has a straight cut, slightly shorter front and a box pleat at the back yoke. Finished with mother of pearl buttoons.
 Details:
 - 100% Linen 
 - Woven at Somelos in Portugal
 - Real mother of pearl buttons made by Louropel in Italy
 - Stitched with durable poly core cotton thread
 - Made at Stork in Portugal</t>
  </si>
  <si>
    <t>Faye Japan Mole</t>
  </si>
  <si>
    <t>Made in Portugal
 Faye, our rigid curved straight fit.
 Made in a Japanese denim quality, 100% cotton, washed for a soft handfeel. Faye is curved at the waist giving a great fit, with a straight silhouette that slightly tapers at the leg opening. A very classic, but super relevant fit in this moment, that goes perfectly with your favourite pair of boots.
 Made in a solid 13,8 Oz 100% cotton denim woven by the artisanal mill Kowa in Japan. This particular denim is woven with a brown warp and a white weft, creating a beautifully textured brown fabric. The Barnes Japan Mole is further washed, resulting in a soft brown pair of jeans. 
 Details &amp; Features
 - 13,8 Oz wideloom denim from Kowa, Japan
 - 100% Sanforized cotton
 - 8 Oz ecru canvas pocketing
 - Tanned leather patch w/ wax treatment, Made in Italy.
 - YKK two-prongtack, silver button fly
 - YKK solid copper washed-burr rivets
 - Stitched with durable poly core cotton thread
 - Made at Lisama, Portugal
 Go to our fit guide to read more about the Faye.</t>
  </si>
  <si>
    <t>Faye, our rigid curved straight fit, made in a brown Japanese denim.</t>
  </si>
  <si>
    <t>faye-japan-dawn, faye-japan-shadow</t>
  </si>
  <si>
    <t>Made in Portugal
 Introducing Harper, our full length rib jersey dress. Made in a soft 100% cotton rib jersey knitted in Portugal.
 Harper features a slim fitted shape with an open neck opening, and ends with a full-length, slightly flared skirt.
 The garment features:
 - 100% cotton
 - Constructed with durable poly-core cotton thread- Pre-shrunk rib jersey, knitted at Etevimol, Portugal
 - Made at Texgoios in Portugal</t>
  </si>
  <si>
    <t>ida-violet</t>
  </si>
  <si>
    <t>Ida Violet</t>
  </si>
  <si>
    <t>Made in Portugal
 The Ida is made from a pre-shrunk 100% cotton jersey exclusively made for Livid in Portugal. This is the same jersey fabric we've used on our men's Richmond tee for many years, especially popular for its durability and comfortable handfeel.
 Made in our classic t-shirt fit, Ida features a regular slim fit built to rest close to the body. A wardrobe essential regardless of seasonal trends.
 The garment features:
 - 100% pre-shrunk cotton
 - 220 gsm pre-shrunk jersey
 - Knitted by Etevimol in Portugal
 - Tonal Livid embroidery on the chest- Poly core cotton thread
 - Made at Texgoios in Portugal.</t>
  </si>
  <si>
    <t>Our classic fit T-shirt Ida, in a seasonal colour, Violet.</t>
  </si>
  <si>
    <t>ida-black, ida-white</t>
  </si>
  <si>
    <t>Keri Japan Fog</t>
  </si>
  <si>
    <t>Made in Portugal
 Keri, our unisex wide-fit, made in a truely special seasonal denim quality: Japan Fog
 Made in a solid 13,5 Oz 100% cotton denim woven by the artisanal mill Kowa in Japan. This particular denim is woven with a grey warp and a white weft. The Keri Japan Fog is further washed, resulting in a soft light grey pair of jeans with a subtle depth of colour. 
 Details &amp; Features
 - 13,5 Oz wideloom denim from Kowa, Japan
 - 100% Sanforized cotton
 - 8 Oz ecru canvas pocketing
 - Tanned leather patch w/ wax treatment, Made in Italy.
 - YKK two-prongtack, silver button fly
 - YKK solid copper washed-burr rivets
 - Stitched with durable poly core cotton thread
 - Made at Lisama, Portugal
 Go to our fit guide to read more about the loose leg fit, Keri.</t>
  </si>
  <si>
    <t>Our wide straight Keri, made in a truly special 13.5 Oz grey denim woven by the artisanal mill Kowa in Japan.</t>
  </si>
  <si>
    <t>keri-japan-black, keri-japan-broken, keri-japan-dawn, keri-japan-gravel</t>
  </si>
  <si>
    <t>Made in Portugal
 Keri Surf, our wide and long denim short. Based on our unisex wide leg Keri, the Keri Surf is cut right around the knee. Creating the ultimate wide jort, that can be worn both high waisted or low on the hip. 
 Made from a 13 Oz 100% cotton, black wideloom denim woven by the renowned Japanese fabric mill, Kuroki. 
 Sulphur dyed for a black colour that stays black for a long time before it eventually fades in contrast after wear, evolving a beautiful personal pattern over time.
 Details &amp; Features
 - 13 Oz wideloom denim from Kuroki, Japan
 - One wash to increase softness
 - 100% Sanforized cotton
 - Warp &amp; Weft dyed in black
 - 8 Oz 5 Oz ecru canvas pocketing
 - Black leather patch w/ wax treatment, Made in Italy.
 - YKK two-prongtack, silver button and zip fly
 - YKK solid copper washed-burr rivets
 - Stitched with poly core cotton thread
 - Made at Lisama, Portugal
 Go to our fit guide to read more about the loose leg fit, Keri.</t>
  </si>
  <si>
    <t>Keri Surf, our wide and long denim short, that can be worn both high waisted or low on the hip.</t>
  </si>
  <si>
    <t>Made in Portugal
 Keri Surf, our wide and long denim short. Based on our unisex wide leg Keri, the Keri Surf is cut right around the knee. Creating the ultimate wide jort, that can be worn both high waisted or low on the hip. 
 Made in a solid 13 Oz 100% cotton denim from the renowned Japanese denim mill Kuroki. Soft to the touch, the Japan New Blue is washed to a light lived-in blue finish, for the perfect summer denim look.
 Details &amp; Features
 - Light blue washed rope-dyed indigo denim
 - 13 Oz wideloom denim from Kuroki, Japan
 - 100% Sanforized cotton
 - Warp dyed in indigo, natural coloured weft
 - 8 Oz ecru canvas pocketing
 - Tanned leather patch w/ wax treatment, Made in Italy.
 - YKK two-prongtack, silver button fly
 - YKK solid copper washed-burr rivets
 - Stitched with poly core cotton thread
 - Made at Lisama, Portugal
 Go to our fit guide to read more about the loose leg fit, Keri.</t>
  </si>
  <si>
    <t>The Keri Linen is Made in a beautiful 100% Linen quality woven by Klasikine in Lithuania. This particular fabric is light weight, soft and very comfortable to wear. Because linen has natural temperature-regulating properties, it is one of those miraculous natural fibers that will keep you cool during the summer. 
 Keri fits relaxed with a wide silhouette. Starting from the top it is constructed with an open waistband, curved and comfortable through hip and seat with a dropped crotch. Then straight from top of thigh all the way down ending in a slightly flared leg opening.
 Keri is perfect for those who likes a more relaxed fit with a flared look or for someone with a generous build where normal issues with fitting is a tight waistband. Keri can be worn high in the waist or lower on the hips depending on sizing and preference. To be worn as a high waist trouser, size down compared to your normal jeans size.
 The Keri Linen will stretch more around the waist the first few wears than the Keri denim jeans, due to the looser linen weave. When new, the Keri linen should fit a little tighter in the waistband than how you want it to end up.
 Details &amp; Features
 - 100% Linen fabric from Klasikine in Lithuania
 - 5 Oz ecru canvas pocketing
 - Black leather patch w/ wax treatment, Made in Italy.
 - YKK two-prongtack, silver button and zip fly
 - Stitched with poly core cotton thread
 - Made at Lisama, Portugal
 The model is 178 cm and wears a size 26/34.
 Go to our fit guide to read more about the wide leg fit, Keri.</t>
  </si>
  <si>
    <t>Our Wide Straight Keri made in a lightweight, soft, and very comfortable linen fabric, perfect for keeping cool during summer.</t>
  </si>
  <si>
    <t>keri-black-linen, keri-green-linen, keri-magnet-linen, keri-stone-linen, keri-white-linen</t>
  </si>
  <si>
    <t>mila-brown-stripe</t>
  </si>
  <si>
    <t>Mila Brown Stripe</t>
  </si>
  <si>
    <t>mila-black-1, mila-grey-melange, mila-indigo-stripe, mila-black</t>
  </si>
  <si>
    <t>Made in Portugal
 Nikka, our square short sleeved linen shirt. Designed with bold proportions, half sleeves and a slightly cropped length, finished with large mother of pearl buttons.
 Made in a heavy linen fabric woven by Klasikine in Lithuania, the same fabric we use for our Keri Linen Trousers. The weighty fabric gives the Nikka shirt a dramatic drape and wonderful handfeel.
 Details:
 - 100% Linen 
 - Woven by Klasikine in Lithuania
 - Real mother of pearl buttons made by Louropel in Italy
 - Stitched with durable poly core cotton thread
 - Made at Stork in Portugal</t>
  </si>
  <si>
    <t>Nikka, our square short sleeved linen shirt. Designed with bold proportions, half sleeves and a slightly cropped length, finished with large mother of pearl buttons.&amp;nbsp;</t>
  </si>
  <si>
    <t>eyre-burgundy-cashmere</t>
  </si>
  <si>
    <t>Made in Portugal
 Nile is one of our jersey essentials. Made in a cotton jersey with 10% cashmere for a delicate and super soft handfeel.
 Nile features a slim shape, an open neck opening with a solid jersey rib at neck and sleeve opening.
 The garment features:
 - 90% cotton, 10 % cashmere
 - Sewn with durable poly-core cotton thread
 - Pre-shrunk rib jersey, knitted at Etevimol, Portugal
 - Made at Texgoios in Portugal</t>
  </si>
  <si>
    <t>nile-black, nile-chalk, nile-white</t>
  </si>
  <si>
    <t>penn-japan-new-blue</t>
  </si>
  <si>
    <t>Penn Japan New Blue</t>
  </si>
  <si>
    <t>Made in Portugal
 Our denim vest Penn, made in a 13 Oz indigo rope-dyed denim woven at the renowned Japanese mill, Kuroki. Washed to a sun-kissed light blue finish.
 The Penn fits snug and cropped. Made with classic Type III denim jacket construction, but finished without a sleeve and collar. Pair it with our Keri Surf for a double denim set for summer.
 The garment features:
 - Light-blue washed rope-dyed indigo denim
 - 13 Oz wideloom denim from Kuroki, Japan
 - 100% Sanforized cotton
 - Warp dyed in indigo, natural coloured weft
 - Custom silver two-prongtack donut buttons made by YKK in Portugal
 - Stitched with durable poly core cotton thread
 - Made at Lisama, Portugal</t>
  </si>
  <si>
    <t>Our denim vest Penn, made in a 13 Oz indigo rope-dyed denim woven at the renowned Japanese mill, Kuroki. Washed to a sun-kissed light blue finish.</t>
  </si>
  <si>
    <t>Made in Portugal.
 Ridley, our lightest summer dress. Designed with a deep and open neckline that flows freely into a wide full-length skirt.
 Made in a beautiful crepe fabric woven by Komon Kobo, the Ridley dress exhibits a fluid and elegant drape, while feeling light and breathable on the skin.
 Details
 - Polyester crepe woven by Komon Kobo in Japan
 - Zipper at back of neck, made by YKK in Portugal
 - Stitched with durable poly core thread
 - Cut &amp; Sewn by Stork, Portugal</t>
  </si>
  <si>
    <t>talita-magnet-linen</t>
  </si>
  <si>
    <t>Talita Magnet Linen</t>
  </si>
  <si>
    <t>Made in Portugal
 Talita, our linen chore coat. Made in a beautiful pure linen quality woven by Klasikine in Lithuania. This particular mid weight fabric is soft, very comfortable to wear, and exhibits a beautiful heavy drape.</t>
  </si>
  <si>
    <t>Talita, our linen chore coat. Made in a beautiful pure linen fabric which is soft, very comfortable to wear, and exhibits a beautiful heavy drape.</t>
  </si>
  <si>
    <t>talita-stone-linen</t>
  </si>
  <si>
    <t>keri-magnet-linen, eva-magnet</t>
  </si>
  <si>
    <t>Talita Stone Linen</t>
  </si>
  <si>
    <t>Made in beautiful pure linen quality. This mid weight fabric is soft, very comfortable, and exhibits a beautiful heavy drape.</t>
  </si>
  <si>
    <t>keri-stone-linen, nile-cashmere-natural</t>
  </si>
  <si>
    <t>Made in Portugal
 Ayla Dove Linen, made from a pure linen fabric developed and woven at Somelos in Portugal. This fabric provides a lustrous drape, and the 1x1 linen weave gives casual crimp when worn.
 Designed for a relaxed, yet elegant fit, Ayla features a small notch collar and a center front closure with mother of pearl buttons. The hem is elongated and curved, and can be worn loose or tucked.
 Details:
 - 100% Linen 
 - Woven at Somelos in Portugal
 - Fabric developed by Livid
 - Real mother of pearl buttons made by Louropel in Portugal
 - Stitched with high quality poly core cotton thread
 - Made at Stork in Portugal 
 Go to our fit guide to read more about the Ayla.</t>
  </si>
  <si>
    <t>Made in Portugal
 Abby features dropped shoulders, wider and longer short sleeves and a generous silhouette, ideal for someone who likes a more relaxed look.
 Made from a pre-shrunk 6.5 Oz heavy 100% cotton jersey exclusively knitted for Livid in Portugal. This particular fabric has been used in our heavyweight t-shirts for many years and has become very popular due to its durability and comfortable handfeel.
 Details &amp; Features
 - 100% cotton
 - 220 gsm pre-shrunk jersey
 - Garment dyed
 - Sewn with durable poly-core cotton thread
 - Knitted by Etevimol in Portugal
 - Made at Texgoios in Portugal</t>
  </si>
  <si>
    <t>aria-black</t>
  </si>
  <si>
    <t>Aria Black</t>
  </si>
  <si>
    <t>Made in China 
 Made in pure merino wool, boiled to acheive a perfect balance between warmth, breathabilty and softness. The weight of the boiled merino wool gives the Aria a soft and heavy drape.
 Designed with dropped shoulders, a rollneck and a relaxed straight body. Ankle lenght with splits at the sides. Aria is a go-to dress for the colder months.
 Details
 - 100% merino wool, boiled
 - Merino wool yarn spun in Italy by Tollegno 1900
 - Warm, breathable and hardwearing
 - YKK silver zipper
 - Knitted by Goldfine in China</t>
  </si>
  <si>
    <t>Aria, our boiled merino dress.</t>
  </si>
  <si>
    <t>Made in Portugal
 Inspired by sportswear, and tuned to suit our denim. Made in a heavyweight jersey knitted in a stripe design, and then garment dyed. 
 Built with dropped shoulders, a relaxed silhouette and a shorter length that ends perfectly at the hips. Finnished with a ribbed tipped collar and mother of pearl buttoning.
 The garment features:
 - 100% cotton pre-shrunk jersey
 - Garment dyed
 - Mother of pearl buttons
 - Sewn with durable poly-core cotton thread
 - Jersey knitted at Etevimol in Portugal
 - Made at Texgoios in Portugal</t>
  </si>
  <si>
    <t>mila-mud</t>
  </si>
  <si>
    <t>Mila Mud</t>
  </si>
  <si>
    <t>Made in Portugal
 Our longsleeve Mila. Featuring dropped shoulders, a relaxed silhouette and a shorter length that ends perfectly at the hips.
 Made from a pre-shrunk 100% cotton jersey, knitted in a lighter weight than our regular tees for a fluid drape and easier feel.
 The garment features:
 - 100% cotton
 - 150 gsm pre-shrunk jersey
 - Garment dyed
 - Sewn with durable poly-core cotton thread
 - Jersey knitted at Etevimol in Portugal
 - Made at Texgoios in Portugal</t>
  </si>
  <si>
    <t>Our relaxed longsleeve Mila, in a seasonal colour.</t>
  </si>
  <si>
    <t>mila-black, mila-black-1, mila-brown-stripe, mila-grey-melange, mila-indigo-stripe, mila-mud</t>
  </si>
  <si>
    <t>tia-vapor</t>
  </si>
  <si>
    <t>Tia Vapor</t>
  </si>
  <si>
    <t>Made in Portugal
 Details &amp; Features
 - 12 Oz comfort wideloom denim woven by Candiani, Italy
 - 98% cotton / 2% elastan
 - Dark grey warp and white weft
 - 5 Oz ecru canvas pocketing
 - Black vegetable tanned leather patch w/ wax treatment, made in Italy
 - Livid branded YKK two-prong silver button and zip fly
 - YKK solid copper washed-burr rivets
 - Stitched with durable poly-core cotton thread
 - Made at Lisama, Portugal</t>
  </si>
  <si>
    <t>Our high-waisted straight, in a mid-grey wash.</t>
  </si>
  <si>
    <t>tia-japan-black, tia-japan-indigo</t>
  </si>
  <si>
    <t>iris-black</t>
  </si>
  <si>
    <t>Iris Black</t>
  </si>
  <si>
    <t>Made in Portugal
 The Iris. Our high-waist, wide legged suit pant. Made from a super soft 100% fine wool quality from Albano Morgado. The virgin wool gives a super nice drape and a soft hand feel which makes the Iris very comfortable to wear. Wool fibres also helps for increased airflow over your body and creates optimal moisture-wicking capabilities making this a versatile garment perfect for both warmer and colder seasons. A top of the line garment with a sharp aesthetic that makes it a perfect wardrobe essential!
 Details &amp; Features
 - 100% Fine Wool made by Albano Morgado, Portugal
 - 5 Oz ecru canvas pocketing
 - Mother of Pearl Button at waist
 - YKK zip fly 
 - Mother of Pearl buttons
 - Welt back pockets with button closure. 
 - Stitched with poly core cotton thread
 - Made at Outfit21, Portugal
 Model is 178 cm and wears a size 36
 Go to our fit guide to read more about the Iris fit. 
 Available sizes are EU 34 - 42</t>
  </si>
  <si>
    <t>Our Iris, a high-waist, wide-legged suit pant, crafted for comfort and a soft feel, ensuring airflow and moisture-wicking for versatility across seasons. A sharp, essential wardrobe item.</t>
  </si>
  <si>
    <t>iris-charcoal</t>
  </si>
  <si>
    <t>needle-reverse-blue-stripe</t>
  </si>
  <si>
    <t>needle-reverse-forest-doubledye</t>
  </si>
  <si>
    <t>needle-reverse-nut-stripe</t>
  </si>
  <si>
    <t>needle-white</t>
  </si>
  <si>
    <t>Made in Portugal
 Introducing our new jeans model Isla, featuring a straight, relaxed leg and a mid-rise waist - a modern and endurable classic. Isla is constructed with a straighter waist from the hips up to the waistband, making it a good fit for persons with a straighter build. 
 Made from a mid- to heavy weight selvage denim fabric developed exclusively for Livid by the renowned Japanese fabric mill, Kurabo. The same fabric we use for our Dry Selvage jeans, but here washed to perfection. A fade reminiscent of your most beloved denims from way back when.
 Details &amp; Features
 - Light wash indigo selvage denim
 - 14 Oz narrowloom selvage denim from Kurabo, Japan
 - Exclusive rope dye denim fabric developed by Livid
 - 100% Sanforized cotton
 - Warp dyed in indigo, natural coloured weft
 - 8 Oz ecru canvas pocketing
 - Tanned leather patch w/ wax treatment, Made in Italy.
 - YKK two-prongtack, silver button fly
 - YKK solid copper washed-burr rivets
 - Stitched with poly core cotton thread
 - Made at Lisama, Portugal
 Model is 178 cm and wears a size 26/34.
 Go to our fit guide to read more about Isla. 
 Available sizes are 24-33 in 32” inseam and 26-34 in 34” inseam.</t>
  </si>
  <si>
    <t>needle-reverse-butter-doubleye</t>
  </si>
  <si>
    <t>willow-beige-suede</t>
  </si>
  <si>
    <t>Willow Beige Suede</t>
  </si>
  <si>
    <t>Made in Portugal
 From our All Seasons Collection-line comes our classic suede belt, Willow.
 Designed with a minimal heritage inclination that spares unnecessary details yet provides durable construction mixed with the utmost in quality leather. Featuring a reliable brass buckle with rounded lines, and premium materials that will make this a staple product that will last you many seasons!
 Details
 - Classic leather belt
 - 100% real vegetabletannedcow leather suede
 - Tanned in Portugal
 - Reliable buckle in brass
 - Made by Belcinto in Portugal
 - Available in size 75, 85, 95 and 105 cm</t>
  </si>
  <si>
    <t>Designed with minimal heritage, spares unnecessary details, durable construction, quality leather, reliable brass buckle, rounded lines, premium materials, staple product, many seasons.</t>
  </si>
  <si>
    <t>willow-black-suede</t>
  </si>
  <si>
    <t>Willow Black Suede</t>
  </si>
  <si>
    <t>Made in Portugal
 From our All Seasons Collection-line comes our classic suede belt, Willow.
 Designed with a minimal heritage inclination that spares unnecessary details yet provides durable construction mixed with the utmost in quality leather. Featuring a reliable brass buckle with rounded lines, and premium materials that will make this a staple product that will last you many seasons!
 Details
 - Classic leather belt
 - 100% real vegetabletannedcow leather suede
 - Tanned in Portugal
 - Reliable buckle in brass
 - Made by Belcinto in Portugal
 - Available in size 75, 85, 95 and 105 cm</t>
  </si>
  <si>
    <t>Designed with minimal heritage, this classic suede belt from our collection spares unnecessary details, providing durable construction and quality leather.</t>
  </si>
  <si>
    <t>Made in Portugal
 The Japan Broken. Our light distress wash made in a solid 13 Oz 100% cotton denim from the renowned Japanese denim mill Kuroki. Soft to the touch with a worn-in look.
 Available in our loose leg fit, Keri.
 Details &amp; Features
 - Mid-blue washed rope-dyed indigo denim
 - 13 Oz wideloom denim from Kuroki, Japan
 - 100% Sanforized cotton
 - Warp dyed in indigo, natural coloured weft
 - 8 Oz ecru canvas pocketing
 - Tanned leather patch w/ wax treatment, Made in Italy.
 - YKK two-prongtack, silver button fly
 - YKK solid copper washed-burr rivets
 - Stitched with poly core cotton thread
 - Made at Lisama, Portugal
 Model is 178 cm and wears a size 26/32.
 Go to our fit guide to read more about the loose leg fit, Keri.</t>
  </si>
  <si>
    <t>keri-japan-dawn, keri-japan-black, keri-japan-fog, keri-japan-gravel</t>
  </si>
  <si>
    <t>riley-grey</t>
  </si>
  <si>
    <t>aino-cocoa-brown-suede</t>
  </si>
  <si>
    <t>Aino Cocoa Brown Suede</t>
  </si>
  <si>
    <t>Made in Portugal
 We're proud to present our suede leather program from our SS22 collection. Produced in highly limited numbers, and made by only four people at Octa in Portugal, with premium suede leather tanned in Italy.
 Aino is our suede coat, made in a wonderfully supple cocoa coloured suede leather, fully lined. Designed with exaggerated lapels, dropped shoulders, wide sleeves and an effortless, loose silhouette. Finished with two mother of pearl buttons, and two exterior slash pockets at the waist.
 The garment features:
 - 100% suede leather tanned in Italy. 
 - 100% polyester lining.
 - Two exterior slash pockets at the waist.
 - Mother of Pearl buttons, made by Louropel in Portugal.
 - Stitched with high quality poly core cotton thread.
 - Made by only four people at Octa in Portugal.</t>
  </si>
  <si>
    <t>Produced in limited numbers, made by four people at Octa in Portugal, with suede leather tanned in Italy.</t>
  </si>
  <si>
    <t>Margo Japan White</t>
  </si>
  <si>
    <t>Made in Portugal
 Introducing Margo, our relaxed tapered fit. Identical to our popular Keri from the waist through the thigh, but tapered from the knee.
 Margo Japan White is made in a crisp 
 white denim from the artisanal Japanese mill Kowa, with a great texture and handfeel. 11 Oz in weight, making it perfect for all-year use, even during the heat of summer.
 Details &amp; Features
 - Crisp white denim
 - 11 Oz wideloom denim from Kowa, Japan
 - 100% Sanforized cotton
 - 8 Oz ecru canvas pocketing
 - White leather patch w/ wax treatment, Made in Italy.
 - YKK two-prongtack, silver button fly
 - YKK solid copper washed-burr rivets
 - Stitched with poly core cotton thread
 - Made at Lisama, Portugal
 Model is 178 cm and wears a size 26/34.</t>
  </si>
  <si>
    <t>Introducing Margo, our relaxed tapered fit. From the waist through the thigh, but tapered from the knee. Identical to our popular Keri.</t>
  </si>
  <si>
    <t>Keri Stone Linen</t>
  </si>
  <si>
    <t>The Keri Linen is Made in a beautiful 100% Linen quality woven by Klasikine in Lithuania. This particular fabric is light weight, soft and very comfortable to wear. Because linen has natural temperature-regulating properties, it is one of those miraculous natural fibers that will keep you cool during the summer. 
 Keri sits on the hips and has wide cropped legs. Starting from the top it is constructed with an open waistband, curved and comfortable through hip and seat with a dropped crotch. Then straight from top of thigh all the way down ending in a slightly flared leg opening.
 Keri is perfect for those who likes a more relaxed fit with a flared look or for someone with a generous build where normal issues with fitting is a tight waistband. Keri can be worn high in the waist or lower on the hips depending on sizing and preference.
 Details &amp;amp; Features
 - 100% Linen fabric from Klasikine in Lithuania
 - 5 Oz ecru canvas pocketing
 - Black leather patch w/ wax treatment, Made in Italy.
 - YKK two-prongtack, silver button and zip fly
 - Stitched with poly core cotton thread
 - Made at Lisama, Portugal
 The model is 178 cm and wears a size 26/34.
 Go to our fit guide to read more about the wide leg fit, Keri.
 Available sizes are 24-33 in 32” inseam, and 26-34 in 34" inseam.</t>
  </si>
  <si>
    <t>keri-black-linen, keri-green-linen, keri-magnet-linen, keri-white-linen</t>
  </si>
  <si>
    <t>Iris Charcoal</t>
  </si>
  <si>
    <t>Made in Portugal
 The Iris. Our high-waist, wide legged suit pant. Made from a super soft 100% fine wool quality from Albano Morgado. The virgin wool gives a super nice drape and a soft hand feel which makes the Iris very comfortable to wear. Wool fibres also helps for increased airflow over your body and creates optimal moisture-wicking capabilities making this a versatile garment perfect for both warmer and colder seasons. A top of the line garment with a sharp aesthetic that makes it a perfect wardrobe essential!
 Details &amp; Features
 - 100% Fine Wool made by Albano Morgado, Portugal
 - 5 Oz ecru canvas pocketing
 - Mother of Pearl Button at waist
 - YKK zip fly 
 - Mother of Pearl buttons
 - Welt back pockets with button closure. 
 - Stitched with poly core cotton thread
 - Made at Outfit21, Portugal
 Go to our fit guide to read more about the Iris fit.</t>
  </si>
  <si>
    <t>The Iris, our high-waist, wide-legged suit pant, is super soft and comfortable. Made from 100% fine wool, it offers great drape and soft hand feel, perfect for any season.</t>
  </si>
  <si>
    <t>everly-black-flower-1</t>
  </si>
  <si>
    <t>Everly Black Flower</t>
  </si>
  <si>
    <t>nora-sage-green-1</t>
  </si>
  <si>
    <t>Nora Sage Green</t>
  </si>
  <si>
    <t>Made in Portugal
 Our jersey top Nora is one of our summer jersey essentials. 
 Nora is made in a 100% organic cotton jersey in Portugal.
 Nora is a sleeveless t-shirt and features a tight round neck, a squared-off shoulder and a slightly cropped body, that highlights the boxy shape. Jersey rib finish at neck and sleeve opening.
 This shape gives your silhouette instant coolness and will be a perfect companion to your favourite jeans.
 The garment features:
 - 100% pre-shrunk organic cotton
 - 220 gsm pre-shrunk jersey
 - Tonal Livid embroidery on the chest
 - Made at Texgoios in Portugal.
 Go to our fit guide to read more about Nora. 
 Available in sizes XS to XL.</t>
  </si>
  <si>
    <t>Nora, a summer essential, crafted in Portugal from 100% organic cotton jersey, embodies effortless cool. A sleeveless design with a tight round neck, squared-off shoulder, and a slightly cropped body accentuates a boxy silhouette.</t>
  </si>
  <si>
    <t>lefty-mud-moleskin</t>
  </si>
  <si>
    <t>lefty-red-check</t>
  </si>
  <si>
    <t>Fir Japan Off-White</t>
  </si>
  <si>
    <t>Made in Portugal
 Introducing the Fir, our front pleat trouser. With a high rise the Fir is slim at the waistband, curving out to give ample room at the hip, flowing down to a wide leg opening.
 Made from a custom mid-weight natural twill weave fabric woven for Livid exclusively at the renowned Japanese fabric mill Kuroki.
 This particular fabric has a super soft and comfortable handfeel due to the low tension of the weave.
 The warp and weft yarns are un-dyed which gives a warm but crisp aesthetic, with subtle flecks from the cotton fibres.
 Details &amp; Features
 - 13 Oz twill weave fabric
 - Un-dyed warp and weft
 - Exclusive Livid fabric.
 - Woven by Kuroki, Japan
 - 100% sanforized cotton
 - Mother of pearl buttons made by Louropel in Italy
 - YKK zipper
 - 8 oz ecru canvas pocketing
 - Stitched with poly core cotton thread.
 - Made at Outfit21 in Portugal</t>
  </si>
  <si>
    <t>Introducing Fir, our high-rise, front pleat trouser. Slim at the waistband, ample room at the hip, flowing down to a wide leg opening.</t>
  </si>
  <si>
    <t>livia-japan-black-satin</t>
  </si>
  <si>
    <t>Livia Japan Black Satin</t>
  </si>
  <si>
    <t>Livia, our open collar shirt, made in a Japanese heavy satin. Livia has an open collar, glazed mother of pearl buttons, and an inverted center back pleat at the nape.</t>
  </si>
  <si>
    <t>Livia features an open collar, glazed mother of pearl buttons, and an inverted center back pleat at the nape.</t>
  </si>
  <si>
    <t>saige-black</t>
  </si>
  <si>
    <t>Saige Black</t>
  </si>
  <si>
    <t>Made in Portugal
 From our All Seasons collection comes our classic lightweight merino turtleneck Saige. Made from 100% extra fine merino wool yarns spun by Zegna Baruffa in Italy. 
 Saige was developed to be the perfect basic wool turtleneck. With a classic fit perfect for layering, and a luxurious soft handfeel. Featuring a roll-neck that keeps your entire neck warm, without bunching beneath the chin. The soft cashwool quality from Zegna Baruffa allows you to wear it directly on your skin without any itching, and the light weight makes it equally ideal as a baselayer or as a light jumper.
 The garment features:
 - 14 gauge 100% extra fine merino wool
 - Merino wool yarn spun by Zegna Baruffa in Italy
 - Soft, elastic and super resistant.
 - Knitted by BWFashion in Portugal</t>
  </si>
  <si>
    <t>The Saige turtleneck is lightweight, perfect for layering with a classic fit. Features a roll-neck for warmth and is made from soft, extra fine merino wool. Ideal as a baselayer or light jumper.</t>
  </si>
  <si>
    <t>saige-taupe</t>
  </si>
  <si>
    <t>Saige Taupe</t>
  </si>
  <si>
    <t>wren-black</t>
  </si>
  <si>
    <t>Wren Black</t>
  </si>
  <si>
    <t>Made in Portugal
 From our All Seasons collection comes our classic lightweight merino sweater Wren. Made from 100% extra fine merino wool yarns spun by Zegna Baruffa in Italy. 
 Wren was developed to be the perfect basic wool sweater, your go-to piece for almost any occasion. With a classic fit, a luxurious soft handfeel, and a rounded neck opening. The soft cashwool quality from Zegna Baruffa allows you to wear it directly on your skin without any itching, and the light weight makes it ideal for layering.
 The garment features:
 - 14 gauge 100% extra fine merino wool
 - Merino wool yarn spun by Zegna Baruffa in Italy
 - Soft, elastic and super resistant.
 - Knitted by BWFashion in Portugal</t>
  </si>
  <si>
    <t>Made from 100% extra fine merino wool yarns spun in Italy, the classic lightweight merino sweater is the perfect basic piece, ideal for any occasion with a soft hand feel.</t>
  </si>
  <si>
    <t>odette-white</t>
  </si>
  <si>
    <t>Odette White</t>
  </si>
  <si>
    <t>Made in Portugal
 Introducing our Odette Dress. A bell sleeved dress, with an elegant neckline and a straight, slightly A-lined body, and a back split. Hug features wide bands at the waist, that can be tied at the front, or in the back, loosely or tightly, creating several styling options. 
 Made in a soft seersucker fabric woven by Somelos in Portugal featuring a fantastic texture. The puckering of the seersucker fabric keeps the fabric away from the skin, creating a cooling effect during the summer heat.
 Details:
 - 98% cotton, 2% elastane
 - Seersucker woven by Somelos in Portugal
 - Attached wide waist tie
 - Stitched with high quality poly core cotton thread
 - Made at Stork in Portugal</t>
  </si>
  <si>
    <t>An elegant bell-sleeved dress with a straight, slightly A-lined body, elegant neckline, and a back split. Features wide bands at the waist for various styling options.</t>
  </si>
  <si>
    <t>roth-black-1</t>
  </si>
  <si>
    <t>Roth Black</t>
  </si>
  <si>
    <t>Made in Portugal
 Roth, our heavyweight cropped unisex longsleeve.
 Made in a heavier jersey, the same jersey used in our Nelson tees, with a relaxed fit and exposed seams on the outside of the garment. Made in a cropped length with a raw roll-up hem.
 The garment features:
 - 100% cotton
 - 220 gsm pre-shrunk jersey
 -Sewn with durable poly-core cotton thread
 - Made at Texgoios in Portugal</t>
  </si>
  <si>
    <t>Roth, our heavyweight cropped unisex longsleeve. Made in a heavier jersey, with a relaxed fit and exposed seams on the outside of the garment. Made in a cropped length with a raw roll-up hem.</t>
  </si>
  <si>
    <t>roth-white, roth-purple-overdye, roth-moonlight-overdye</t>
  </si>
  <si>
    <t>keri-japan-broken, veley-lis-noir</t>
  </si>
  <si>
    <t>country-belt-white-cow-hair-on-hide</t>
  </si>
  <si>
    <t>Country Belt White Cow Hair on Hide</t>
  </si>
  <si>
    <t>Nash Femme Black</t>
  </si>
  <si>
    <t>Made in Portugal.
 Nash, our mid-length winter overcoat. Above the knee in length, with slightly wide shoulders so that you comfortably can wear it over heavy knits or even a suit. A classic silhouette, with a flattering volume. When the wind gets really icy, Nash protects your neck with a shield shaped throat lash.
 Made in a 100% lambswool fabric, developed by Livid and exclusively woven by Albano Morgado in Portugal. 650 grams in weight, this fabric features a soft hand and a fluid drape, and will keep you warm throughout the winter season.
 Details:
 - 100% Lambswool
 - 650 gsm wool fabric, woven by Albano Morgado in Portugal
 - Fully lined
 - Inner pocket
 - Mother of pearl buttons by Louropel, Portugal.
 - Stitched with polycore cotton thread
 - Made at DIA in Portugal.</t>
  </si>
  <si>
    <t>Above the knee, with slightly wide shoulders for comfort over heavy knits or a suit. Classic silhouette with a flattering volume, includes a shield-shaped throat lash for icy wind protection.</t>
  </si>
  <si>
    <t>002-alipne-white-w</t>
  </si>
  <si>
    <t>Tiki Japan Charcoal Noil Silk</t>
  </si>
  <si>
    <t>Made in Portugal
 Our maxi-fit shirt, Tiki. Made in an incredible pure noil silk fabric woven by the artisanal mill Kowa in Japan. Made with a slubby Thai silk yarn, and woven with artisanal skill, this particular fabric combines an organic texture with elegant drape and movement.
 Noil silk is produced with the shorter silk fibres that are left over from production of other silk fabrics. Spun together these differing fibre lengths give the silk yarn a rougher texture, and a matte finish compared to the sheen from continuous silk fibres. Stronger than cotton, noil silk features a heavy fluid drape and has excellent temperature regulating properties, breathing and keeping you cool and dry in hot weather and warm in cold climates.
 Tiki is designed with a generous straight cut, featuring a clean front placket, box pleat at the back yoke, curved hem, and pleats at cuff. Mother of pearl buttons at cuffs and placket.
 Details
 - 100% noil silk farmed in Thailand
 - Woven by Kowa in Japan
 - Real mother of pearl buttons made by Louropel in Italy
 - Stitched with high quality poly core cotton thread
 - Made at Stork in Portugal
 - Garment dyed</t>
  </si>
  <si>
    <t>tiki-japan-natural-noil-silk, tiki-japan-taupe-noil-silk</t>
  </si>
  <si>
    <t>tiki-japan-taupe-noil-silk</t>
  </si>
  <si>
    <t>Tiki Japan Taupe Noil Silk</t>
  </si>
  <si>
    <t>tiki-japan-charcoal-noil-silk, tiki-japan-natural-noil-silk</t>
  </si>
  <si>
    <t>002-alipne-white-w, faye-japan-mole</t>
  </si>
  <si>
    <t>roth-white-1</t>
  </si>
  <si>
    <t>Roth White</t>
  </si>
  <si>
    <t>roth-black, roth-purple-overdye, roth-moonlight-overdye</t>
  </si>
  <si>
    <t>needle-tee-charcoal-1</t>
  </si>
  <si>
    <t>Needle Tee Charcoal</t>
  </si>
  <si>
    <t>Made in Portugal
 The Needle Tee, our relaxed lightweight tee constructed with dropped shoulders, a loose body, slits at the straight bottom hem, and a slightly longer back.
 The garment features:
 - 100% cotton
 - 150 gsm pre-shrunk jersey
 - Sewn with strong poly core cotton thread
 - Jersey knitted at Etevimol in Portugal
 - Made at Texgoios in Portugal</t>
  </si>
  <si>
    <t>The Needle Tee, our relaxed lightweight tee constructed with dropped shoulders, a loose body, slits at the straight bottom hem, and a slightly longer back.</t>
  </si>
  <si>
    <t>needle-tee-grey, needle-tee-white, needle-tee-white-fluid</t>
  </si>
  <si>
    <t>aiden-milk-check</t>
  </si>
  <si>
    <t>Aiden Milk Check</t>
  </si>
  <si>
    <t>Made in Portugal.
 Aiden, our unisex big shirt. A super oversized shirt, featuring very dropped shoulders, very wide body and long curved hems. The wider sleeves gather nicely at the cuffs.
 Made in a soft flannel fabric designed and developed exclusively by Livid and woven at Somelos in Portugal. This particular fabric is made from cotton, with 22% Tencel, giving it a beautiful texture, soft handfeel and a fluid drape.
 Details
 - Brushed flannel fabric, 78% cotton, 22% Tencel
 - Woven by Somelos in Portugal exclusively for Livid
 - Mother of Pearl buttons from Louropel, Portugal
 - Hanger loop on back yoke
 - Stitched with poly core cotton thread
 - Cut &amp; Sewn by Stork, Portugal
 Designed to be unisex, the sleeve lengths have a greater jump between sizes S and M. XS and S fit most women and shorter men, M and L fit most men and taller women.</t>
  </si>
  <si>
    <t>A super oversized shirt with very dropped shoulders, wide body, long curved hems, and wider sleeves that gather nicely at the cuffs.</t>
  </si>
  <si>
    <t>aiden-black-ox, aiden-blue-check-pop, aiden-brown-stripe-pop, aiden-eclipse-stripe-poplin, aiden-grey-oxford, aiden-japan-shadow, aiden-white-ox</t>
  </si>
  <si>
    <t>ridley-japan-milk-crepe, grappa-hiker-ecru-suede</t>
  </si>
  <si>
    <t>Made in Portugal
 Our jersey top Eva is one of our jersey essentials. Eva is made in a soft pure cotton jersey knitted in Portugal.
 Eva features a slim shape, wide neck opening with a narrow jersey rib at neck and sleeve opening.
 The shape gives a relaxed silhouette and a perfect complement to any outfit.
 The garment features:
 - 100% cotton
 - 150 gsm pre-shrunk jersey
 - Sewn with strong poly core cotton thread
 - Jersey knitted at Etevimol in Portugal
 - Made at Texgoios in Portugal</t>
  </si>
  <si>
    <t>keri-black-linen, keri-magnet-linen, keri-stone-linen, keri-white-linen</t>
  </si>
  <si>
    <t>Keri Magnet Linen</t>
  </si>
  <si>
    <t>keri-black-linen, keri-green-linen, keri-white-linen</t>
  </si>
  <si>
    <t>mila-indigo-stripe</t>
  </si>
  <si>
    <t>Mila Indigo Stripe</t>
  </si>
  <si>
    <t>Made in Portugal
 Our longsleeve Mila, made in a seasonal indigo stripe. Knitted into the fabric with indigo dyed yarn, the stripe is designed to age beautifully over time as the indigo fades.
 Made from a pre-shrunk 6.5 Oz heavy 100% cotton jersey exclusively made for Livid in Portugal. This particular fabric has been used in our heavyweight t-shirts for many years and has become very popular due to its durability and comfortable hand feel.
 Mila features dropped shoulders and a generous silhouette, ideal for someone who likes a more relaxed look.
 Details &amp; Features
 - 100% cotton
 - 220 gsm pre-shrunk jersey
 - Fine rib collar
 - Finished with a raw roll-up hem
 - Sewn with durable poly core cotton thread
 - Knitted by Etevimol in Portugal
 - Made at Texgoios in Portugal</t>
  </si>
  <si>
    <t>Our longsleeve Mila, made in a seasonal indigo stripe. Knitted into the fabric with indigo dyed yarn, the stripe is designed to age beautifully over time as the indigo fades.</t>
  </si>
  <si>
    <t>mila-black-1, mila-brown-stripe, mila-grey-melange, mila-black</t>
  </si>
  <si>
    <t>keri-japan-broken, veley-lis-noir, oak-black-nappa</t>
  </si>
  <si>
    <t>Made in Portugal.
 The elegant Saori. Designed with a fitted hip that creates an effortless volume, before ending in a full length, slightly A-lined skirt. 
 Made in a beautiful crepe fabric woven by Komon Kobo, the Saori dress exhibits a fluid and elegant drape, while feeling light and breathable on the skin.
 Details
 - Polyester crepe woven by Komon Kobo in Japan
 - Zipper at back of neck, made by YKK in Portugal
 - Stitched with durable poly core thread
 - Cut &amp; Sewn by Stork, Portugal</t>
  </si>
  <si>
    <t>Naia Green</t>
  </si>
  <si>
    <t>Made in Portugal
 Our box-fit t-shirt, Naia. Made from a pre-shrunk 100% cotton jersey exclusively made for Livid in Portugal. This is the same jersey fabric we've used on our men's Richmond tee for many years, especially popular for its durability and comfortable handfeel.
 Built with a boxy silhouette ideal for someone who likes a more relaxed look. A wardrobe essential in our seasonal colourway Dove.
 The garment features:
 - 100% cotton
 - 220 gsm pre-shrunk jersey
 - Livid-embroidery on chest
 - Poly core cotton thread- Knitted by Etevimol in Portugal
 - Made at Texgoios in Portugal
 Go to our fit guide to read more about the Naia.</t>
  </si>
  <si>
    <t>Our box-fit t-shirt, Naia, made from pre-shrunk 100% cotton jersey. Popular for its durability and comfortable handfeel.</t>
  </si>
  <si>
    <t>naia-black, naia-white</t>
  </si>
  <si>
    <t>Made in China
 Made in a gloriously soft cashmere blend, that's both lightweight and warming. Finished with elegant low profile seams, possible due to the fine splittable doubleface wool.
 The Bowser skirt sits comfortably above the hip, ending just below the knee. The signature silver two-way zip allows a custom length split to be set at the front.
 Details
 - 90% wool, 10% cashmere 
 - Doubleface splittable fabric woven by Taian Fanzhen, China
 - YKK two-way sillver zip
 - Manufactured by Bonus Trading, China</t>
  </si>
  <si>
    <t>corinne-beige-yak</t>
  </si>
  <si>
    <t>Corinne Beige Yak</t>
  </si>
  <si>
    <t>Made in China 
 The oversized cable knit sweater, Corinne, is sure to keep you warm and cosy through the autumn/winter seasons. Its large proportions ensures both ease and ventilation, form and function. 
 Knitted in a super soft and substantial yak and merino blend yarn. Constructed with a funnel neck, wide, long sleeves, dropped shoulders and wide body. The Corinne Beige Yak is made with entirely undyed yarn, taking on the natural beige marl of the yak and merino sheep.
 Details
 - 31% Yak, 16% Merino, 22% Nylon
 - Yak blend yarn spun by UPW, China
 - Undyed yarn, taking on the natural colour of the yak and merino
 - Knitted by Springair in China</t>
  </si>
  <si>
    <t>Oversized cable knit, Corinne.</t>
  </si>
  <si>
    <t>ebela-black</t>
  </si>
  <si>
    <t>Ebela Black</t>
  </si>
  <si>
    <t>Made in China 
 Made from a beautiful lightweight 100% extra fine merino wool, spun by the renowned European wool spinner Biella Yarn.
 Refined, but durable enough to be worn every day. With a slim fit perfect for layering, and a luxurious soft handfeel. Featuring a roll-neck that keeps your entire neck warm without bunching. The super soft merino quality from Biella allows you to wear it directly on your skin without any itching.
 Details
 - 100% extra fine merino wool
 - Merino wool yarn spun in Europe by Biella Yarn
 - 14 guage rib knit
 - Soft, elastic and super resistant.
 - Knitted by Springair in China</t>
  </si>
  <si>
    <t>Ebela, our ribbed merino turtleneck.</t>
  </si>
  <si>
    <t>Ebela Brown</t>
  </si>
  <si>
    <t>Made in China 
 Effortlessly draped sweater, knitted in a super soft brushed alpaca yarn. Constructed with wide sleeves, dropped shoulders and relaxed, long body. The Kerin is a go-to sweater for the whole autumn/winter season.
 Details
 - 79% Alpaca, 19% Nylon, 2% Spandex
 - Alpaca yarn spun by QCYarn, China
 - Brushed 7 guage knit
 - Soft, elastic and super resistant.
 - Knitted by Springair in China</t>
  </si>
  <si>
    <t>kerin-taupe</t>
  </si>
  <si>
    <t>Kerin Taupe</t>
  </si>
  <si>
    <t>Made in China
 Made in a gloriously soft cashmere blend, that's both lightweight and warming. Finished with elegant low profile seams, possible due to the fine splittable doubleface wool.
 The Peyton jacket is designed with dropped shoulders, straight sleeves and a relaxed, boxy body. Its shorter length ending precicely at the top of the hip. Finished with a silver two-way zip.
 Details
 - 90% wool, 10% cashmere 
 - Doubleface splittable fabric woven by Taian Fanzhen, China
 - YKK two-way sillver zip
 - Manufactured by Bonus Trading, China</t>
  </si>
  <si>
    <t>selma-stripe</t>
  </si>
  <si>
    <t>Selma Stripe</t>
  </si>
  <si>
    <t>Made in China 
 Made from a beautiful lightweight 100% extra fine merino wool, spun by the renowned European wool spinner Biella Yarn.
 Refined, but durable enough to be worn every day. With a slim fit perfect for layering, and a luxurious soft handfeel. The super soft merino quality from Biella allows you to wear it directly on your skin without any itching.
 Details
 - 100% extra fine merino wool
 - Merino wool yarn spun in Europe by Biella Yarn
 - 14 guage rib knit
 - Soft, elastic and super resistant.
 - Knitted by Springair in China</t>
  </si>
  <si>
    <t>tiki-japan-mud-noil-silk</t>
  </si>
  <si>
    <t>Tiki Japan Mud Noil Silk</t>
  </si>
  <si>
    <t>Made in Portugal
 Made in an incredible noil silk fabric woven by the artisanal mill Kowa in Japan. Made with a slubby Thai silk yarn, and woven with artisanal skill, this particular fabric combines an organic texture with elegant drape and movement.
 Noil silk is produced with silk fibres left over from production of other silk fabrics. Spun together these differing fibre lengths give the silk yarn a rougher texture, and a matte finish compared to the sheen from continuous silk fibres. Stronger than cotton, noil silk features a heavy fluid drape and has excellent temperature regulating properties, breathing and keeping you cool and dry in hot weather and warm in cold climates.
 Tiki is designed with a generous straight cut, featuring a clean front placket, box pleat at the back yoke, curved hem, and pleats at cuff. Mother of pearl buttons at cuffs and placket.
 Details
 - 100% noil silk farmed in Thailand
 - Woven by Kowa in Japan
 - Real mother of pearl buttons made by Louropel in Italy
 - Garment dyed
 - Stitched with durable poly-core cotton thread
 - Made at Stork in Portugal</t>
  </si>
  <si>
    <t>daffy-mohair-chestnut</t>
  </si>
  <si>
    <t>Daffy Mohair Chestnut</t>
  </si>
  <si>
    <t>Made in China
 Knitted in a soft and fuzzy mohair wool yarn, the Daffy brings bold proportions and lightweight warmth.
 Made with a relaxed and cropped body, balanced out by longer sleeves that can warm your hands or be worn bunched at the wrist. Finished with mother of pearl buttoning at the neck.
 Details
 - 30% Mohair, 70% Wool
 - Brushed 5 gauge knit
 - Mother of pearl buttons
 - Yarn spun by Topline, China
 - Knitted by Springair, China</t>
  </si>
  <si>
    <t>Daffy, our cropped, collared mohair sweater.</t>
  </si>
  <si>
    <t>Made in Portugal
 The Japan Black Comfort. Made from a 10,6 Oz black comfort wideloom denim woven at the renowned Japanese fabric mill, Kuroki. This particular fabric have been made with a premium black sulphur dye that keep the dark shade longer than most fabrics in the same segment. While all black denim loose colour, this particular denim fades in contrast after wear. This is due a special technique called rope dye, whereas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All black denim will loose its colour. Some transform into a dull grey version of itself, but this particular denim, fades in contrast giving more and more life, resulting in a denim that only get more beautiful with age.
 Another small detail. The surface of this particular denim has been an anti-dust treatment, preventing lint from attaching to the surface of the fabric. 
 Details &amp; Features
 - 10,6 Oz comfort wideloom denim from Kuroki, Japan
 - 96% cotton / 4% polyurethane
 - Warp &amp; weft dyed in black
 - 5 Oz ecru canvas pocketing
 - Black leather patch w/ wax treatment. Made in Italy
 - YKK two-prongtack, silver button and zip fly
 - YKK solid copper washed-burr rivets
 - Stitched with poly core cotton thread
 - Made at Lisama, Portugal
 Model is 183 cm and wears a size 31/32
 Go to our fitguide to read more about the Edvard skinny fit.
 Available sizes are 27-36 in 32″ inseam and 29-36 in 34″ inseam.</t>
  </si>
  <si>
    <t>Made in Portugal 
 From our All Seasons collection line come our maxi-fit tee, Nelson. Made from a pre-shrunk 6 Oz heavy 100% organic cotton jersey exclusively made for Livid in Portugal. This particular fabric has been used in our Richmond t-shirts for many seasons and has become very popular due to its durability and comfortable hand feel. Made in our box fit tee, Nelson. 
 Featuring dropped shoulders, a wider body for a relaxed fit, and a slightly shorter length than our basic tee Richmond.
 A wardrobe staple piece that works in any occasion regardless of seasonal trends.
 Details &amp; Features
 - 100% organic cotton, GOTS 4.0 certified
 - 200 gsm pre-shrunk jersey
 - Livid embroidery on chest
 - Fine rib collar 
 - Overlocked shoulder seams
 - Straight cut hem
 - Poly core cotton thread
 - Made at Texgoios in Portugal
 Model is 183 cm and wears a size medium.
 Go to our fit guide to read more about the Nelson Tee. 
 Available sizes small to xxx-large</t>
  </si>
  <si>
    <t>nelson-black, nelson-light-grey, nelson-toasted, nelson-bonnet-overdye, nelson-putty-overdye, nelson-raw-indigo-stripe, nelson-spice-overdye, nelson-grisaille-overdye</t>
  </si>
  <si>
    <t>Made in Portugal
 The Japan Indigo. Made from a beautiful mid-weight wideloom denim woven at the renowned Japanese fabric mill, Kuroki. This particular fabric was built by Kuroki with a main goal at hand, creating a comfortable stretch denim that maintained the look of a rigid (100% cotton) denim. That is also particularly why this denim is the most widely used denim-article throughout our collections, now being the fabric of choice for 10 different core-styles in our rage. A super versatile denim, beautiful in all types of shades in addition to providing great comfort, stretch and recovery after wear. A safe choice for all who loves a pair of genuine fitting jeans in their wardrobe.
 Made in our slim leg jeans, Jone.
 Details &amp; Features
 - 13 Oz comfort wideloom denim from Kuroki, Japan. 
 - 98% cotton / 2% polyurethane
 - Warp dyed in indigo, natural coloured weft
 - 8 Oz ecru canvas pocketing 
 - Tanned leather patch w/ wax treatment, Made in Italy. 
 - YKK two-prongtack, silver button and zip fly
 - YKK solid copper washed-burr rivets
 - Stitched with poly core cotton thread
 - Made at Lisama, Portugal
 Model is 190 cm, weight 78 kg and wears a size 31/32.
 Go to our fit guide to read more about the Jone Slim. 
 Available sizes are 27-36 in 32” inseam and 29-40 in 34” inseam.</t>
  </si>
  <si>
    <t>Made in Portugal
 The Japan Indigo. Made from a light weight wideloom denim woven at the renowned Japanese fabric mill, Kuroki. This top of the line garment has a soft and comfortable hand feel. Made from 98% long staple conventional cotton with a 2% added polyurethane for increase comfort and wearability. This fabric will mold neatly to the body while keeping its shape after wear.
 Made in our skinny fit jeans, Edvard. 
 Details &amp; Features
 - 11 Oz comfort wideloom denim from Kuroki, Japan. 
 - 98% cotton / 2% polyurethane
 - Warp dyed in indigo, natural coloured weft
 - 8 Oz ecru canvas pocketing
 - Tanned leather patch w/ wax treatment, Made in Italy. 
 - YKK two-prongtack, silver button and zip fly
 - YKK solid copper washed-burr rivets
 - Stitched with poly core cotton thread
 - Made at Lisama, Portugal
 Model is 183 cm and wears a size 31/32.
 Go to our fit guide to read more about the Edvard Skinny
 Available sizes are 27-36 in 32” inseam and 29-36 in 34” inseam</t>
  </si>
  <si>
    <t>Made from a pre-shrunk heavy organic cotton jersey, our box fit tee features a dropped shoulders and wider body for a relaxed fit.</t>
  </si>
  <si>
    <t>nelson-white, nelson-light-grey, nelson-toasted, nelson-bonnet-overdye, nelson-putty-overdye, nelson-raw-indigo-stripe, nelson-spice-overdye, nelson-grisaille-overdye</t>
  </si>
  <si>
    <t>Made in Portugal
 The Japan Black Comfort. Made from a 11,9 Oz black wideloom denim woven at the renowned Japanese fabric mill, Kuroki. Developed to have the solid textural handfeel of classic pure cotton black jeans, but with 2% stretch for added comfort.
 While all black denim will loose colour eventually, this particular denim fades in contrast after wear, evolving a beautiful personal pattern. This is due a special technique called rope dye, whereas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Made in a one-wash finish to increase softness of touch. Available in our tapered fit, Bailey. 
 Details &amp; Features
 - 11,9 Oz comfort wideloom denim from Kuroki, Japan
 - One wash to increase softness
 - 98% cotton / 2% polyurethane
 - Warp &amp; weft dyed in black
 - 8 Oz ecru canvas pocketing
 - Black leather patch w/ wax treatment. Made in Italy
 - YKK two-prongtack, silver button and zip fly
 - YKK solid copper washed-burr rivets
 - Stitched with poly core cotton thread
 - Made at Lisama, Portugal
 Model is 183 cm and wears a size 32/32.
 Go to our fit guide to read more about the tapered leg fit, Bailey.
 Available sizes are 28-36 in 32” inseam and 30-40 in 34” inseam.</t>
  </si>
  <si>
    <t>Made in Portugal
 The Japan Indigo. Made from a beautiful mid-weight wideloom denim woven at the renowned Japanese fabric mill, Kuroki. This particular fabric was built by Kuroki with a main goal at hand, creating a comfortable stretch denim that maintained the look of a rigid (100% cotton) denim. That is also particularly why this denim is the most widely used denim-article throughout our collections, now being the fabric of choice for 10 different core-styles in our rage. A super versatile denim, beautiful in all types of shades in addition to providing great comfort, stretch and recovery after wear. A safe choice for all who loves a pair of genuine fitting jeans in their wardrobe.
 Made in our slim straight jeans, Addison. 
 Details &amp; Features
 - 13 Oz comfort wideloom denim from Kuroki, Japan. 
 - 98% cotton / 2% polyurethane
 - Warp dyed in indigo, natural coloured weft
 - 8 Oz ecru canvas pocketing 
 - Tanned leather patch w/ wax treatment, Made in Italy. 
 - YKK two-prongtack, silver button and zip fly
 - YKK solid copper washed-burr rivets
 - Stitched with poly core cotton thread
 - Made at Lisama, Portugal
 Model is 183 cm and wears a size 32/32.
 Go to our fit guide to read more about the Addison Slim Straight. 
 Available sizes are 28-36 in 32” inseam and 30-40 in 34” inseam.</t>
  </si>
  <si>
    <t>Made in Portugal
 The Barnes Japan Black. Made from a 13 Oz 100% cotton, black wideloom denim woven by the renowned Japanese fabric mill, Kuroki. 
 While all black denim will loose colour eventually, this particular denim fades in contrast after wear, evolving a beautiful personal pattern. This is due a special technique called rope dye, whereas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Made in a one-wash finish to increase softness of touch. Available in our wideleg fit, Barnes. 
 Details &amp; Features
 - 13 Oz wideloom denim from Kuroki, Japan
 - One wash to increase softness
 - 100% Sanforized cotton
 - Warp &amp; Weft dyed in black
 - 8 Oz 5 Oz ecru canvas pocketing
 - Black leather patch w/ wax treatment, Made in Italy. 
 - YKK two-prongtack, silver button and zip fly
 - YKK solid copper washed-burr rivets
 - Stitched with poly core cotton thread
 - Made at Lisama, Portugal
 Model is 183 cm and wears a size 32/32.
 Go to our fit guide to read more about the wide leg fit, Barnes.
 Available sizes are 27-36 in 32” inseam and 30-36 in 34” inseam.</t>
  </si>
  <si>
    <t>barnes-japan-dawn, barnes-japan-fade, barnes-japan-mole, barnes-japan-forest-fog, barnes-japan-putty, barnes-22-5-oz-japan-heavy-selvage, barnes-japan-rinse-selvage, barnes-japan-milk</t>
  </si>
  <si>
    <t>addison-japan-rinse-selvage</t>
  </si>
  <si>
    <t>Addison Japan Rinse Selvage</t>
  </si>
  <si>
    <t>Made in Portugal
 The Japan Indigo One-Wash Selvage. A new addition to our denim line and a growing item from popular demand. Made from a mid- to -heavy weight denim fabric developed exclusively for Livid by the renowned Japanese fabric mill, Kurabo. This top of the line denim is a one-wash. Meaning, it has gone through a soft pre-washed treatment removing the stiffness, starch and excess indigo from the raw state of the fabric. Another plus, it also removes a lot of the shrinkage you’ll normally get from an unwashed fabric. Soft treatment, but still maintaining those favorable attributes you’ll get from a pair of raw, rigid, untreated pair of jeans. It still fades!
 The Japan Indigo One-Wash Selvage is made – as all our denim fabrics - with a dyeing technique called rope dye. A great attribute if you want the jeans of your choice to fade and become more and more unique with wear. When rope dyeing denim yarns the white core of the cotton yarn remains untouched during the dyeing process. With friction and wear as the layers and layers of indigo are worn off the surface of the fabric, the un-dyed core of the cotton yarn will appear, slowly leaving beautiful contrast fading to the surface. Ever tried it yourself? A definite essential for any denim enthusiast!
 Made in our slim straight fit, Addison. 
 Details &amp; Features
 - One-Wash Indigo Selvage Denim
 - 14 Oz narrowloom selvage denim from Kurabo, Japan
 - Exclusive rope dye denim fabric developed for Livid
 - 100% Sanforized cotton,
 - Warp dyed in indigo, natural coloured weft
 - 8 Oz ecru canvas pocketing
 - Tanned leather patch w/ wax treatment, Made in Italy. 
 - YKK two-prongtack, silver button fly
 - YKK solid copper washed-burr rivets
 - Stitched with poly core cotton thread
 - Made at Lisama, Portugal
 Model is 183 cm and wears a size 32/32.
 Go to our fit guide to read more about the Addison Slim Straight 
 Available sizes are 28-36 in 32” inseam and 30-40 in 34” inseam.</t>
  </si>
  <si>
    <t>Addison slim straight. Made in a 14 Oz selvage denim, developed by Livid and woven by Kurabo in Japan. The Rinse selvage has been given a gentle one-wash treatment, removing stiffness and excess indigo, and reducing shrinkage while maintaining favorable raw, rigid qualities.</t>
  </si>
  <si>
    <t>addison-japan-indigo, addison-japan-black</t>
  </si>
  <si>
    <t>Made in Portugal
 The Japan Blue. Made from a beautiful mid-weight wideloom denim woven at the renowned Japanese fabric mill, Kuroki. This particular fabric was built by Kuroki with a main goal at hand, creating a comfortable stretch denim that maintained the look of a rigid (100% cotton) denim. That is also particularly why this denim is the most widely used denim-article throughout our collections, now being the fabric of choice for 10 different core-styles in our rage. A super versatile denim, beautiful in all types of shades in addition to providing great comfort, stretch and recovery after wear. A safe choice for all who loves a pair of genuine fitting jeans in their wardrobe.
 Made in our tapered leg jeans, Bailey.
 Details &amp; Features
 - 13 Oz comfort wideloom denim from Kuroki, Japan. 
 - 98% cotton / 2% polyurethane
 - Warp dyed in indigo, natural coloured weft
 - 8 Oz ecru canvas pocketing 
 - Tanned leather patch w/ wax treatment, Made in Italy. 
 - YKK two-prongtack, silver button and zip fly
 - YKK solid copper washed-burr rivets
 - Stitched with poly core cotton thread
 - Made at Lisama, Portugal
 Model is 183 cm and wears a size 32/32.
 Go to our fit guide to read more about the Bailey Tapered. 
 Available sizes are 28-36 in 32” inseam and 30-40 in 34” inseam.</t>
  </si>
  <si>
    <t>Made in Portugal
 The Japan Black Comfort. Made from a 11,9 Oz black wideloom denim woven at the renowned Japanese fabric mill, Kuroki. Developed to have the solid textural handfeel of classic pure cotton black jeans, but with 2% stretch for added comfort.
 While all black denim will loose colour eventually, this particular denim fades in contrast after wear, evolving a beautiful personal pattern. This is due a special technique called rope dye, whereas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Made in a one-wash finish to increase softness of touch. Available in our slim fit, Jone. 
 Details &amp; Features
 - 11,9 Oz comfort wideloom denim from Kuroki, Japan
 - One wash to increase softness
 - 98% cotton / 2% polyurethane
 - Warp &amp; weft dyed in black
 - 8 Oz ecru canvas pocketing
 - Black leather patch w/ wax treatment. Made in Italy
 - YKK two-prongtack, silver button and zip fly
 - YKK solid copper washed-burr rivets
 - Stitched with poly core cotton thread
 - Made at Lisama, Portugal
 Model is 190 cm, weight 78 kg and wears a size 31/32.
 Go to our fit guide to read more about the silm leg fit, Jone.
 Available sizes are 28-36 in 32” inseam and 29-40 in 34” inseam.</t>
  </si>
  <si>
    <t>nelson-light-grey</t>
  </si>
  <si>
    <t>Nelson Light Grey</t>
  </si>
  <si>
    <t>Made from pre-shrunk, heavy organic cotton jersey, Nelson is part of our line. Its comfortable feel and durability make it popular.</t>
  </si>
  <si>
    <t>nelson-white, nelson-black, nelson-toasted, nelson-bonnet-overdye, nelson-putty-overdye, nelson-raw-indigo-stripe, nelson-spice-overdye, nelson-grisaille-overdye</t>
  </si>
  <si>
    <t>Made in Portugal 
 From our All Seasons collection-line comes our staple tee Richmond in a 2-pack. Made from a pre-shrunk 6.5 Oz heavy 100% cotton jersey exclusively made for Livid in Portugal. This particular fabric has been used in our t-shirts since our very first Richmond tee in 2013, and has become very popular due to its durability and comfortable hand feel. 
 Richmond is classic tee, constructed as a regular slim built to rest close to the body. A wardrobe staple piece that works in any occasion regardless of seasonal trends.
 Details &amp; Features
 - 2-Pack tee
 - 100% cotton
 - 220 gsm pre-shrunk jersey
 - Knitted by Etevimol in Portugal
 - Fine rib collar 
 - Top stitched shoulder seams
 - Straight cut hem
 - Poly core cotton thread
 - Made at Texgoios in Portugal</t>
  </si>
  <si>
    <t>richmond-2-pack-white, richmond-2-pack-black, richmond-2-pack-navy</t>
  </si>
  <si>
    <t>richmond-2-pack-black, richmond-2-pack-light-grey, richmond-2-pack-navy</t>
  </si>
  <si>
    <t>simmons-white</t>
  </si>
  <si>
    <t>Simmons Organic White</t>
  </si>
  <si>
    <t>emerson-japan-dry-selvage</t>
  </si>
  <si>
    <t>Emerson Japan Dry Selvage</t>
  </si>
  <si>
    <t>Made in Portugal
 The Japan Dry Selvage. Made from a mid- to -heavy weight denim fabric developed exclusively for Livid by the renowned Japanese fabric mill, Kurabo. This top of the line denim is made out of 100% sanforized cotton and is unwashed and completely untreated. Perfect start for your brand new dry denim project and great for the environment!
 The Japan Dry Selvage is made – as all our denim fabrics - with a dyeing technique called rope dye. A great attribute if you want the jeans of your choice to fade and become more and more unique with wear. When rope dyeing denim yarns the white core of the cotton yarn remains untouched during the dyeing process. With friction and wear as the layers and layers of indigo are worn off the surface of the fabric, the un-dyed core of the cotton yarn will appear, slowly leaving beautiful contrast fading to the surface. Ever tried it yourself? A definite essential for any denim enthusiast!
 Made in our straight leg jeans, Emerson. 
 Details &amp; Features
 - 14 Oz narrowloom selvage denim from Kurabo, Japan
 - Exclusive rope dye denim fabric developed for Livid
 - 100% Sanforized cotton
 - Warp dyed in indigo, natural coloured weft
 - 8 Oz ecru canvas pocketing
 - Tanned leather patch w/ wax treatment, Made in Italy. 
 - YKK two-prongtack, silver button fly
 - YKK solid copper washed-burr rivets
 - Stitched with poly core cotton thread
 - Made at Lisama, Portugal
 Model is 183 cm and wears a size 32/32.
 Go to our fit guide to read more about the Emerson Straight 
 Available sizes are 28-36 in 32” inseam and 30-40 in 34” inseam.</t>
  </si>
  <si>
    <t>Made from denim fabric by Kurabo. This top denim is unwashed, untreated, and perfect for a new dry denim project. Great for the environment.</t>
  </si>
  <si>
    <t>emerson-japan-dawn, emerson-18-oz-japan-dry-selvage, emerson-japan-black-selvage</t>
  </si>
  <si>
    <t>Made in Portugal
 The Japan Indigo. Made from a beautiful mid-weight wideloom denim woven at the renowned Japanese fabric mill, Kuroki. This particular fabric was built by Kuroki with a main goal at hand, creating a comfortable stretch denim that maintained the look of a rigid (100% cotton) denim. That is also particularly why this denim is the most widely used denim-article throughout our collections, now being the fabric of choice for 10 different core-styles in our rage. A super versatile denim, beautiful in all types of shades in addition to providing great comfort, stretch and recovery after wear. A safe choice for all who loves a pair of genuine fitting jeans in their wardrobe.
 Made in our tapered leg jeans, Bailey.
 Details &amp; Features
 - 13 Oz comfort wideloom denim from Kuroki, Japan. 
 - 98% cotton / 2% polyurethane
 - Warp dyed in indigo, natural coloured weft
 - 8 Oz ecru canvas pocketing 
 - Tanned leather patch w/ wax treatment, Made in Italy. 
 - YKK two-prongtack, silver button and zip fly
 - YKK solid copper washed-burr rivets
 - Stitched with poly core cotton thread
 - Made at Lisama, Portugal
 Model is 183 cm and wears a size 32/32.
 Go to our fit guide to read more about the Bailey Tapered. 
 Available sizes are 28-36 in 32” inseam and 30-40 in 34” inseam.</t>
  </si>
  <si>
    <t>Barnes Japan Rinse Selvage</t>
  </si>
  <si>
    <t>Made in Portugal
 The Japan Rinse Selvage. Made from a perfect heavy midweight 14 Oz denim fabric developed exclusively for Livid by the renowned Japanese fabric mill, Kurabo. This top of the line denim is a one-wash. Meaning, it has gone through a soft pre-washed treatment removing the stiffness, starch and excess indigo from the raw state of the fabric. Another plus, it also removes a lot of the shrinkage you’ll normally get from an unwashed fabric. Soft treatment, but still maintaining those favorable attributes you’ll get from a pair of raw, rigid, untreated pair of jeans. It still fades beautifully!
 The Japan Rinse Selvage is made – as all our denim fabrics - with a dyeing technique called rope dye. A great attribute if you want the jeans of your choice to fade and become more and more unique with wear. When rope dyeing denim yarns the white core of the cotton yarn remains untouched during the dyeing process. With friction and wear as the layers and layers of indigo are worn off the surface of the fabric, the un-dyed core of the cotton yarn will appear, slowly leaving beautiful contrast fading to the surface. Ever tried it yourself? A definite essential for any denim enthusiast!
 Made in our wide leg fit, Barnes. 
 Details &amp; Features
 - One-Wash Indigo Selvage Denim
 - 14 Oz narrowloom selvage denim from Kurabo, Japan
 - Exclusive rope dye denim fabric developed for Livid
 - 100% Sanforized cotton,
 - Warp dyed in indigo, natural coloured weft
 - 8 Oz ecru canvas pocketing
 - Tanned leather patch w/ wax treatment, Made in Italy. 
 - YKK two-prongtack, silver button fly
 - YKK solid copper washed-burr rivets
 - Stitched with poly core cotton thread
 - Made at Lisama, Portugal
 Model is 183 cm and wears a size 32/32.
 Go to our fit guide to read more about the wide leg fit, Barnes.
 Available sizes are 27-36 in 32” inseam and 30-36 in 34” inseam.</t>
  </si>
  <si>
    <t>The Japan Rinse Selvage, made with a heavy midweight 14 Oz denim, developed exclusively by Kurabo. A one-wash treatment removes stiffness, excess indigo, and much of the initial shrinkage.</t>
  </si>
  <si>
    <t>barnes-japan-dawn, barnes-japan-fade, barnes-japan-black, barnes-japan-mole, barnes-japan-forest-fog, barnes-japan-putty, barnes-22-5-oz-japan-heavy-selvage, barnes-japan-milk</t>
  </si>
  <si>
    <t>richmond-2-pack-white, richmond-2-pack-light-grey, richmond-2-pack-navy</t>
  </si>
  <si>
    <t>palmer-grey</t>
  </si>
  <si>
    <t>Palmer Grey</t>
  </si>
  <si>
    <t>Made in Portugal 
 From our All Seasons line comes our staple sweatshirt Palmer. Made from a pre-shrunk 100% cotton loopback jersey exclusively knitted for Livid in Portugal. This particular fabric is developed for durability and comfortable hand feel, and made in a versatile weight that works well all year round. Made in a classic crewneck fit.
 Details &amp; Features
 - 100% cotton
 - 320 gsm pre-shrunk loopback jersey
 - Livid embroidery on chest
 - Fine rib collar 
 - Overlocked shoulder seams
 - Sewn with durrable poly-core cotton thread
 - Jesey knitted by Etevimol in Portugal
 - Made at Texgoios in Portugal</t>
  </si>
  <si>
    <t>palmer-black, palmer-navy</t>
  </si>
  <si>
    <t>west-stone-oxford</t>
  </si>
  <si>
    <t>West Stone Oxford</t>
  </si>
  <si>
    <t>Made in Portugal
 From our All Seasons collection comes our relaxed slim shirt, West. Made from a loose plain weave fabric developed exclusively by Livid and woven at Somelos in Portugal. Designed with an uneven and loose weave for a softer hand feel and increased drape. The weave also enhances the colour, dyed in a colder contemporary pallet, making this wardrobe basic a go-to classic for seasons to come.
 Featuring a clean collar, a single chest pocket, and a French placket with mother of pearl buttons.
 Details
 - Plain weave fabric, 100% cotton
 - Fabric woven at Somelos in Portugal, exclusively for Livid.
 - Mother of Pearl buttons from Louropel, Portugal
 - Stitched with poly core cotton thread
 - Shirt cut &amp; sewn by Stork, Portugal
 Model is 183 cm, weight 70 kg and wears a size medium.
 Go to our fit guide to read more about the West. 
 Available sizes small to xxx-large</t>
  </si>
  <si>
    <t>Our All Seasons relaxed slim shirt, West. Designed with loose cotton weave for a softer hand feel and increased drape.</t>
  </si>
  <si>
    <t>west-black, west-pond, west-taupe, west-deep-teal</t>
  </si>
  <si>
    <t>cassidy-navy</t>
  </si>
  <si>
    <t>Cassidy Navy</t>
  </si>
  <si>
    <t>Made in Portugal
 From our All Seasons collection-line comes our classic regular slim buttondown oxford shirt, Cassidy Brown. Made from a light weight plain weave oxford fabric developed and woven at Somelos in Portugal. This particular fabric has been a staple fabric in our collection for many seasons and has become very popular due to its classic look and comfortable hand feel. A wardrobe staple piece that works in any occasion regardless of seasonal trends. 
 Featuring a button-down collar, longsleeves ending in button cuffs, a single chest pocket and pleats for increase mobility on back yoke. 
 Details 
 - Plain weave oxford fabric, 100% cotton. 
 - Woven by Somelos in Portugal
 - Mother of Pearl buttons from Louropel, Portugal
 - Stitched with poly core cotton thread
 - Cut &amp; Sewn by Stork, Portugal
 Model is 183 cm and wears a size medium.
 Go to our fit guide to read more about the Cassidy. 
 Available sizes small to xxx-large</t>
  </si>
  <si>
    <t>From our All Seasons collection comes our classic regular slim button-down oxford shirt, Cassidy Brown. A staple for any occasion, blending classic looks with comfortable feel.</t>
  </si>
  <si>
    <t>cassidy-white-oxford, cassidy-candy-stripe, cassidy-beige, cassidy-olive-oxford, cassidy-black-1</t>
  </si>
  <si>
    <t>cassidy-beige</t>
  </si>
  <si>
    <t>Cassidy Beige</t>
  </si>
  <si>
    <t>Made in Portugal
 From our All Seasons collection-line comes our classic regular slim buttondown oxford shirt, Cassidy. Made from a light weight plain weave oxford fabric developed and woven at Somelos in Portugal. This particular fabric has been a staple fabric in our collection for many seasons and has become very popular due to its classic look and comfortable hand feel. A wardrobe staple piece that works in any occasion regardless of seasonal trends. 
 Featuring a button-down collar, longsleeves ending in button cuffs, a single chest pocket and pleats for increase mobility on back yoke. 
 Details 
 - Plain weave oxford fabric, 100% cotton. 
 - Woven by Somelos in Portugal
 - Mother of Pearl buttons from Louropel, Portugal
 - Stitched with poly core cotton thread
 - Cut &amp; Sewn by Stork, Portugal
 Model is 183 cm and wears a size medium.
 Go to our fit guide to read more about the Cassidy. 
 Available sizes small to xxx-large</t>
  </si>
  <si>
    <t>Our classic regular slim buttondown oxford shirt, Cassidy, is a light weight, plain weave oxford fabric, perfect for any season and occasion due to its classic look and comfortable feel.</t>
  </si>
  <si>
    <t>cassidy-white-oxford, cassidy-candy-stripe, cassidy-navy, cassidy-olive-oxford, cassidy-black-1</t>
  </si>
  <si>
    <t>Made in Portugal
 The Japan Blue. Made from a mid-weight wideloom denim woven at the renowned Japanese fabric mill, Kuroki. This particular denim has been woven with dual core-spun yarns which greatly improves the stretch, recovery, comfort and flexibility properties in the denim. Dual core-spun yarns are also composed of filament – fibers having extreme length - that contributes durability and long-lasting quality. In short terms a fabric that molds to the body, keeps it shape and is made to last longer both in regards to esthetics and simple durability.
 Made in our skinny fit jeans, Edvard. 
 Details &amp; Features
 - 11,8 Oz comfort wideloom denim from Kuroki, Japan. 
 - 96% cotton / 2% polyurethane / 2% polyethylene
 - Woven with dual core-spun yarns
 - Warp dyed in indigo, natural coloured weft
 - 8 Oz / 5 Oz ecru canvas pocketing
 - Tanned leather patch w/ wax treatment, Made in Italy 
 - YKK two-prongtack, silver button and zip fly
 - YKK solid copper washed-burr rivets
 - Stitched with poly core cotton thread
 - Made at Lisama, Portugal
 Model is 183 cm and wears a size 31/32
 Go to our fit guide to read more about the Edvard Skinny
 Available sizes are 27-36 in 32” inseam and 29-36 in 34” inseam.</t>
  </si>
  <si>
    <t>simmons-black</t>
  </si>
  <si>
    <t>Simmons Black</t>
  </si>
  <si>
    <t>Made in Portugal 
 From our All Seasons-collection line comes our basic tank, Simmons. Made from a pre-shrunk 100% organic cotton jersey exclusively made for Livid in Portugal. This particular fabric is a light weight version of our standard jersey fabric we normally use in our Richmond and Nelson tees. A popular quality known for its durability and comfortable hand feel. Made in our new standard tank fit, Simmons. Built with a generous silhouette ideal for someone who likes a more relaxed look. A wardrobe essential for summer.
 Details &amp; Features
 - 100% organic cotton
 - Pre-shrunk jersey
 - Piped seams on shoulder and collar
 - Straight cut hem
 - Poly core cotton thread
 - Made at Texgoios in Portugal
 Model is 183 cm and wears a size medium.
 Go to our fit guide to read more about the Simmons Singlet. 
 Available sizes small to xxx-large</t>
  </si>
  <si>
    <t>Our basic tank, Simmons, made in a pre-shrunk 100% cotton jersey. A lightweight quality with a comfortable hand feel, for a relaxed look.</t>
  </si>
  <si>
    <t>noah-black</t>
  </si>
  <si>
    <t>Noah Black</t>
  </si>
  <si>
    <t>Made in Portugal 
 From our All Seasons collection line come our maxi-fit sleeveless tee, Noah. Made from a pre-shrunk 6 Oz heavy 100% organic cotton jersey exclusively made for Livid in Portugal. This particular fabric has been used in our Nelson and Richmond t-shirts for many seasons and has become very popular due to its durability and comfortable hand feel. Based on our popular box fit tee, Nelson, the Noah features the same boxy proportions and crew neck, but ends just covering your shoulder. 
 Details &amp; Features
 - 100% organic cotton
 - 200 gsm pre-shrunk jersey
 - "Livid"- embroidery on chest
 - Fine rib collar
 - Piped armholes
 - Straight cut hem
 - Poly core cotton thread
 - Made at Texgoios in Portugal
 Model is 183 cm and wears a size medium.
 Go to our fit guide to read more about the Noah Singlet. 
 Available sizes small to xx-large"</t>
  </si>
  <si>
    <t>Our maxi-fit Noah, a sleeveless tee from the All Seasons line, features a boxy shape, crafted in Portugal with heavy, pre-shrunk 100% organic cotton, ensuring durability and comfort.</t>
  </si>
  <si>
    <t>Made in Portugal
 The Emerson Japan Black Selvage. Made from a solid 13 Oz mid-weight denim fabric from the renowned Japanese fabric mill, Kuroki. This top of the line denim is made out of 100% sanforized cotton and is unwashed and completely untreated. A perfect start for your brand new dry denim project!
 The Emerson Japan Black Selvage is made with sulphur dyed black denim, which ensures that the black colour stays black for a long time. All black denim fades with age, but how they fade will vary greatly. As with all our denim fabrics, our Japan Black Selvage is made with a dyeing technique called rope dye. When rope dyeing denim yarns, the white core of the cotton yarn remains untouched during the dyeing process. With friction and wear as the layers and layers of dye are worn off the surface of the fabric, the un-dyed core of the cotton yarn will appear, slowly leaving beautiful contrast fading to the surface. Ever tried it yourself? A definite essential for any denim enthusiast!
 Made in our straight leg jeans, Emerson. 
 Details &amp; Features
 - 13 Oz narrowloom selvage denim from Kuroki, Japan
 - 100% Sanforized cotton,
 - Black sulphur dyed warp and weft.
 - 8 Oz ecru canvas pocketing
 - Black tanned leather patch w/ wax treatment, Made in Italy.
 - YKK two-prong tack, silver button fly
 - YKK solid copper washed-burr rivets
 - Stitched with poly-core cotton thread
 - Made at Lisama, Portugal
 Model is 183 cm and wears a size 32/32.
 Go to our fit guide to read more about the Emerson Straight 
 Available sizes are 28-36 in 32” inseam and 30-40 in 34” inseam.</t>
  </si>
  <si>
    <t>Made in Portugal 
 The Jone Trouser. Made from a super soft and comfortable 9,8 Oz wideloom fabric woven at the renowned Japanese mill, Kuroki. This particular fabric features a unique double weave construction where the face of the fabric is a 3x1 twill weave and the backside of the fabric is a 1x1 plain weave. A wardrobe staple perfect for all seasons regardless of seasonal and short-term trends.
 Made in a slightly adjusted, Jone Slim.
 Details &amp; Features
 - Garment dye
 - 9,8 Oz wideloom cloth woven by Kuroki, Japan
 - Double weave construction
 - 98% cotton / 2% polyurethane
 - 5 Oz ecru canvas pocketing
 - Welted rear and back pockets
 - YKK zip fly with metal silver zipper
 - YKK metal silver two-prongtack donut button
 - Stitched with poly core cotton thread
 - Made at Lisama, Portugal</t>
  </si>
  <si>
    <t>cassidy-olive-oxford</t>
  </si>
  <si>
    <t>Cassidy Olive Oxford</t>
  </si>
  <si>
    <t>Made in Portugal 
 From our All Seasons collection comes our classic regular slim button-down oxford shirt, Cassidy. Made from a light weight plain weave oxford fabric developed and woven at Somelos in Portugal. This particular fabric has been a staple fabric in our collection for many seasons and has become very popular due to its classic look and comfortable hand feel. A wardrobe staple piece that works in any occasion regardless of seasonal trends. 
 Featuring a button-down collar, long sleeves ending in button cuffs, a single chest pocket and pleats for increase mobility on back yoke.
 Details
 - Plain weave oxford fabric, 100% cotton.
 - Woven by Somelos in Portugal
 - Mother of Pearl buttons from Louropel, Portugal
 - Stitched with poly core cotton thread
 - Cut &amp; Sewn by Stork, Portugal
 Available sizes small to xxx-large</t>
  </si>
  <si>
    <t>Our classic regular slim oxford shirt, Cassidy, is perfect for any occasion. Light weight and comfortable, it's a versatile wardrobe staple.</t>
  </si>
  <si>
    <t>cassidy-white-oxford, cassidy-candy-stripe, cassidy-navy, cassidy-beige, cassidy-black-1</t>
  </si>
  <si>
    <t>cassidy-candy-stripe, cassidy-navy, cassidy-beige, cassidy-olive-oxford, cassidy-black-1</t>
  </si>
  <si>
    <t>Made in Portugal
 The Japan Dawn. Our mid-blue wash made in a solid 13 Oz 100% cotton denim from the renowned Japanese denim mill Kuroki. Soft to the touch, the Japan Dawn reveals an incredible depth of colour and wonderful texture, due to the long-fibred indigo rope-dyed yarns of the fabric. Not too light, and not too dark, the Japan Dawn strikes the perfect balance for your everyday mid-blue needs. A definite essential.
 Made in our wide leg fit, Barnes.
 Details &amp; Features
 - Mid-blue washed rope-dyed indigo denim
 - 13 Oz wideloom denim from Kuroki, Japan
 - 100% Sanforized cotton
 - Warp dyed in indigo, natural coloured weft
 - 8 Oz ecru canvas pocketing
 - Tanned leather patch w/ wax treatment, Made in Italy.
 - YKK two-prongtack, silver button fly
 - YKK solid copper washed-burr rivets
 - Stitched with poly core cotton thread
 - Made at Lisama, Portugal
 Model is 183 cm and wears a size 32/32.
 Go to our fit guide to read more about the Barnes Wide. 
 Available sizes are 28-38 in 32” inseam.</t>
  </si>
  <si>
    <t>barnes-japan-fade, barnes-japan-black, barnes-japan-mole, barnes-japan-forest-fog, barnes-japan-putty, barnes-22-5-oz-japan-heavy-selvage, barnes-japan-rinse-selvage, barnes-japan-milk</t>
  </si>
  <si>
    <t>keri-surf-japan-new-blue, zurich-vl-taupe</t>
  </si>
  <si>
    <t>ridley-japan-milk-crepe, grappa-hiker-ecru-suede, zurich-vl-taupe</t>
  </si>
  <si>
    <t>aiden-black-ox</t>
  </si>
  <si>
    <t>aiden-japan-shadow</t>
  </si>
  <si>
    <t>addison-japan-black</t>
  </si>
  <si>
    <t>Addison Japan Black</t>
  </si>
  <si>
    <t>Made in Portugal
 The Addison slim straight jeans, finally available in our Japan Black Comfort. Made from a 11,9 Oz black wideloom denim woven at the renowned Japanese fabric mill, Kuroki. Developed to have the solid textural handfeel of classic pure cotton black jeans, but with 2% stretch for added comfort.
 While all black denim will loose colour eventually, this particular denim fades in contrast after wear, evolving a beautiful personal pattern. This is due a special technique called rope dye, whereas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Made in a one-wash finish to increase softness of touch. 
 Made in our slim straight jeans, Addison.
 Details &amp; Features
 - 11,9 Oz comfort wideloom denim from Kuroki, Japan
 - One wash to increase softness
 - 98% cotton / 2% polyurethane
 - Warp &amp; weft dyed in black
 - 8 Oz ecru canvas pocketing
 - Black leather patch w/ wax treatment. Made in Italy
 - YKK two-prongtack, silver button and zip fly
 - YKK solid copper washed-burr rivets
 - Stitched with poly core cotton thread
 - Made at Lisama, Portugal
 Model is 183 cm and wears a size 32/32.
 Go to our fit guide to read more about the Addison Slim Straight.</t>
  </si>
  <si>
    <t>Addison slim straight jeans, made with an 11,9 Oz black wideloom denim, woven at Kuroki. Designed for a solid textural feel with a little added stretch for comfort.</t>
  </si>
  <si>
    <t>addison-japan-indigo, addison-japan-rinse-selvage</t>
  </si>
  <si>
    <t>barnes-japan-white</t>
  </si>
  <si>
    <t>Barnes Japan White</t>
  </si>
  <si>
    <t>Made in Portugal
 Our popular high-rise, wide-legged fit Barnes in a new crisp Japan White. Made in a beautiful white denim from the artisanal Japanese mill Kowa, with a great texture and handfeel. 11 Oz in weight, this particular fabric is lighter than the other fabrics we use for our Barnes fit, making it perfect for all-year use, even during the heat of summer.
 Details &amp; Features
 - Crisp white denim
 - 11 Oz wideloom denim from Kowa, Japan
 - 100% Sanforized cotton
 - 8 Oz ecru canvas pocketing
 - White leather patch w/ wax treatment, Made in Italy.
 - YKK two-prongtack, silver button fly
 - YKK solid copper washed-burr rivets
 - Stitched with poly core cotton thread
 - Made at Lisama, Portugal
 Model is 183 cm and wears a size 32/32.
 Go to our fit guide to read more about the Barnes Wide. 
 Available sizes are 28-38 in 32” inseam.</t>
  </si>
  <si>
    <t>Our high-rise, wide-legged Barnes fit in crisp Japan White, crafted with beautiful, textured white denim from the artisanal Japanese mill Kowa, ideal for heat and all-year use.</t>
  </si>
  <si>
    <t>Made in Portugal
 Introducing our new relaxed tapered fit, Kai! High rised, fitting precicely and narrow in the waist, and curved into the lower back. Fans of our Barnes wide will appreciate the spacious thigh, before it taperes down to a slimmer leg opening. The result is a fit that meets the needs of many. On slimmer and average legs, Kai fits precicely in the waist, with a relaxed tapered fit, but Kai is also perfect for the athletic build that needs more room in the thigh and seat with a high and narrow waistband. On the latter body type, Kai will follow the leg naturally from the waist all the down.
 Kai Japan Black is made from a 13 Oz 100% cotton, black wideloom denim woven by the renowned Japanese fabric mill, Kuroki. 
 While all black denim will loose colour eventually, this particular denim fades in contrast after wear, evolving a beautiful personal pattern. This is due a special technique called rope dye, whereas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Made in a one-wash finish to increase softness of touch.
 Details &amp; Features
 - 13 Oz wideloom denim from Kuroki, Japan
 - One wash to increase softness
 - 100% Sanforized cotton
 - Warp &amp; Weft sulphur dyed black
 - 8 Oz 5 Oz ecru canvas pocketing
 - Black leather patch w/ wax treatment, Made in Italy.
 - YKK two-prongtack, silver button and zip fly
 - YKK solid copper washed-burr rivets
 - Stitched with poly core cotton thread
 - Made at Lisama, Portugal
 Model is 183 cm and wears a size 32/32.
 Available sizes are 28-36 in 32” inseam and 31-40 in 34” inseam.</t>
  </si>
  <si>
    <t>kai-japan-dawn, kai-japan-fade, kai-japan-shadow, kai-15-5-oz-japan-dry-selvage</t>
  </si>
  <si>
    <t>Made in Portugal
 Introducing our new relaxed tapered fit, Kai! High rised, fitting precicely and narrow in the waist, and curved into the lower back. Fans of our Barnes wide will
 appreciate the spacious thigh, before it taperes down to a slimmer leg opening. The result is a fit that meets the needs of many. On slimmer
 and average legs, Kai fits precicely in the waist, with a relaxed tapered fit, but Kai is also perfect for the athletic build that needs more room in the thigh and seat with a high and narrow waistband. On the latter body type, Kai will follow the leg naturally from the waist all the down.
 The Japan Dawn. Our mid-blue wash made in a solid 13 Oz 100% cotton denim from the renowned Japanese denim mill Kuroki. Soft to the touch, the Japan Dawn reveals an incredible depth of colour and wonderful texture, due to the long-fibred indigo rope-dyed yarns of the fabric. Not too light, and not too dark, the Japan Dawn strikes the perfect balance for your everyday mid-blue needs. A definite essential.
 Details &amp; Features
 - Mid-blue washed rope-dyed indigo denim
 - 13 Oz wideloom denim from Kuroki, Japan
 - 100% Sanforized cotton
 - Warp dyed in indigo, natural coloured weft
 - 8 Oz ecru canvas pocketing
 - Tanned leather patch w/ wax treatment, Made in Italy.
 - YKK two-prongtack, silver button fly
 - YKK solid copper washed-burr rivets
 - Stitched with poly core cotton thread
 - Made at Lisama, Portugal
 Model is 183 cm and wears a size 32/32.
 Available sizes are 28-36 in 32” inseam and 31-40 in 34” inseam.</t>
  </si>
  <si>
    <t>kai-japan-fade, kai-japan-black, kai-japan-shadow, kai-15-5-oz-japan-dry-selvage</t>
  </si>
  <si>
    <t>emerson-japan-dawn</t>
  </si>
  <si>
    <t>Emerson Japan Dawn</t>
  </si>
  <si>
    <t>Made in Portugal
 The Japan Dawn. Our mid-blue wash made in a solid 13 Oz 100% cotton denim from the renowned Japanese denim mill Kuroki. Soft to the touch, the Japan Dawn reveals an incredible depth of colour and wonderful texture, due to the long-fibred indigo rope-dyed yarns of the fabric. Not too light, and not too dark, the Japan Dawn strikes the perfect balance for your everyday mid-blue needs. A definite essential.
 Made in our straight leg fit, Emerson.
 Details &amp; Features
 - Mid-blue washed rope-dyed indigo denim
 - 13 Oz wideloom denim from Kuroki, Japan
 - 100% Sanforized cotton
 - Warp dyed in indigo, natural coloured weft
 - 8 Oz ecru canvas pocketing
 - Tanned leather patch w/ wax treatment, Made in Italy.
 - YKK two-prongtack, silver button fly
 - YKK solid copper washed-burr rivets
 - Stitched with poly core cotton thread
 - Made at Lisama, Portugal
 Model is 183 cm and wears a size 32/32.
 Available sizes are 28-36 in 32” inseam and 30-40 in 34” inseam.</t>
  </si>
  <si>
    <t>Our Japan Dawn, crafted from a 13 Oz solid cotton denim by Kuroki, showcases a mid-blue wash, offering an ideal balance for daily wear. Essential and soft to the touch, its texture and color depth stand out.</t>
  </si>
  <si>
    <t>emerson-japan-black-selvage, emerson-japan-dry-selvage, emerson-18-oz-japan-dry-selvage</t>
  </si>
  <si>
    <t>Made in Portugal
 Kai, our relaxed tapered fit. High rised, fitting precicely and narrow in the waist, and curved into the lower back. Fans of our Barnes wide will appreciate the spacious thigh, before it taperes down to a slimmer leg opening. The result is a fit that meets the needs of many. On slimmer and average legs, Kai fits precicely in the waist, with a relaxed tapered fit, but Kai is also perfect for the athletic build that needs more room in the thigh and seat with a high and narrow waistband. On the latter body type, Kai will follow the leg naturally from the waist all the down.
 The Japan Fade. Our light wash made in a solid 13 Oz 100% cotton denim from the renowned Japanese denim mill Kuroki. Soft to the touch, the Japan Fade has the light look of well worn in denim, with a wonderful depth of texture due to the long-fibred indigo rope-dyed yarns of the fabric. A definite essential.
 Details &amp; Features
 - Light washed rope-dyed indigo denim
 - 13 Oz wideloom denim from Kuroki, Japan
 - 100% Sanforized cotton
 - Warp dyed in indigo, natural coloured weft
 - 8 Oz ecru canvas pocketing
 - Tanned leather patch w/ wax treatment, Made in Italy.
 - YKK two-prongtack, silver button fly
 - YKK solid copper washed-burr rivets
 - Stitched with poly core cotton thread
 - Made at Lisama, Portugal
 Model is 183 cm and wears a size 32/32.
 Available sizes are 28-36 in 32” inseam and 30-40 in 34” inseam.</t>
  </si>
  <si>
    <t>kai-japan-dawn, kai-japan-black, kai-japan-shadow, kai-15-5-oz-japan-dry-selvage</t>
  </si>
  <si>
    <t>Needle Black</t>
  </si>
  <si>
    <t>Made in Portugal</t>
  </si>
  <si>
    <t>needle-white, needle-reverse-nut-stripe, needle-reverse-blue-stripe</t>
  </si>
  <si>
    <t>Needle White</t>
  </si>
  <si>
    <t>Made in Portugal.</t>
  </si>
  <si>
    <t>needle-black, needle-reverse-nut-stripe, needle-reverse-blue-stripe</t>
  </si>
  <si>
    <t>morin-black-linen</t>
  </si>
  <si>
    <t>Morin Black Linen</t>
  </si>
  <si>
    <t>morin-off-white-linen</t>
  </si>
  <si>
    <t>Morin Off-White Linen</t>
  </si>
  <si>
    <t>henrey-pure-linen-check</t>
  </si>
  <si>
    <t>Henrey Pure Linen Check</t>
  </si>
  <si>
    <t>Made in Portugal.
 Henrey is our relaxed, but classic Oxford shirt. With a bigger silhouette, but in no way oversized. Henrey fits precisely in the shoulders, with a generous fit in the body and longer, curved hems. Featuring a wider collar, with a pronounced button-down collar roll, and a chest pocket.
 Made in our Pure Linen Check, designed by Livid and woven exclusively by Somelos in Portugal. This fabric is made with a 100% linen yarn, giving it excellent moisture-wicking and temperature controlling properties, along with a wonderful movement and drape.
 Details
 - 100% linen check, designed by Livid
 - Woven by Somelos in Portugal exclusively for Livid
 - Mother of Pearl buttons from Louropel, Portugal
 - Stitched with poly core cotton thread
 - Cut &amp; Sewn by Stork, Portugal</t>
  </si>
  <si>
    <t>A relaxed, classic Oxford shirt with a generous fit in the body, longer hems, and pronounced button-down collar roll. Features a chest pocket.</t>
  </si>
  <si>
    <t>henrey-japan-indigo-dusk, henrey-celeste-office-stripe-poplin</t>
  </si>
  <si>
    <t>Hayes Charcoal</t>
  </si>
  <si>
    <t>Made in Portugal
 Our high-rise, wide suit trouser, Hayes. Made from a super soft 100% virgin wool quality from Albano Morgado. The virgin wool gives a super nice drape and a soft hand feel which makes this a very comfortable trouser to wear. Wool fibres also helps for increased airflow over your body and creates optimal moisture-wicking capabilities making this a versatile garment perfect for both warmer and colder seasons. A top of the line garment with a sharp aesthetic that makes perfect in combination with our fall theme. One of this season’s essentials!
 Details &amp; Features
 - 100% Virgin Wool made by Albano Morgado, Portugal
 - 5 Oz ecru canvas pocketing
 - Black leather patch w/ wax treatment, Made in Italy. 
 - YKK zip fly with silver metal hook in the eye closure.
 - Mother of Pearl buttons
 - Welt back pockets with button closure. 
 - Stitched with poly core cotton thread
 - Made at Outfit21, Portugal
 Model is 183 cm and wears a size 32/32.
 Go to our fit guide to read more about the Hayes fit</t>
  </si>
  <si>
    <t>Our high-rise suit trouser, Hayes, made from super soft virgin wool for a comfortable wear. Wool's airflow increases, making it versatile for seasons. A top garment with a sharp aesthetic.</t>
  </si>
  <si>
    <t>hayes-black, hayes-navy</t>
  </si>
  <si>
    <t>bass-black-shearling</t>
  </si>
  <si>
    <t>Bass Black Shearling</t>
  </si>
  <si>
    <t>Made in Portugal.
 Bass, our raw shearling vest with a cracked black surface.
 Made in a soft and supple leather shearling, with a cracked black finish on the leather side, and a warm natural ecru wool on the inside. This particular shearling is lightweight and soft, giving a heavy look in a surprisingly light package. The shearling is tanned in Portugal, and made from sheep from the food industry.
 Bass features an 8 mm 2-way metal zipper and hand warmer pockets at the waist. Designed with a regular fit, accommodating various layers throughout the autumn/winter season. Finished with raw edges.
 Bass is produced with our longtime partner Octa in Portugal. A small leather and fur workshop with only four employees.
 Details:
 - Cracked Black Leather Sheep Shearling, tanned in Portugal
 - 8 mm 2-way zipper, made by YKK in Portugal, with leather pullers
 - Produced by Octa, Portugal
 - Black leather neck label</t>
  </si>
  <si>
    <t>Bass, our raw shearling vest, made in a soft and supple leather shearling, with a cracked black finish on the leather side, and a warm natural ecru wool on the inside.</t>
  </si>
  <si>
    <t>tuck-black, barnes-japan-black</t>
  </si>
  <si>
    <t>cassidy-black-1</t>
  </si>
  <si>
    <t>Cassidy Black Oxford</t>
  </si>
  <si>
    <t>From our collection, the classic regular slim button-down oxford shirt, Cassidy, made from light weight plain weave oxford fabric. A classic look and comfortable feel, perfect for any occasion.</t>
  </si>
  <si>
    <t>cassidy-white-oxford, cassidy-candy-stripe, cassidy-navy, cassidy-beige, cassidy-olive-oxford</t>
  </si>
  <si>
    <t>cassidy-candy-stripe</t>
  </si>
  <si>
    <t>Cassidy Candy Stripe Oxford</t>
  </si>
  <si>
    <t>Our classic regular slim button-down oxford shirt, Cassidy, is a light weight plain weave oxford fabric developed and woven at Somelos in Portugal. A wardrobe staple for any occasion.</t>
  </si>
  <si>
    <t>cassidy-white-oxford, cassidy-navy, cassidy-beige, cassidy-olive-oxford, cassidy-black-1</t>
  </si>
  <si>
    <t>connely-silver-moleskin</t>
  </si>
  <si>
    <t>Connely Silver Moleskin</t>
  </si>
  <si>
    <t>Made in Portugal
 Our regular straight shirt, Connely. Made in a beautiful and super soft moleskin cloth woven by the renowned Italian mill Pontoglio 1883.
 Moleskin, a thightly woven cotton fabric related to corduroy, originated back in medieval Europe where the fabric first was made to be used by farmers who needed clothing that was comfortable, warm, durable and wind resistant. In the nineteenth century, moleskin was used by French steel workers wearing moleskin pants and aprons to protect themselves from molten metals, and in more recent days moleskin has been used for uniforms for the West German Army. To say the least, moleskin is a hardwearing fabric. But not only that. Due to its shredded soft pile on the exterior it’s not only durable and windproof, it is also quite beautiful. Having the soft feel and appearance of its nap almost similar to felt, chamois and velour. A versatile garment perfect for all your needs during the colder autumn &amp; winter months!
 Featuring a clean collar, a centre front closure with natural mother of pearl buttons, long sleeves ending in button cuffs, a clean chest pocket and folded pleats on back yoke for increased mobility.
 The garment features: 
 - Moleskin, 98% cotton, 2% elastane
 - Fabric woven by Pontoglio 1883, Italy
 - Mother of Pearl buttons from Louropel, Portugal.
 - Shirt cut &amp; sewn by Stork in Portugal</t>
  </si>
  <si>
    <t>Our regular straight shirt, Connely, crafted from a beautiful, super soft moleskin cloth, is perfect for the colder months.</t>
  </si>
  <si>
    <t>connely-navy-moleskin-1, connely-black-check-loose, connely-brown-grunge-check</t>
  </si>
  <si>
    <t>hayes-navy</t>
  </si>
  <si>
    <t>Hayes Navy</t>
  </si>
  <si>
    <t>Made in Portugal
 Our high-rise, wide suit trouser, Hayes. Made from a super soft 100% virgin wool quality from Albano Morgado. The virgin wool gives a fluid drape and a soft hand feel which makes this a very comfortable trouser to wear. Wool fibres also helps for increased airflow over your body and creates optimal moisture-wicking capabilities making this a versatile garment perfect for both warmer and colder seasons. A top of the line garment with a sharp aesthetic that goes perfectly in combination with our seasonal collection. One of this season’s essentials!
 Details &amp; Features
 - 100% Virgin Wool made by Albano Morgado, Portugal
 - 5 Oz ecru canvas pocketing
 - Black leather patch w/ wax treatment, Made in Italy. 
 - YKK zip fly with silver metal hook in the eye closure.
 - Mother of Pearl buttons
 - Welt back pockets with button closure. 
 - Stitched with poly core cotton thread
 - Made at Outfit21, Portugal
 Go to our fit guide to read more about the Hayes fit</t>
  </si>
  <si>
    <t>Our high-rise, wide suit trouser, Hayes, is made from a super soft quality. The virgin wool offers a fluid drape and a soft hand feel for comfortable wear.</t>
  </si>
  <si>
    <t>hayes-black, hayes-charcoal</t>
  </si>
  <si>
    <t>hodge-black</t>
  </si>
  <si>
    <t>Hodge Black</t>
  </si>
  <si>
    <t>Hodge, our teddybear cardigan jacket made in an exclusive mohair pile, woven at the legendary teddybear manufacturer Steiff-Schulte in Germany. The result: A fur that is both cruelty free and free from micro plastics.
 Hodge has wide set-in sleeves, dropped shoulders and a generous fit ideal for layering. Featuring a v-neck and natural mother of pearl buttoning.
 Hodge is produced with our longtime partner Octa in Portugal. A small leather and fur workshop with only four employees.
 Garment features:
 - 100% mohair pile, on a 100% cotton base- Fabric woven by Steiff-Schulte in Germany
 - Natural mother-of-pearl buttons from Louropel
 - 100% polyester lining from Cervotessile 
 - Pocket lining from Cervotessile</t>
  </si>
  <si>
    <t>A fur that is both cruelty free and free from micro plastics.</t>
  </si>
  <si>
    <t>hodge-check-wool</t>
  </si>
  <si>
    <t>Hodge Check Wool</t>
  </si>
  <si>
    <t>Hodge, our cardigan jacket made in a deeply textured brushed wool fabric woven by Dinamo in Italy.
 Hodge has wide set-in sleeves, dropped shoulders and a generous fit ideal for layering. Featuring a v-neck and natural mother of pearl buttoning.
 Hodge is produced with our longtime partner Octa in Portugal. A small leather and fur workshop with only four employees.
 Garment features:
 - 100% mohair pile, on a 100% cotton base- Fabric woven by Dinamo in Italy
 - Natural mother-of-pearl buttons from Louropel
 - 100% polyester lining from Cervotessile 
 - Pocket lining from Cervotessile</t>
  </si>
  <si>
    <t>Hodge features wide set-in sleeves, dropped shoulders, and a generous fit ideal for layering, with a v-neck and natural mother of pearl buttoning.</t>
  </si>
  <si>
    <t>philly-dusty-air-corduroy</t>
  </si>
  <si>
    <t>Philly Dusty Air Corduroy</t>
  </si>
  <si>
    <t>Made in Portugal
 Our maxi-fit overshirt, Philly. Made in a beautiful light blue corduroy woven by the renowned Italian mill Pontoglio 1883. This particular fabric is woven with a marled yarn, resulting in a subtle play of differing shades of colour in the finished corduroy.
 Philly is constructed with dropped shoulders perfect for layering, a generous fit in the body and curved hems. Featuring a wider collar, with a pronounced button-down collar roll, and a sharp chest pocket.
 Details &amp; Features
 - Corduroy. 100% cotton. 
 - Woven by Pontoglio 1883
 - Mother of Pearl Buttons from Louropel, Portugal 
 - Stitched with poly core cotton thread
 - Cur &amp; Sewn by Stork in Portugal</t>
  </si>
  <si>
    <t>Our maxi-fit overshirt, Philly. Made in a beautiful corduroy woven by the renowned Italian mill Pontoglio 1883. Constructed with dropped shoulders perfect for layering, a generous fit in the body and curved hems.</t>
  </si>
  <si>
    <t>philly-dusty-gunmetal-corduroy, philly-dusty-off-white-corduroy</t>
  </si>
  <si>
    <t>philly-dusty-gunmetal-corduroy</t>
  </si>
  <si>
    <t>Philly Dusty Gunmetal Corduroy</t>
  </si>
  <si>
    <t>Made in Portugal
 Our maxi-fit overshirt, Philly. Made in a beautiful gunmetal corduroy woven by the renowned Italian mill Pontoglio 1883. This particular fabric is woven with a marled yarn, resulting in a subtle play of differing shades of colour and a dusty appearance in the finished corduroy.
 Philly is constructed with dropped shoulders perfect for layering, a generous fit in the body and curved hems. Featuring a wider collar, with a pronounced button-down collar roll, and a sharp chest pocket.
 Details &amp; Features
 - Corduroy. 100% cotton. 
 - Woven by Pontoglio 1883
 - Mother of Pearl Buttons from Louropel, Portugal 
 - Stitched with poly core cotton thread
 - Cur &amp; Sewn by Stork in Portugal</t>
  </si>
  <si>
    <t>philly-dusty-off-white-corduroy, philly-dusty-air-corduroy</t>
  </si>
  <si>
    <t>philly-dusty-off-white-corduroy</t>
  </si>
  <si>
    <t>Philly Dusty Off-White Corduroy</t>
  </si>
  <si>
    <t>Made in Portugal
 Our maxi-fit overshirt, Philly. Made in a beautiful off-white corduroy woven by the renowned Italian mill Pontoglio 1883. This particular fabric is woven with a marled yarn, resulting in a subtle play of differing shades of colour in the finished corduroy.
 Philly is constructed with dropped shoulders perfect for layering, a generous fit in the body and curved hems. Featuring a wider collar, with a pronounced button-down collar roll, and a sharp chest pocket.
 Details &amp; Features
 - Corduroy. 100% cotton. 
 - Woven by Pontoglio 1883
 - Mother of Pearl Buttons from Louropel, Portugal 
 - Stitched with poly core cotton thread
 - Cur &amp; Sewn by Stork in Portugal</t>
  </si>
  <si>
    <t>philly-dusty-gunmetal-corduroy, philly-dusty-air-corduroy</t>
  </si>
  <si>
    <t>richmond-2-pack-white, richmond-2-pack-black, richmond-2-pack-light-grey</t>
  </si>
  <si>
    <t>west-black</t>
  </si>
  <si>
    <t>West Black</t>
  </si>
  <si>
    <t>Made in Portugal
 From our All Seasons collection comes our relaxed slim shirt, West. Made from a loose plain weave fabric developed exclusively by Livid and woven at Somelos in Portugal. Designed with an uneven and loose weave for a softer hand feel and increased drape. The weave also enhances the colour, dyed in a colder contemporary pallet, making this wardrobe basic a go-to classic for seasons to come.
 Featuring a clean collar, a single chest pocket, and a French placket with mother of pearl buttons.
 Details 
 - Plain weave fabric, 100% cotton
 - Fabric woven at Somelos in Portugal, exclusively for Livid.
 - Mother of Pearl buttons from Louropel, Portugal
 - Stitched with poly core cotton thread
 - Shirt cut &amp; sewn by Stork, Portugal</t>
  </si>
  <si>
    <t>west-pond, west-taupe, west-stone-oxford, west-deep-teal</t>
  </si>
  <si>
    <t>west-deep-teal</t>
  </si>
  <si>
    <t>West Deep Teal</t>
  </si>
  <si>
    <t>west-black, west-pond, west-taupe, west-stone-oxford</t>
  </si>
  <si>
    <t>west-pond</t>
  </si>
  <si>
    <t>West Pond</t>
  </si>
  <si>
    <t>west-black, west-taupe, west-stone-oxford, west-deep-teal</t>
  </si>
  <si>
    <t>west-taupe</t>
  </si>
  <si>
    <t>West Taupe</t>
  </si>
  <si>
    <t>west-black, west-pond, west-stone-oxford, west-deep-teal</t>
  </si>
  <si>
    <t>huff-charcoal-fluid-merino</t>
  </si>
  <si>
    <t>Huff Charcoal Fluid Merino</t>
  </si>
  <si>
    <t>Made in Portugal
 Our maxi-fit shirt, Huff. Made in an incredible pure merino wool fabric developed by Somelos in Portugal. Made in a dress shirt weave with a sharp appearance and fluid drape, the properties of merino wool gives this shirt excellent temperature controlling and moisture-wicking properties. Developed to be easy to care for, this fabric is also highly wrinkle resistant, and washable. 
 The Huff gives a clean, but relaxed and and slightly oversized look. Designed with a generous straight cut, a longer, curved back hem and intended for normal layering. Featuring a clean collar, overlocked and dropped shoulders, a centre front closure with mother of pearl buttons made in Portugal, and long sleeves ending in button cuffs.
 Details
 - 100% merino wool
 - Woven by Somelos in Portugal
 - Real mother of pearl buttons made by Louropel in Italy
 - Stitched with high quality poly core cotton thread
 - Made at Stork in Portugal</t>
  </si>
  <si>
    <t>Made with pure merino wool, developed for excellent temperature control and moisture-wicking. Also, highly wrinkle resistant and washable.</t>
  </si>
  <si>
    <t>huff-taupe-fluid-merino, huff-black-voile, huff-weather-voile, huff-dove-voile, huff-charcoal-tech, huff-grey-tech, huff-milk-tech</t>
  </si>
  <si>
    <t>huff-taupe-fluid-merino</t>
  </si>
  <si>
    <t>Huff Taupe Fluid Merino</t>
  </si>
  <si>
    <t>Pure merino wool fabric developed for excellent temperature control and moisture-wicking properties. Highly wrinkle-resistant and washable for easy care.</t>
  </si>
  <si>
    <t>huff-charcoal-fluid-merino, huff-black-voile, huff-weather-voile, huff-dove-voile, huff-charcoal-tech, huff-grey-tech, huff-milk-tech</t>
  </si>
  <si>
    <t>hayes-black, adonis-lis-noir</t>
  </si>
  <si>
    <t>buck-white-oxford</t>
  </si>
  <si>
    <t>Buck White Oxford</t>
  </si>
  <si>
    <t>Made in Portugal.
 Buck, our unisex short sleeved big shirt.
 Built on our popular Aiden shirt, Buck features dropped shoulders, a very wide body and long curved hems. Made with wide short sleeves that end by the elbow.
 Made in a solid heavy Oxford cloth, woven by Somelos i Portugal exclusively for Livid.
 Details
 - Plain weave oxford fabric, 100% cotton.
 - Woven by Somelos in Portugal exclusively for Livid
 - Mother of Pearl buttons from Louropel, Portugal
 - Hanger loop on back yoke
 - Stitched with poly core cotton thread
 - Cut &amp; Sewn by Stork, Portugal</t>
  </si>
  <si>
    <t>Built on our popular Aiden shirt, Buck features dropped shoulders, a very wide body and long curved hems. Made with wide short sleeves that end by the elbow.</t>
  </si>
  <si>
    <t>buck-shadow-check</t>
  </si>
  <si>
    <t>connely-stone-linen</t>
  </si>
  <si>
    <t>Connely Stone Linen</t>
  </si>
  <si>
    <t>needle-tee-white-fluid</t>
  </si>
  <si>
    <t>needle-tee-charcoal, needle-tee-grey, needle-tee-white</t>
  </si>
  <si>
    <t>roth-black</t>
  </si>
  <si>
    <t>Les Japan Milk</t>
  </si>
  <si>
    <t>Made in Portugal
 Our chore coat Les. Made in a custom mid-weight natural twill weave fabric woven for Livid exclusively at the renowned Japanese fabric mill Kuroki. This particular fabric has a super soft and comfortable handfeel due to the low tension of the weave. The warp and weft yarns are un-dyed and un-bleached which gives a warm but crisp aesthetic.</t>
  </si>
  <si>
    <t>Our chore coat is custom-made using a mid-weight natural twill weave fabric, crafted exclusively at Kuroki. The weave's low tension ensures a soft, comfortable feel, with an aesthetic that's both warm and crisp.</t>
  </si>
  <si>
    <t>001-cinder-m, 05-dark-grey, 103-eau-de-parfum, 08-yellow, 08-tortoise, 08-pink</t>
  </si>
  <si>
    <t>Made in Portugal
 The Japan Blue. Made from a beautiful mid-weight wideloom denim woven at the renowned Japanese fabric mill, Kuroki. This particular fabric was built by Kuroki with a main goal at hand, creating a comfortable stretch denim that maintained the look of a rigid (100% cotton) denim. That is also particularly why this denim is the most widely used denim-article throughout our collections, now being the fabric of choice for 10 different core-styles in our rage. A super versatile denim, beautiful in all types of shades in addition to providing great comfort, stretch and recovery after wear. A safe choice for all who loves a pair of genuine fitting jeans in their wardrobe.
 Made in our slim leg jeans, Jone.
 Details &amp; Features
 - 13 Oz comfort wideloom denim from Kuroki, Japan. 
 - 98% cotton / 2% polyurethane
 - Warp dyed in indigo, natural coloured weft
 - 8 Oz ecru canvas pocketing 
 - Tanned leather patch w/ wax treatment, Made in Italy. 
 - YKK two-prongtack, silver button and zip fly
 - YKK solid copper washed-burr rivets
 - Stitched with poly core cotton thread
 - Made at Lisama, Portugal
 Model is 183 cm and wears a size 32/32.
 Go to our fit guide to read more about the Jone Slim. 
 Available sizes are 27-36 in 32” inseam and 29-40 in 34” inseam.</t>
  </si>
  <si>
    <t>A super oversized shirt, featuring authentic details from traditional Oxford shirts such as the wider button-down collar with a pronounced collar roll, a chest pocket, and the hangar loop on the back yoke. The fit however is big: Very dropped shoulders, very wide body and long curved hems. The wider sleeves gather nicely at the cuffs.</t>
  </si>
  <si>
    <t>aiden-eclipse-stripe-poplin, aiden-grey-oxford, aiden-milk-check, aiden-brown-grunge-check, aiden-black, aiden-white</t>
  </si>
  <si>
    <t>ash-ecplise</t>
  </si>
  <si>
    <t>Made in Portugal
 Ash, our full length ultralight ;mac coat. Ash is made for all season use, built for layering with slightly dropped shoulders, and a wide, long body protecting you from the elements. The unlined construction makes Ash highly packable and light enough for summer rain, while accommodating heavy layering for colder seasons.
 Made in a ultralight technical material made by Olmetex in Italy, weighing only 50 grams per square meter. This particular fabric has a smooth and soft handfeel with a subtle sheen, while providing water-repellent properties.
 The garment features:
 - Technical fabric made by Olmetex, Italy
 -100% polyamide
 -Lightweight, breathable and water repellent
 - Hidden Riri snap buttons, made in Switzerland
 - Piped seams
 - Made at DIA, Portugal</t>
  </si>
  <si>
    <t>Ash, our full length ultralight mac coat. Ash is made for all season use, built for layering with slightly dropped shoulders, and a wide, long body protecting you from the elements. The unlined construction makes Ash highly packable and light enough for summer rain, while accommodating heavy layering for colder seasons.</t>
  </si>
  <si>
    <t>002-alpine-white-m, plath-grisaille-mohair-mix</t>
  </si>
  <si>
    <t>Barnes Forest Fog</t>
  </si>
  <si>
    <t>Made in Portugal
 The high-rise wide straight Barnes, made in a coloured denim: Forest Fog. 
 Made in a solid 13 Oz 100% cotton denim from the renowned Italian denim mill Candiani. This particular denim features a soft handfeel and a great texture due to slight unevenness in the warp yarns. 
 Details &amp; Features
 - 13 Oz wideloom denim from Candiani, Italy
 - 100% Sanforized cotton
 - Garment dyed
 - 8 Oz ecru canvas pocketing
 - Tanned leather patch w/ wax treatment, Made in Italy.
 - YKK two-prongtack, silver button fly
 - YKK solid copper washed-burr rivets
 - Stitched with poly core cotton thread
 - Made at Lisama, Portugal
 Go to our fit guide to read more about the Barnes Wide.</t>
  </si>
  <si>
    <t>Our high-rise wide straight, Barnes. Made in a coloured denim: Forest Fog</t>
  </si>
  <si>
    <t>barnes-japan-putty, barnes-japan-dawn, barnes-japan-black, barnes-japan-fade, barnes-japan-mole, barnes-22-5-oz-japan-heavy-selvage, barnes-japan-rinse-selvage, barnes-japan-milk</t>
  </si>
  <si>
    <t>Barnes Putty</t>
  </si>
  <si>
    <t>Made in Portugal
 The high-rise wide straight Barnes, made in a coloured denim: Putty. 
 Made in a solid 13 Oz 100% cotton denim from the renowned Italian denim mill Candiani. This particular denim features a soft handfeel and a great texture due to slight unevenness in the warp yarns. 
 Details &amp; Features
 - 13 Oz wideloom denim from Candiani, Italy
 - 100% Sanforized cotton
 - Garment dyed
 - 8 Oz ecru canvas pocketing
 - Tanned leather patch w/ wax treatment, Made in Italy.
 - YKK two-prongtack, silver button fly
 - YKK solid copper washed-burr rivets
 - Stitched with poly core cotton thread
 - Made at Lisama, Portugal
 Go to our fit guide to read more about the Barnes Wide.</t>
  </si>
  <si>
    <t>Our high-rise wide straight, Barnes. Made in a coloured denim: Putty.</t>
  </si>
  <si>
    <t>barnes-japan-forest-fog, barnes-japan-dawn, barnes-japan-fade, barnes-japan-black, barnes-japan-mole, barnes-22-5-oz-japan-heavy-selvage, barnes-japan-rinse-selvage, barnes-japan-milk</t>
  </si>
  <si>
    <t>chuck-black-fuzz</t>
  </si>
  <si>
    <t>Chuck Black Fuzz</t>
  </si>
  <si>
    <t>Made in Romania
 Chuck, our maxi-sweater. Constructed with a chunky neck opening, a generous body, dropped shoulders and long sleeves that billow above the cuff.
 Knitted in a light and fuzzy kid mohair yarn spun by Igea in Italy, that adds volume and warmth without becoming heavy.
 Details
 - Mohair mix yarn spun by Igea in Italy
 - 28% kid mohair, 37% polyacryl, 35% polyamide
 - Knitted by Alex Intl. in Romania</t>
  </si>
  <si>
    <t>Chuck, our maxi-sweater. Knitted in a light and fuzzy kid mohair yarn spun by Igea in Italy, that adds volume and warmth without becoming heavy.</t>
  </si>
  <si>
    <t>plath-olive-merino</t>
  </si>
  <si>
    <t>dunn-black-tech</t>
  </si>
  <si>
    <t>Dunn Black Tech</t>
  </si>
  <si>
    <t>Made in Portugal
 Our Dunn cap, made in a technical water repellant material from the renowned Italian fabric mill, Olmetex. This particular fabric features a non-corrosive coating making this a cap that will shield against city rain as well as providing wind blocking capabilities. A great product to finish off any outfit, whether it's spring, summer, autumn or winter!
 Featuring 6 panels with stitched eyelets on each panel, a broad brim with structural stitching, and an embroided L at the front.
 Details
 - 55% polyester / 45% cotton- Fabric made by Olmetex in Italy
 - Water repellent
 - Sewn by Belcinto in Portugal</t>
  </si>
  <si>
    <t>Our Dunn cap, made in a technical water repellant material. This fabric features a non-corrosive coating, shielding against city rain and providing wind blocking capabilities.</t>
  </si>
  <si>
    <t>dunn-dove-tech, dunn-dawn, dunn-shadow, dunn-japan-optic, dunn-sand-overdye, dunn-toast-overdye, dunn-overdye-green, dunn-overdye-grisaille-1</t>
  </si>
  <si>
    <t>dunn-dove-tech</t>
  </si>
  <si>
    <t>Dunn Dove Tech</t>
  </si>
  <si>
    <t>Our Dunn cap, made in a technical water repellant material, shields against rain, providing wind-blocking capabilities. Perfect for any outfit, in any season.</t>
  </si>
  <si>
    <t>dunn-black-tech, dunn-dawn, dunn-shadow, dunn-japan-optic, dunn-sand-overdye, dunn-toast-overdye, dunn-overdye-green, dunn-overdye-grisaille-1</t>
  </si>
  <si>
    <t>dunn-overdye-green</t>
  </si>
  <si>
    <t>Dunn Overdye Green</t>
  </si>
  <si>
    <t>Made in Portugal 
 Our Dunn cap, in a seasonal colour: Green. This colourway is cold pigment dyed, a special dying technique resulting in an uneven weathered look, where every cap is unique.
 Made in a light cotton twill, woven by Somelos in Portugal. A great product to finish off any outfit, whether it's spring, summer, autumn or winter!
 Featuring 6 panels with stitched eyelets on each panel, a broad brim with structural stitching, and an embroided L at the front.
 Details
 - 100% cotton
 - Fabric made by Somelos in Portugal
 - Sewn by Belcinto in Portugal</t>
  </si>
  <si>
    <t>Our Dunn cap, seasonal in Green. This colourway, cold pigment dyed for an uneven, weathered look, makes every cap unique. Perfect to complete any outfit, regardless of the season.</t>
  </si>
  <si>
    <t>dunn-overdye-grisaille-1, dunn-sand-overdye, dunn-toast-overdye, dunn-dawn, dunn-shadow, dunn-japan-optic, dunn-black-tech, dunn-dove-tech</t>
  </si>
  <si>
    <t>emerson-18-oz-japan-dry-selvage</t>
  </si>
  <si>
    <t>Emerson 18 Oz Japan Dry Selvage</t>
  </si>
  <si>
    <t>Made in Portugal
 The classic straight fit Emerson, made in a beautiful 18 Oz selvage denim!
 Made in a heavyweight denim woven by the renowned denim mill Collect in Japan. Weighing in at 18 Oz, the Emerson 18 Oz Dry Selvage starts off a bit stiff, but the cotton yarn used in this denim is actually super soft long-staple cotton. Through the initial break-in period, this denim will soften up and mold to your body, and age beautifully over time.
 The 18 Oz Dry Selvage is made – as all our denim fabrics - with a dyeing technique called rope dye. When rope dyeing denim yarns the white core of the cotton yarn remains untouched during the dyeing process. With friction and wear as the layers and layers of indigo are worn off the surface of the fabric, the un-dyed core of the cotton yarn will eventually appear, slowly leaving beautiful contrast fading to the surface, uniquely patterned to you personally. The structure and thickness of this particular denim lends itself to perfect wear patterns as it ages. 
 Emerson 18 Oz Japan Dry Selvage is launched for FW23 together with the The Barnes 22.5 Oz Japan Heavy Selvage and Kai 15.5 Oz Japan Dry Selvage. All heavier selvage qualities, complimenting our core line of 14 Oz selvage jeans. This series of heavier selvage jeans is finished off with a thick vegetable tanned full grain leather patch, with a natural finish. As the jeans age this leather patch will age nicely with it, building patina over time and gradually becoming darker.
 Details &amp; Features
 - 18 Oz narrowloom selvage denim from Collect, Japan
 - 100% Sanforized cotton,
 - Warp rope-dyed in indigo, natural coloured weft
 - 8 Oz ecru canvas pocketing
 - Back pockets and coin pocket lined with canvas for increased durability
 - Natural finish vegetable tanned full grain leather patch, made in Italy.
 - YKK two-prongtack, silver button fly
 - YKK silver coloured solid copper washed-burr rivets
 - Stitched with poly core cotton thread
 - Made at Lisama, Portugal
 Go to our fit guide to read more about the Emerson Straight.</t>
  </si>
  <si>
    <t>Made in a heavyweight denim by the renowned Collect in Japan, the Emerson 18 Oz offers a stiff start but softens and molds to your body over time, aging beautifully.</t>
  </si>
  <si>
    <t>emerson-japan-dry-selvage, emerson-japan-black-selvage, emerson-japan-dawn</t>
  </si>
  <si>
    <t>huff-charcoal-tech</t>
  </si>
  <si>
    <t>Huff Charcoal Tech</t>
  </si>
  <si>
    <t>Made in Portugal
 Our maxi-fit shirt Huff, made in a beautiful technical material from Komon Kobo in Japan. This material offers a sharp aesthetic with its slightly glossy appearance, marvellous drape and irregular texture reminiscent of raw silk. Combined with superb technical properties, ensuring comfort and versatility.
 Made with a Soalon triacetate fabric, a semi-synthetic material, made from cellulose from FSC certified wood pulp, combined with a synthetic component, made under Bluesign certified conditions. This particular fabric is fast drying and cooling, wicking moisture away from the skin, it's easy to care for and wrinkle free.
 The Huff gives a clean, but relaxed and look. Designed with a generous straight cut, a longer, curved back hem and intended for normal layering. Featuring a clean collar, overlocked and dropped shoulders, a centre front closure with mother of pearl buttons made in Portugal, and long sleeves ending in button cuffs.
 Details
 - Semi-synthetic technical material, 60% Soalon triacetate, 40% polyester
 - Woven by Komon Kobo in Japan
 - Mother of Pearl buttons from Louropel, Portugal
 - Stitched with poly core cotton thread
 - Shirt cut &amp; sewn by Stork, Portugal
 Go to our fit guide to read more about the Huff.</t>
  </si>
  <si>
    <t>This material offers a slightly glossy aesthetic, marvelous drape, and irregular texture reminiscent of raw silk, combined with superb technical properties for comfort and versatility.</t>
  </si>
  <si>
    <t>huff-grey-tech, huff-milk-tech, huff-black-voile, huff-weather-voile, huff-dove-voile, huff-charcoal-fluid-merino, huff-taupe-fluid-merino</t>
  </si>
  <si>
    <t>huff-grey-tech</t>
  </si>
  <si>
    <t>Huff Grey Tech</t>
  </si>
  <si>
    <t>Made in Portugal
 Our maxi-fit shirt Huff, made in a beautiful technical material from Komon Kobo in Japan. This material offers a sharp aesthetic with its glossy slightly sheer appearance, marvellous drape and irregular texture reminiscent of raw silk. Combined with superb technical properties, ensuring comfort and versatility.
 Made with a Soalon triacetate fabric, a semi-synthetic material, made from cellulose from FSC certified wood pulp, combined with a synthetic component, made under Bluesign certified conditions. This particular fabric is fast drying and cooling, wicking moisture away from the skin, it's easy to care for and wrinkle free.
 The Huff gives a clean, but relaxed and look. Designed with a generous straight cut, a longer, curved back hem and intended for normal layering. Featuring a clean collar, overlocked and dropped shoulders, a centre front closure with mother of pearl buttons made in Portugal, and long sleeves ending in button cuffs.
 Details
 - Semi-synthetic technical material, 60% Soalon triacetate, 40% polyester
 - Woven by Komon Kobo in Japan
 - Mother of Pearl buttons from Louropel, Portugal
 - Stitched with poly core cotton thread
 - Shirt cut &amp; sewn by Stork, Portugal
 Go to our fit guide to read more about the Huff.</t>
  </si>
  <si>
    <t>Our maxi-fit shirt Huff, crafted in a beautiful technical material from Japan, offers a glossy, slightly sheer appearance with marvelous drape and an irregular texture reminiscent of raw silk.</t>
  </si>
  <si>
    <t>huff-charcoal-tech, huff-milk-tech, huff-black-voile, huff-weather-voile, huff-dove-voile, huff-charcoal-fluid-merino, huff-taupe-fluid-merino</t>
  </si>
  <si>
    <t>huff-milk-tech</t>
  </si>
  <si>
    <t>Huff Japan Milk Tech</t>
  </si>
  <si>
    <t>Our shirt, made with material from Japan, has a glossy, slightly sheer look with a unique texture, excellent drape, and technical properties for versatility and comfort.</t>
  </si>
  <si>
    <t>huff-charcoal-tech, huff-grey-tech, huff-black-voile, huff-weather-voile, huff-dove-voile, huff-charcoal-fluid-merino, huff-taupe-fluid-merino</t>
  </si>
  <si>
    <t>kai-15-5-oz-japan-dry-selvage</t>
  </si>
  <si>
    <t>Kai 15.5 Oz Japan Dry Selvage</t>
  </si>
  <si>
    <t>Made in Portugal
 The high-rise relaxed tapered Kai, made in a beautiful 15.5 Oz selvage denim!
 Made in a denim perfectly balancing between midweight and heavyweight from Kuroki in Japan. Weighing in at 15.5 Oz, the Kai Dry Selvage starts off a bit stiff, but the cotton yarn used in this denim is actually super soft long-staple cotton. Through the initial break-in period, this denim will soften up and mold to your body, and age beautifully over time.
 The 15.5 Oz Dry Selvage is made – as all our denim fabrics - with a dyeing technique called rope dye. When rope dyeing denim yarns the white core of the cotton yarn remains untouched during the dyeing process. With friction and wear as the layers and layers of indigo are worn off the surface of the fabric, the un-dyed core of the cotton yarn will eventually appear, slowly leaving beautiful contrast fading to the surface, uniquely patterned to you personally. 
 The structure and thickness of this particular denim lends itself to perfect wear patterns as it ages. 
 Kai 15.5 Oz Japan Dry Selvage is launched for FW23 together with The Barnes 22.5 Oz Japan Heavy Selvage and Emerson 18 Oz Japan Dry Selvage. All heavier selvage qualities, complimenting our core line of 14 Oz selvage jeans. This series of heavier selvage jeans is finished off with a thick vegetable tanned full grain leather patch, with a natural finish. As the jeans age this leather patch will age nicely with it, building patina over time and gradually becoming darker.
 Details &amp; Features
 - 15.5 Oz narrowloom selvage denim from Kuroki, Japan
 - 100% Sanforized cotton,
 - Warp rope-dyed in indigo, natural coloured weft
 - 8 Oz ecru canvas pocketing
 - Back pockets and coin pocket lined with canvas for increased durability
 - Natural finish vegetable tanned full grain leather patch, made in Italy.
 - YKK two-prongtack, silver button fly
 - YKK silver coloured solid copper washed-burr rivets
 - Stitched with poly core cotton thread
 - Made at Lisama, Portugal
 Go to our fit guide to read more about the Kai.</t>
  </si>
  <si>
    <t>Tapered Kai, in 15.5 Oz denim from Japan, starts stiff, softens, molds to your body, and ages beautifully.</t>
  </si>
  <si>
    <t>kai-japan-dawn, kai-japan-fade, kai-japan-black, kai-japan-shadow</t>
  </si>
  <si>
    <t>keen-string-noil-silk</t>
  </si>
  <si>
    <t>Keen String Noil Silk</t>
  </si>
  <si>
    <t>Made in Portugal
 Our maxi-fit shirt, Keen.
 Made in an incredible pure noil silk fabric woven by the artisanal mill Kowa in Japan. Made with a slubby Thai silk yarn, and woven with artisanal skill, this particular fabric combines an organic texture with elegant drape and movement.
 Noil silk is produced with the shorter silk fibres that are left over from production of other silk fabrics. Spun together these differing fibre lengths give the silk yarn a rougher texture, and a matte finish compared to the sheen from continuous silk fibres. Stronger than cotton, noil silk features a heavy fluid drape and has excellent temperature regulating properties, breathing and keeping you cool and dry in hot weather and warm in cold climates.
 Designed with a generous straight cut and intended for normal layering. Featuring a box pleat at the back yoke, and a french placket with natural Mother of Pearl buttons.
 Details
 - 100% noil silk farmed in Thailand
 - Woven by Kowa in Japan
 - Real mother of pearl buttons made by Louropel in Italy
 - Stitched with high quality poly core cotton thread
 - Made at Stork in Portugal
 - Garment Dyed</t>
  </si>
  <si>
    <t>Made with artisanal skill, an incredible pure silk fabric by the mill Kowa in Japan combines an organic texture with elegant movement and drape.</t>
  </si>
  <si>
    <t>keen-grisaille-noil-silk, keen-raw-japan-black-noil-silk, keen-raw-nut-checked-loose, keen-raw-shadow-check, keen-silver-fox, shea-japan-black-ikat</t>
  </si>
  <si>
    <t>needle-tee-charcoal</t>
  </si>
  <si>
    <t>burley-japan-off-white, 001-regolith-m</t>
  </si>
  <si>
    <t>Needle Tee White</t>
  </si>
  <si>
    <t>needle-tee-charcoal, needle-tee-grey, needle-tee-white-fluid</t>
  </si>
  <si>
    <t>balbi-black, plath-charcoal-mohair-mix</t>
  </si>
  <si>
    <t>Nelson Grisaille Overdye</t>
  </si>
  <si>
    <t>Made in Portugal
 Our maxi-fit tee Nelson, in a new seasonal colour: Grisaille Overdye.
 This colourway is cold pigment dyed, a special dying technique resulting in an uneven weathered look, where every shirt is unique.
 Made from a pre-shrunk 220 gsm cotton jersey exclusively made for Livid in Portugal. This particular fabric has been used in our Richmond t-shirts for many years and has become very popular due to its durability and comfortable hand feel. Made in our box fit tee, Nelson. Featuring dropped shoulders, a wider body for a relaxed fit, and a slightly shorter length than our basic tee Richmond. A wardrobe staple piece that works in any occasion regardless of seasonal trends.
 Details &amp; Features
 - 100% cotton
 - 200 gsm pre-shrunk jersey
 - Knitted by Etevimol in Portugal
 - Livid embroidery on chest
 - Fine rib collar 
 - Overlocked shoulder seams
 - Straight cut hem
 - Poly core cotton thread
 - Made at Texgoios in Portugal</t>
  </si>
  <si>
    <t>This season introduces a new color: Grisaille Overdye, achieved through cold pigment dyeing for a unique, uneven, weathered look where every shirt is distinct.</t>
  </si>
  <si>
    <t>nelson-white, nelson-black, nelson-light-grey, nelson-toasted, nelson-bonnet-overdye, nelson-putty-overdye, nelson-raw-indigo-stripe, nelson-spice-overdye</t>
  </si>
  <si>
    <t>barnes-japan-putty, 001-regolith-m, plath-grisaille-mohair-mix</t>
  </si>
  <si>
    <t>Nelson Yellow Overdye</t>
  </si>
  <si>
    <t>Made in Portugal
 Our maxi-fit tee Nelson, in a new seasonal colour: Putty Overdye.
 This colourway is cold pigment dyed, a special dying technique resulting in an uneven weathered look, where every shirt is unique.
 Made from a pre-shrunk 220 gsm cotton jersey exclusively made for Livid in Portugal. This particular fabric has been used in our Richmond t-shirts for many years and has become very popular due to its durability and comfortable hand feel. Made in our box fit tee, Nelson. Featuring dropped shoulders, a wider body for a relaxed fit, and a slightly shorter length than our basic tee Richmond. A wardrobe staple piece that works in any occasion regardless of seasonal trends.
 Details &amp; Features
 - 100% cotton
 - 200 gsm pre-shrunk jersey
 - Knitted by Etevimol in Portugal
 - Livid embroidery on chest
 - Fine rib collar 
 - Overlocked shoulder seams
 - Straight cut hem
 - Poly core cotton thread
 - Made at Texgoios in Portugal</t>
  </si>
  <si>
    <t>Our new seasonal colour: Putty Overdye. A special dying technique for an uneven look, making every shirt unique.</t>
  </si>
  <si>
    <t>nelson-white, nelson-black, nelson-light-grey, nelson-toasted, nelson-bonnet-overdye, nelson-raw-indigo-stripe, nelson-spice-overdye, nelson-grisaille-overdye</t>
  </si>
  <si>
    <t>burley-japan-shadow, 001-regolith-m, plath-black-merino</t>
  </si>
  <si>
    <t>Hat</t>
  </si>
  <si>
    <t>plath-charcoal-mohair-mix</t>
  </si>
  <si>
    <t>Plath Charcoal Mohair Mix</t>
  </si>
  <si>
    <t>Made in Romania
 From our All Seasons collection-line comes our new Mohair Beanie, Plath.
 Made in beautiful fuzzy mohair mix yarn spun by Igea in Italy, both lightweight, soft and warm. The single fold Plath beanie strikes the perfect balance as a compact beanie while still providing important coverage for the coldest days.
 Details
 - Mohair mix yarn spun by Igea in Italy
 - 50% extra-fine merino, 19% acryl, 16% polyamide, 15% kid mohair
 - Single fold beanie
 - Knitted by Alex Intl. in Romania</t>
  </si>
  <si>
    <t>plath-brown-mohair-mix, plath-spice-mohair-mix, plath-yellow-mohair-mix, plath-grisaille-mohair-mix, plath-black-merino, plath-stone-merino, plath-olive-merino</t>
  </si>
  <si>
    <t>plath-grisaille-mohair-mix</t>
  </si>
  <si>
    <t>Plath Grisaille Mohair Mix</t>
  </si>
  <si>
    <t>plath-brown-mohair-mix, plath-spice-mohair-mix, plath-charcoal-mohair-mix, plath-yellow-mohair-mix, plath-black-merino, plath-stone-merino, plath-olive-merino</t>
  </si>
  <si>
    <t>Plath Olive Merino</t>
  </si>
  <si>
    <t>Made in Romania
 From our All Seasons collection-line comes our new Cashwool Beanie, Plath.
 Made in a beautiful 100% extra fine merino wool, spun by the renowned Italian wool spinner Zegna Baruffa in Italy. This particular quality is most commonly referred to as Cashwool, and revolutionized the world of knitwear in the 70s thanks to its innovative characteristics of softness, elasticity and resistance. Knits made with these yarns stand out due to its extraordinary handfeel, clean appearance, the durability and the natural brilliance of its colours. Resulting in a super soft and comfortable wool beanie.
 Details
 - 100% extra fine merino wool
 - Merino wool yarn spun by Zegna Baruffa in Italy
 - Soft, elastic and super resistant.
 -Single fold beanie
 - Knitted by Alex Intl. in Romania</t>
  </si>
  <si>
    <t>plath-black-merino, plath-stone-merino, plath-brown-mohair-mix, plath-spice-mohair-mix, plath-charcoal-mohair-mix, plath-yellow-mohair-mix, plath-grisaille-mohair-mix</t>
  </si>
  <si>
    <t>plath-stone-merino</t>
  </si>
  <si>
    <t>Plath Stone Merino</t>
  </si>
  <si>
    <t>plath-black-merino, plath-olive-merino, plath-brown-mohair-mix, plath-spice-mohair-mix, plath-charcoal-mohair-mix, plath-yellow-mohair-mix, plath-grisaille-mohair-mix</t>
  </si>
  <si>
    <t>dahle-charcoal</t>
  </si>
  <si>
    <t>plath-yellow-mohair-mix</t>
  </si>
  <si>
    <t>Plath Yellow Mohair Mix</t>
  </si>
  <si>
    <t>plath-black-merino, plath-stone-merino, plath-olive-merino, plath-brown-mohair-mix, plath-spice-mohair-mix, plath-charcoal-mohair-mix, plath-grisaille-mohair-mix</t>
  </si>
  <si>
    <t>keri-japan-gravel, cornaro-purple</t>
  </si>
  <si>
    <t>dunn-overdye-grisaille-1</t>
  </si>
  <si>
    <t>Dunn Overdye Grisaille</t>
  </si>
  <si>
    <t>Made in Portugal 
 Our Dunn cap, in a seasonal colour: Grisaille. This colourway is cold pigment dyed, a special dying technique resulting in an uneven weathered look, where every cap is unique.
 Made in a light cotton twill, woven by Somelos in Portugal. A great product to finish off any outfit, whether it's spring, summer, autumn or winter!
 Featuring 6 panels with stitched eyelets on each panel, a broad brim with structural stitching, and an embroided L at the front.
 Details
 - 100% cotton
 - Fabric made by Somelos in Portugal
 - Sewn by Belcinto in Portugal</t>
  </si>
  <si>
    <t>Our seasonal Dunn cap: Grisaille. A unique cold pigment dyed colorway resulting in an uneven weathered look, every cap is unique.</t>
  </si>
  <si>
    <t>dunn-overdye-green, dunn-sand-overdye, dunn-toast-overdye, dunn-dawn, dunn-shadow, dunn-japan-optic, dunn-black-tech, dunn-dove-tech</t>
  </si>
  <si>
    <t>wiley-pond</t>
  </si>
  <si>
    <t>Wiley Pond</t>
  </si>
  <si>
    <t>Made in Portugal
 Wiley, our collared cardigan. Made with slightly dropped shoulders and a relaxed straight fit intended for autumn/winter layering. Finished with mother of pearl buttons. 
 Knitted in a super light and fuzzy baby suri alpaca yarn spun by Filitaly-Lab in Italy, that provides warmth with an incredible soft handfeel.
 Details
 - Alpaca mix yarn spun by Filitaly-Lab in Italy
 - 63% baby suri alpaca, 7% extra fine merino, 30% polyamide
 - Real mother of pearl buttons made in Italy by Louropel
 - Knitted by BW Fashion in Portugal</t>
  </si>
  <si>
    <t>Wiley, our collared cardigank nitted in a super light and fuzzy baby suri alpaca yarn, that provides warmth with an incredible soft handfeel.</t>
  </si>
  <si>
    <t>wiley-silver, wiley-navy</t>
  </si>
  <si>
    <t>keri-japan-black, chambord-noir</t>
  </si>
  <si>
    <t>Barnes Japan Fade</t>
  </si>
  <si>
    <t>Made in Portugal
 The high-rise wide straight Barnes, in a light blue wash.
 The Japan New Fade. Our light blue wash made in a solid 13 Oz 100% cotton denim from the renowned Japanese denim mill Kuroki. Soft to the touch, the Japan Fade has the light and bright look of well worn in denim, with a wonderful texture due to the long-fibred indigo rope-dyed yarns of the fabric. A definite essential.
 Details &amp; Features
 - Light washed rope-dyed indigo denim
 - 13 Oz wideloom denim from Kuroki, Japan
 - 100% Sanforized cotton
 - Warp dyed in indigo, natural coloured weft
 - 8 Oz ecru canvas pocketing
 - Tanned leather patch w/ wax treatment, Made in Italy.
 - YKK two-prongtack, silver button fly
 - YKK solid copper washed-burr rivets
 - Stitched with poly core cotton thread
 - Made at Lisama, Portugal
 Go to our fit guide to read more about the Barnes Wide.</t>
  </si>
  <si>
    <t>The high-rise wide straight Barnes, in a light blue wash.</t>
  </si>
  <si>
    <t>barnes-japan-dawn, barnes-japan-black, barnes-japan-mole, barnes-japan-putty, barnes-japan-forest-fog, barnes-22-5-oz-japan-heavy-selvage, barnes-japan-rinse-selvage, barnes-japan-milk</t>
  </si>
  <si>
    <t>Barnes Japan Mole</t>
  </si>
  <si>
    <t>Made in Portugal
 The high-rise wide straight Barnes, made in a coloured denim: Japan Mole 
 Made in a solid 13,8 Oz 100% cotton denim woven by the artisanal mill Kowa in Japan. This particular denim is woven with a brown warp and a white weft, creating a beautifully textured brown fabric. The Barnes Japan Mole is further washed, resulting in a soft brown pair of jeans. 
 Details &amp; Features
 - 13,8 Oz wideloom denim from Kowa, Japan
 - 100% Sanforized cotton
 - 8 Oz ecru canvas pocketing
 - Tanned leather patch w/ wax treatment, Made in Italy.
 - YKK two-prongtack, silver button fly
 - YKK solid copper washed-burr rivets
 - Stitched with durable poly core cotton threa
 - Made at Lisama, Portugal
 Go to our fit guide to read more about the Barnes Wide.</t>
  </si>
  <si>
    <t>The high-rise wide straight Barnes, made in a brown Japanese denim: Japan Mole</t>
  </si>
  <si>
    <t>barnes-japan-dawn, barnes-japan-fade, barnes-japan-black, barnes-japan-mole, barnes-japan-putty, barnes-japan-forest-fog, barnes-22-5-oz-japan-heavy-selvage, barnes-japan-rinse-selvage, barnes-japan-milk</t>
  </si>
  <si>
    <t>dal-white, tarmac-canvas-dune-ginger</t>
  </si>
  <si>
    <t>Buck Shadow Check</t>
  </si>
  <si>
    <t>Made in Portugal.
 Buck, our short sleeved big shirt.
 Built on our popular Aiden shirt, Buck features dropped shoulders, a very wide body and long curved hems. Made with wide short sleeves that end by the elbow.
 Made in lightweight seersucker fabric designed by Livid and woven by Somelos in Portugal. This particular fabric is developed to have a fluid drape, and incredible lightness. The puckering of the soft seersucker fabric keeps the fabric away from the skin, making it feel cool during the summer heat.
 Details
 - Lightweight seersucker fabric, 98% cotton, 2% elastan
 - Woven by Somelos in Portugal exclusively for Livid
 - Mother of Pearl buttons from Louropel, Portugal
 - Hanger loop on back yoke
 - Stitched with poly core cotton thread
 - Cut &amp; Sewn by Stork, Portugal</t>
  </si>
  <si>
    <t>Buck features dropped shoulders, a very wide body and long curved hems. Made with wide short sleeves that end by the elbow.</t>
  </si>
  <si>
    <t>buck-white-oxford-1</t>
  </si>
  <si>
    <t>Made in Portugal
 Our rib jersey top Dal is one of our jersey essentials.
 Made in a soft 100% cotton rib jersey knitted in Portugal, dal features a straight fitting body, an open neck and a perfectly cropped length. Designed to be worn on its own, or to add visual interest as a layering piece.
 The garment features:
 - 100% cotton
 - Pre-shrunk rib jersey, knitted at Etevimol, Portugal
 - Constructed with durable poly-core cotton thread
 - Made at Texgoios in Portugal</t>
  </si>
  <si>
    <t>barnes-japan-mole, oak-black-nappa, chambord-noir</t>
  </si>
  <si>
    <t>Dal White</t>
  </si>
  <si>
    <t>burley-japan-shadow, tarmac-canvas-dune-ginger, dunn-toast-overdye</t>
  </si>
  <si>
    <t>dunn-dawn</t>
  </si>
  <si>
    <t>Dunn Dawn</t>
  </si>
  <si>
    <t>Made in Portugal 
 Our Dunn cap, done in denim. Washed to our mid-blue Dawn wash, this 13 Oz. denim woven by Candiani in Italy shows subtle distressing at the brim, and a beautiful texture.
 Featuring 6 panels with stitched eyelets on each panel, a broad brim with structural stitching, and an embroided Livid logo at the front.
 Details
 - 100% cotton
 - 13 Oz. denim Woven by Candiani in Italy
 - Sewn with durable poly-core cotton thread.
 - Made by Belcinto in Portugal</t>
  </si>
  <si>
    <t>Our Dunn cap, done in denim. Washed to our mid-blue Dawn wash, this 13 Oz. denim shows subtle distressing at the brim, and a beautiful texture</t>
  </si>
  <si>
    <t>dunn-black-tech, dunn-dove-tech, dunn-dusty-off-white-corduroy, dunn-navy, dunn-overdye-green, dunn-overdye-grisaille-1, dunn-sand-overdye, dunn-toast-overdye, dunn-shadow</t>
  </si>
  <si>
    <t>Made in Portugal 
 Our Dunn cap, done in denim. Made in an optical white 13 Oz. denim woven by Kowa in Japan, washed to create subtle distressing at the brim.
 Featuring 6 panels with stitched eyelets on each panel, a broad brim with structural stitching, and an embroided Livid logo at the front.
 Details
 - 100% cotton
 - 13 Oz. denim woven by Kowa in Japan
 - Sewn with durable poly-core cotton thread.
 - Made by Belcinto in Portugal</t>
  </si>
  <si>
    <t>Our Dunn cap, done in denim. Made in an optical white 13 Oz. denim woven by Kowa in Japan, washed to create subtle distressing at the brim.</t>
  </si>
  <si>
    <t>dunn-black-tech, dunn-dawn, dunn-dove-tech, dunn-dusty-off-white-corduroy, dunn-navy, dunn-overdye-green, dunn-overdye-grisaille-1, dunn-sand-overdye, dunn-toast-overdye, dunn-shadow</t>
  </si>
  <si>
    <t>dunn-sand-overdye</t>
  </si>
  <si>
    <t>Dunn Sand Overdye</t>
  </si>
  <si>
    <t>Made in Portugal 
 Our Dunn cap, in a seasonal colour: Sand. This colourway is cold pigment dyed, a special dying technique resulting in an subtly weathered look, where every cap is unique.
 Made in a light cotton twill, woven by Somelos in Portugal. A great product to finish off any outfit, whether it's spring, summer, autumn or winter!
 Featuring 6 panels with stitched eyelets on each panel, a broad brim with structural stitching, and an embroided L at the front.
 Details
 - 100% cotton
 - Fabric made by Somelos in Portugal
 - Sewn by Belcinto in Portugal</t>
  </si>
  <si>
    <t>Our Dunn cap, in a seasonal colour: Sand.</t>
  </si>
  <si>
    <t>dunn-black-tech, dunn-dawn, dunn-dove-tech, dunn-dusty-off-white-corduroy, dunn-navy, dunn-overdye-green, dunn-overdye-grisaille-1, dunn-toast-overdye, dunn-shadow, dunn-japan-optic</t>
  </si>
  <si>
    <t>Made in Portugal 
 Our Dunn cap, done in denim. Washed to our faded black Shadow wash, this 13 Oz. denim woven by Candiani in Italy shows subtle distressing at the brim, and a beautiful texture.
 Featuring 6 panels with stitched eyelets on each panel, a broad brim with structural stitching, and an embroided Livid logo at the front.
 Details
 - 100% cotton
 - 13 Oz. denim Woven by Candiani in Italy
 - Sewn with durable poly-core cotton thread.
 - Made by Belcinto in Portugal</t>
  </si>
  <si>
    <t>dunn-dawn, dunn-japan-optic, dunn-sand-overdye, dunn-toast-overdye, dunn-overdye-green, dunn-overdye-grisaille-1, dunn-black-tech, dunn-dove-tech</t>
  </si>
  <si>
    <t>hilal-black</t>
  </si>
  <si>
    <t>Hilal Black</t>
  </si>
  <si>
    <t>Made in Portugal 
 A new addition to our jersey range, Hilal is a mid-weight sweatshirt with dropped shoulders and a loose body. Finished with ribbed cuffs at the sleeves, and a rough, raw-cut hem. 
 Made in an old-school loopback jersey in a classic midweight, knitted in Portugal. 
 Details &amp; Features
 - 100% cotton, pre-shrunk loopback jersey
 - Livid embroidery on chest
 - Fine rib collar
 - Sewn with durable poly core cotton thread
 - Jersey fabric knitted by Etivimol in Portugal
 - Made at Texgoios in Portugal</t>
  </si>
  <si>
    <t>Hilal, a mid-weight sweatshirt with dropped shoulders and a loose body. Finished with ribbed cuffs at the sleeves, and a rough, raw-cut hem.</t>
  </si>
  <si>
    <t>hilal-grey-rigid-cotton</t>
  </si>
  <si>
    <t>keri-japan-dawn-1, tarmac-canvas-dune-ginger, dunn-sand-overdye</t>
  </si>
  <si>
    <t>Hilal Grey Rigid Cotton</t>
  </si>
  <si>
    <t>burley-japan-shadow, tarmac-canvas-dune-ginger, dunn-japan-optic</t>
  </si>
  <si>
    <t>huff-black-voile</t>
  </si>
  <si>
    <t>Huff Black Voile</t>
  </si>
  <si>
    <t>Made in Portugal
 Our maxi-fit shirt Huff. Made with a 100% cotton voile, an incredibly lightweight, soft, and slightly sheer fabric. Creating a sharp looking and comfortable shirt with a fluid drape.
 The Huff shirt gives a clean, but relaxed look. Designed with a generous straight cut, a longer, curved back hem and intended for normal layering. Featuring a clean collar, overlocked and dropped shoulders, a centre front closure with mother of pearl buttons, and long sleeves ending in button cuffs.
 The garment features:
 - Lightweight voile fabric
 - 100% Cotton
 - Woven by Somelos in Portugal
 - Mother of Pearl buttons made in Italy by Louropel
 - Stitched with poly core cotton thread
 - Made at Stork in Portugal</t>
  </si>
  <si>
    <t>Our maxi-fit shirt Huff. Made with a 100% cotton voile, an incredibly lightweight, soft, and slightly sheer fabric. Creating a sharp looking and comfortable shirt with a fluid drape.</t>
  </si>
  <si>
    <t>huff-charcoal-fluid-merino, huff-charcoal-tech, huff-dove-voile, huff-grey-tech, huff-milk-tech, huff-taupe-fluid-merino, huff-weather-voile</t>
  </si>
  <si>
    <t>keri-surf-japan-black, tarmac-canvas-dune-ginger</t>
  </si>
  <si>
    <t>huff-dove-voile</t>
  </si>
  <si>
    <t>Huff Dove Voile</t>
  </si>
  <si>
    <t>huff-black-voile, huff-charcoal-fluid-merino, huff-charcoal-tech, huff-grey-tech, huff-milk-tech, huff-taupe-fluid-merino, huff-weather-voile</t>
  </si>
  <si>
    <t>huff-weather-voile</t>
  </si>
  <si>
    <t>Huff Weather Voile</t>
  </si>
  <si>
    <t>huff-black-voile, huff-charcoal-fluid-merino, huff-charcoal-tech, huff-dove-voile, huff-grey-tech, huff-milk-tech, huff-taupe-fluid-merino</t>
  </si>
  <si>
    <t>burley-japan-off-white, 002-cinder-m</t>
  </si>
  <si>
    <t>Made in Portugal
 Kai, our relaxed tapered fit. High rised, fitting precicely and narrow in the waist, and curved into the lower back. Fans of our Barnes wide will appreciate the spacious thigh, before it taperes down to a slimmer leg opening. The result is a fit that meets the needs of many. On slimmer and average legs, Kai fits precicely in the waist, with a relaxed tapered fit, but Kai is also perfect for the athletic build that needs more room in the thigh and seat with a high and narrow waistband. On the latter body type, Kai will follow the leg naturally from the waist all the down.
 Kai Japan Shadow is made from a 13 Oz 100% cotton, black wideloom denim woven by the renowned Japanese fabric mill, Kuroki. Washed down to a lived-in look. The Japan Shadow achieves a subtle depth and texture to the greying black, thanks to the special dyeing technique called rope dye, where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Details &amp; Features
 - 13 Oz wideloom denim from Kuroki, Japan
 - 100% Sanforized cotton
 - Warp &amp; Weft sulphur dyed black
 - 8 Oz 5 Oz ecru canvas pocketing
 - Black leather patch w/ wax treatment, Made in Italy.
 - YKK two-prongtack, silver button fly
 - YKK solid copper washed-burr rivets
 - Stitched with poly core cotton thread
 - Made at Lisama, Portugal</t>
  </si>
  <si>
    <t>kai-japan-black, kai-japan-dawn, kai-japan-fade</t>
  </si>
  <si>
    <t>kalum-japan-optic-denim</t>
  </si>
  <si>
    <t>Kalum Japan Optic Denim</t>
  </si>
  <si>
    <t>Made in Portugal.
 Kalum, our box-fit straight hemmed shirt. Designed with slightly wide shoulders, a straight fit and straight cut hem that ends perfectly at the hips. Featuring flap pockets at the chest and finished with RiRi snap-buttons. A shirt that feels classicly rooted in our denim heritage, while looking modern and sharp. 
 Made in an optic white 7 Oz. denim woven by Kowa in Japan, a sharp looking denim quality with a beautiful subtle texture.
 Details
 - 100% cotton
 - 7 Oz. white denim woven by Kowa in Japan
 - Snap-buttons made by RiRi in Switzerland
 - Tonal Livid embroidery at chest pocket
 - Stitched with poly core cotton thread
 - Cut &amp; Sewn by Stork, Portugal</t>
  </si>
  <si>
    <t>Kalum, our box-fit straight hemmed shirt. A shirt that feels classicly rooted in our denim heritage, while looking modern and sharp.</t>
  </si>
  <si>
    <t>kalum-milk-check</t>
  </si>
  <si>
    <t>Kalum Milk Check</t>
  </si>
  <si>
    <t>Made in Portugal.
 Kalum, our box-fit straight hemmed shirt. Designed with slightly wide shoulders, a straight fit and straight cut hem that ends perfectly at the hips. Angled flap pockets at the chest and finished with RiRi snap-buttons. A shirt that feels classicly rooted in our denim heritage, while looking modern and sharp. 
 Made in a soft flannel fabric designed and developed exclusively by Livid and woven at Somelos in Portugal. This particular fabric is made from cotton, with 22% Tencel, giving it a beautiful texture, soft handfeel and a fluid drape.
 Details
 - Brushed flannel fabric, 78% cotton, 22% Tencel
 - Woven by Somelos in Portugal exclusively for Livid
 - Snap-buttons made by RiRi in Switzerland
 - Stitched with poly core cotton thread
 - Cut &amp; Sewn by Stork, Portugal</t>
  </si>
  <si>
    <t>Kalum, our box-fit, straight hemmed shirt. A shirt that feels classicly rooted in our denim heritage, while looking modern and sharp.</t>
  </si>
  <si>
    <t>keen-raw-japan-black-noil-silk</t>
  </si>
  <si>
    <t>Keen Raw Japan Black Noil Silk</t>
  </si>
  <si>
    <t>Made in Portugal
 Our box-fit shirt, Keen.
 Made in an incredible pure noil silk fabric woven by the artisanal mill Kowa in Japan. Made with a slubby Thai silk yarn, and woven with artisanal skill, this particular fabric combines an organic texture with elegant drape and movement.
 Noil silk is produced with the shorter silk fibres that are left over from production of other silk fabrics. Spun together these differing fibre lengths give the silk yarn a rougher texture, and a matte finish compared to the sheen from continuous silk fibres. Stronger than cotton, noil silk features a heavy fluid drape and has excellent temperature regulating properties, breathing and keeping you cool and dry in hot weather and warm in cold climates.
 Designed with a generous straight cut and intended for normal layering. Featuring a box pleat at the back yoke, and a french placket with natural Mother of Pearl buttons. Made with a straight cut hem, with raw edge finishing.
 Details
 - 100% noil silk farmed in Thailand
 - Woven by Kowa in Japan
 - Real mother of pearl buttons made by Louropel in Italy
 - Stitched with high quality poly core cotton thread
 - Made at Stork in Portugal
 - Garment Dyed</t>
  </si>
  <si>
    <t>Our box-fit shirt, Keen. Made in an incredible pure noil silk fabric. Woven with artisanal skill, this particular fabric combines an organic texture with elegant drape and movement.</t>
  </si>
  <si>
    <t>keen-grisaille-noil-silk, shea-japan-black-ikat, keen-raw-japan-black-noil-silk, keen-raw-nut-checked-loose, keen-raw-shadow-check, keen-silver-fox, keen-string-noil-silk</t>
  </si>
  <si>
    <t>keen-raw-nut-checked-loose</t>
  </si>
  <si>
    <t>Keen Raw Nut Checked Loose</t>
  </si>
  <si>
    <t>Made in Portugal.
 Our box-fit shirt, Keen. Made with a loosely woven cotton fabric developed by Livid and woven at Somelos in Portugal. This particular fabric has an amazing handfeel and and a lightweight airy feel. Finished with raw, frayed edges.
 Made in our box-fit long sleeve shirt, Keen. Designed with a generous straight cut and intended for normal layering. Featuringa box pleat at the back yoke, and a french placket for a clean look finished with natural Mother of Pearl buttoning, and a straight hem.
 Details:
 - Loose weave fabric, 100% cotton
 - Woven at Somelos in Portugal, Exclusively for Livid
 - Mother of Pearl buttons made by Louropel in Italy
 - Stitched with durable poly core cotton thread
 - Made at Stork in Portugal</t>
  </si>
  <si>
    <t>Our box-fit shirt, Keen. Made with a loosely woven cotton fabric, developed by Livid for lightweight and airy comfort.</t>
  </si>
  <si>
    <t>keen-raw-shadow-check</t>
  </si>
  <si>
    <t>Keen Raw Shadow Check</t>
  </si>
  <si>
    <t>Made in Portugal.
 Our box-fit shirt, Keen.
 Made in lightweight seersucker fabric designed by Livid and woven by Somelos in Portugal. This particular fabric is developed to have a fluid drape, and incredible lightness. The puckering of the soft seersucker fabric keeps the fabric away from the skin, making it feel cool during the summer heat.
 Made in our box-fit long sleeve shirt, Keen. Designed with a generous straight cut and intended for normal layering. Featuringa box pleat at the back yoke, and a french placket for a clean look finished with natural Mother of Pearl buttoning, and a straight hem.
 Details:
 - Loose weave fabric, 100% cotton
 - Woven at Somelos in Portugal, Exclusively for Livid
 - Mother of Pearl buttons made by Louropel in Italy
 - Stitched with durable poly core cotton thread
 - Made at Stork in Portugal</t>
  </si>
  <si>
    <t>Our box-fit shirt, Keen. Made in lightweight seersucker fabric giving a fluid drape, and incredible lightness.</t>
  </si>
  <si>
    <t>Made in Portugal
 Our chore coat Les. Made in a 13 Oz denim woven in Italy by the renowned mill Candiani, for a fully European made jacket. Washed to a mid-blue wash, exhibiting the beautiful texture of the denim weave.</t>
  </si>
  <si>
    <t>keri-japan-dawn-1, tarmac-canvas-dune-ginger</t>
  </si>
  <si>
    <t>Made in Portugal
 Our trucker jacket Moore, made in a 13 Oz black denim woven at the renowned Italian mill Candiani, for a fully European made jacket. Washed to our structural faded black wash Shadow. Pair with our Kai, Burley or Faye Japan Shadow jeans for a double denim set.
 The Moore is a regular fit jacket, designed for normal layering. Featuring a centre front closure with custom silver YKK two-prong tack donut buttons, a single square chest patch pocket, hidden handwarmer pockets in the outseams, two large interior pockets and long sleeves ending in button cuffs.
 The garment features:
 - Washed rope-dyed black denim
 - 13 Oz wideloom denim from Candiani, Italy
 - 100% Sanforized cotton
 - Custom silver two-prongtack donut buttons made by YKK in Portugal
 - Stitched with durable poly core cotton thread
 - Made at Lisama, Portugal</t>
  </si>
  <si>
    <t>j905-rachel-duck-egg</t>
  </si>
  <si>
    <t>rachel-black</t>
  </si>
  <si>
    <t>Needle Reverse Blue Stripe</t>
  </si>
  <si>
    <t>Made in Portugal
 Needle Reverse, a seasonal edition of our longsleeve Needle, made in a heavier jersey, the same jersey used in our Nelson tees, with exposed seams on the outside of the garment. Knitted in a stripe design.
 Needle is our relaxed longsleeve, made with dropped shoulders, a loose body, slits at the bottom hem, and a slightly longer back. Made in a 100% pre-shrunk cotton jersey.
 The garment features:
 - 100%cotton
 - 220 gsm pre-shrunk jersey
 - Livid embroidery on chest
 - Fine rib collar
 - Sewn with durable poly core cotton thread
 - Knitted by Etevimol in Portugal
 - Made at Texgoios in Portugal</t>
  </si>
  <si>
    <t>Needle Reverse made in a heavier jersey with exposed seams on the outside of the garment. Knitted in a stripe design.</t>
  </si>
  <si>
    <t>needle-white, needle-black, needle-reverse-nut-stripe</t>
  </si>
  <si>
    <t>002-alpine-white-m, keri-japan-dawn-1</t>
  </si>
  <si>
    <t>j905-rachel-lt-grey</t>
  </si>
  <si>
    <t>Needle Reverse Nut Stripe</t>
  </si>
  <si>
    <t>Needle Reverse, made in a heavier jersey with exposed seams on the outside of the garment. Knitted in a stripe design.</t>
  </si>
  <si>
    <t>needle-white, needle-reverse-blue-stripe, needle-black</t>
  </si>
  <si>
    <t>needle-tee-grey</t>
  </si>
  <si>
    <t>Needle Tee Grey</t>
  </si>
  <si>
    <t>The Needle Tee, our relaxed lightweight tee.</t>
  </si>
  <si>
    <t>needle-tee-charcoal, needle-tee-white</t>
  </si>
  <si>
    <t>nelson-bonnet-overdye</t>
  </si>
  <si>
    <t>Nelson Bonnet Overdye</t>
  </si>
  <si>
    <t>Made in Portugal
 Our maxi-fit tee Nelson, dyed in a seasonal colour: Bonnet Overdye. This colourway is cold double overdyed, a special dying technique resulting in an uneven weathered look, where every shirt is unique.
 Made from a pre-shrunk 6.5 Oz heavy 100% cotton jersey exclusively made for Livid in Portugal. This particular fabric has been used in our Nelson and Richmond t-shirts for many years and has become very popular due to its durability and comfortable hand feel. Made in our box fit tee, Nelson. Featuring dropped shoulders, a wider body for a relaxex fit, and a slightly shorter length than our basic tee Richmond. A wardrobe staple piece that works in any occasion regardless of seasonal trends.
 Details &amp; Features
 - 100% cotton
 - 220 gsm pre-shrunk jersey
 - Livid embroidery on chest
 - Fine rib collar
 - Sewn with durable poly core cotton thread
 - Knitted by Etevimol in Portugal
 - Made at Texgoios in Portugal</t>
  </si>
  <si>
    <t>Our maxi-fit Nelson tee is dyed in a seasonal colour, Bonnet Overdye, using a special double overdye technique for a unique, weathered look where every shirt is different.</t>
  </si>
  <si>
    <t>nelson-black, nelson-bonnet-overdye, nelson-light-grey, nelson-putty-overdye, nelson-raw-indigo-stripe, nelson-spice-overdye, nelson-toasted, nelson-white</t>
  </si>
  <si>
    <t>nelson-raw-indigo-stripe</t>
  </si>
  <si>
    <t>Nelson Raw Indigo Stripe</t>
  </si>
  <si>
    <t>Made in Portugal
 Our maxi-fit tee Nelson, made in a seasonal indigo stripe. Knitted into the fabric with indigo dyed yarn, the stripe is designed to age beautifully over time as the indigo fades.
 Made from a pre-shrunk 6.5 Oz heavy 100% cotton jersey exclusively made for Livid in Portugal. This particular fabric has been used in our Nelson and Richmond t-shirts for many years and has become very popular due to its durability and comfortable hand feel.
 Made in our box fit tee, Nelson. Featuring dropped shoulders, a wider body for a relaxex fit, and a slightly shorter length than our basic tee Richmond. Finished with a raw rolled-up hem.
 Details &amp; Features
 - 100% cotton
 - 220 gsm pre-shrunk jersey
 - Livid embroidery on chest
 - Fine rib collar
 - Finished with a raw roll-up hem
 - Sewn with durable poly core cotton thread
 - Knitted by Etevimol in Portugal
 - Made at Texgoios in Portugal</t>
  </si>
  <si>
    <t>Our maxi-fit tee Nelson, made in a easonal indigo stripe. Knitted into the fabric with indigo dyed yarn, the stripe&amp;nbsp;is designed to age beautifully over time&amp;nbsp;as the indigo fades.</t>
  </si>
  <si>
    <t>nelson-black, nelson-bonnet-overdye, nelson-grisaille-overdye, nelson-light-grey, nelson-putty-overdye, nelson-spice-overdye, nelson-toasted, nelson-white</t>
  </si>
  <si>
    <t>nelson-toasted</t>
  </si>
  <si>
    <t>Nelson Toasted</t>
  </si>
  <si>
    <t>Made in Portugal
 Our maxi-fit tee Nelson, dyed in a seasonal colour: Toasted
 Made from a pre-shrunk 6.5 Oz heavy 100% cotton jersey exclusively made for Livid in Portugal. This particular fabric has been used in our Nelson and Richmond t-shirts for many years and has become very popular due to its durability and comfortable hand feel. Made in our box fit tee, Nelson. Featuring dropped shoulders, a wider body for a relaxex fit, and a slightly shorter length than our basic tee Richmond. A wardrobe staple piece that works in any occasion regardless of seasonal trends.
 Details &amp; Features
 - 100% cotton
 - 220 gsm pre-shrunk jersey
 - Livid embroidery on chest
 - Fine rib collar
 - Sewn with durable poly core cotton thread
 - Knitted by Etevimol in Portugal
 - Made at Texgoios in Portugal</t>
  </si>
  <si>
    <t>Made from heavy 100% cotton pre-shrunk jersey, 220 gsm jersey for durability and a comfortable hand feel. A staple for any occasion, featuring a relaxed fit with dropped shoulders.</t>
  </si>
  <si>
    <t>nelson-black, nelson-bonnet-overdye, nelson-grisaille-overdye, nelson-light-grey, nelson-putty-overdye, nelson-raw-indigo-stripe, nelson-spice-overdye, nelson-white</t>
  </si>
  <si>
    <t>chambord-noir, keri-japan-black-1</t>
  </si>
  <si>
    <t>eyre-light-grey-cashmere</t>
  </si>
  <si>
    <t>roth-purple-overdye</t>
  </si>
  <si>
    <t>Roth Purple Overdye</t>
  </si>
  <si>
    <t>Made in Portugal
 Roth, our heavyweight cropped unisex longsleeve. Double overdyed in our seasonal colour Purple, a special dying technique resulting in an uneven weathered look, where every piece is unique.
 Made in a heavier jersey, the same jersey used in our Nelson tees, with a relaxed fit and exposed seams on the outside of the garment. Made in a cropped length with a raw roll-up hem.
 The garment features:
 - 100%cotton
 - 220 gsm pre-shrunk jersey
 - Double overdyed
 - Livid embroidery on chest
 - Fine rib collar
 -Sewn with durable poly-core cotton thread
 - Knitted by Etevimol in Portugal
 - Made at Texgoios in Portugal</t>
  </si>
  <si>
    <t>Roth, our heavyweight cropped longsleeve. Double overdyed in our seasonal colour Purple, a special dying technique resulting in an uneven weathered look, where every piece is unique.</t>
  </si>
  <si>
    <t>roth-black, roth-white, roth-moonlight-overdye</t>
  </si>
  <si>
    <t>barnes-22-5-oz-japan-heavy-selvage, chambord-noir</t>
  </si>
  <si>
    <t>stanton-mid-denim-cashmere</t>
  </si>
  <si>
    <t>stanton-burgundy-cashmere</t>
  </si>
  <si>
    <t>stone-checked-nut-loose</t>
  </si>
  <si>
    <t>Stone Checked Nut Loose</t>
  </si>
  <si>
    <t>Made in Portugal.
 Our relaxed short sleeve shirt, Stone. Made with a loosely woven cotton fabric developed by us and woven at Somelos in Portugal. This particular fabric has an amazing hand feel and texture, and its super lightweight breezy feel has made this fabric a customer favourite!
 Made in our maxi-fit short sleeve shirt, Stone. Designed with a generous straight cut and intended for normal layering. Featuring a camp collar with a looped top button and centre front closure with natural Mother of Pearl buttons.
 Details:
 - Loose weave fabric, 100% cotton
 - Woven at Somelos in Portugal, Exclusively for Livid
 - Mother of Pearl buttons by Louropel in Portugal
 - Stitched with poly core cotton thread 
 - Made at Stork in Portugal</t>
  </si>
  <si>
    <t>Made with a loosely woven cotton fabric developed by Livid, this particular fabric has an amazing hand feel and texture, and a lightweight breezy feel.</t>
  </si>
  <si>
    <t>stone-dove-linen-1, stone-weather-linen</t>
  </si>
  <si>
    <t>burley-japan-shadow, zurich-vl-taupe</t>
  </si>
  <si>
    <t>stanton-charcoal-cashmere</t>
  </si>
  <si>
    <t>stone-weather-linen</t>
  </si>
  <si>
    <t>Stone Weather Linen</t>
  </si>
  <si>
    <t>Made in Portugal.
 Our relaxed short sleeve shirt, Stone. Made in a pure linen fabric developed and woven at Somelos in Portugal. This fabric provides a lustrous drape, and the 1x1 linen weave gives a casual crimp when worn.
 Made in our relaxed fit short sleeve shirt, Stone. Designed with a generous straight cut and intended for normal layering. Featuring a camp collar with a looped top button and centre front closure with natural Mother of Pearl buttons.
 Details:
 -100% Linen- Woven at Somelos in Portugal
 - Fabric developed by Livid
 - Real mother of pearl buttons made by Louropel in Portugal
 - Stitched with high quality poly core cotton thread
 - Made at Stork in Portugal</t>
  </si>
  <si>
    <t>Made in pure linen fabric offering a lustrous drape. Designed with comfort in mind.</t>
  </si>
  <si>
    <t>stone-dove-linen-1, stone-checked-nut-loose</t>
  </si>
  <si>
    <t>burley-japan-shadow</t>
  </si>
  <si>
    <t>stone-dove-linen-1</t>
  </si>
  <si>
    <t>Stone Dove Linen</t>
  </si>
  <si>
    <t>Made in a pure linen fabric, providing a lustrous drape and casual crimp when worn.</t>
  </si>
  <si>
    <t>stone-checked-nut-loose, stone-weather-linen</t>
  </si>
  <si>
    <t>burley-japan-shadow, tarmac-canvas-dune-ginger</t>
  </si>
  <si>
    <t>yq1038-robin-cream</t>
  </si>
  <si>
    <t>yq1038-robin-light-grey</t>
  </si>
  <si>
    <t>Made in Portugal
 Barnes Japan Gravel. Made from a 13,8 Oz 100% cotton, dark grey wideloom denim woven by the renowned Japanese fabric mill, Kowa. Washed down to a rough grey, showing off the wonderful texture of the denim.
 Details &amp; Features:
 - 13,8 Oz wideloom denim from Kowa, Japan
 - 100% Sanforized cotton
 - 8 Oz ecru canvas pocketing
 - Tanned leather patch w/ wax treatment, Made in Italy.
 - YKK two-prongtack, silver button fly
 - YKK solid copper washed-burr rivets
 - Stitched with durable poly core cotton thread
 - Made at Lisama, Portugal</t>
  </si>
  <si>
    <t>barnes-japan-black, barnes-japan-dawn, barnes-japan-fade, barnes-japan-forest-fog, barnes-japan-mole, barnes-japan-putty, barnes-japan-rinse-selvage</t>
  </si>
  <si>
    <t>Made in Portugal
 Made in a soft corduroy fabric, the Connely shirt can be worn alone, or layered up as a warming overshirt.
 Cut in a regular fit with folded pleats on back yoke for increased mobility, a single chest pocket and finished with natural mother of pearl buttons. 
 Details:
 - 100% cotton corduroy
 - Woven by Troficolor in Portugal
 - Mother of Pearl buttons made by Louropel in Italy
 - Stitched with durable poly-core cotton thread
 - Made at Stork in Portugal</t>
  </si>
  <si>
    <t>Made in Portugal
 Made in a solid 13 Oz 100% cotton denim from the renowned Japanese denim mill Kuroki. Soft to the touch, the Japan New Blue is washed to a light lived-in blue finish.
 Details &amp; Features
 - Light blue washed rope-dyed indigo denim
 - 13 Oz wideloom denim from Kuroki, Japan
 - 100% Sanforized cotton
 - Warp dyed in indigo, natural coloured weft
 - 8 Oz ecru canvas pocketing
 - Vegetable-tanned leather patch w/ wax treatment, made in Italy.
 - YKK two-prong, silver button fly
 - YKK solid copper washed-burr rivets
 - Stitched with poly core cotton thread
 - Made at Lisama, Portugal</t>
  </si>
  <si>
    <t>Made in Portugal
 Dune Japan Shadow is made from a 13 Oz 100% cotton, black wideloom denim woven by the renowned Japanese fabric mill, Kuroki. Washed down to a lived-in look. The Japan Shadow achieves a subtle depth and texture to the greying black, thanks to the 
 special dyeing technique called rope dye, where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Details &amp; Features
 - 13 Oz wideloom denim from Kuroki, Japan
 - 100% Sanforized cotton
 - Warp &amp; Weft sulphur dyed black
 - 8 Oz 5 Oz ecru canvas pocketing
 - Black vegetable-tanned leather patch w/ wax treatment, Made in Italy.
 - YKK two-prong, silver button fly
 - YKK solid copper washed-burr rivets
 - Stitched with durable poly-core cotton thread
 - Made at Lisama, Portugal</t>
  </si>
  <si>
    <t>dyer-charcoal</t>
  </si>
  <si>
    <t>Dyer Charcoal</t>
  </si>
  <si>
    <t>Made in Portugal 
 Made in a boxy fit with a straight hem, Dyer features a jersey collar and a silver quarter-zip closure. Finished with tonal Livid embroidery at the chest, and contrasting stitching at shoulders and hems.
 Made from a pre-shrunk 100% cotton loopback jersey exclusively knitted for Livid in Portugal. This particular fabric is developed for durability and comfortable hand feel, and made in a versatile weight that works well all year round.
 Details &amp; Features
 - 100% cotton
 - 320 gsm pre-shrunk loopback jersey
 - Livid embroidery on chest
 - YKK silver zipper
 - Sewn with durable poly-core cotton thread
 - Jesey knitted by Etevimol in Portugal
 - Made at Texgoios in Portugal</t>
  </si>
  <si>
    <t>Our collared quarter-zip sweatshirt, Dyer.</t>
  </si>
  <si>
    <t>Hayes Suit Jacket Black</t>
  </si>
  <si>
    <t>Made in Portugal
 Introducing our double breasted Hayes suit jacket. Designed with a fuller silhouette, but not oversized. The Hayes jacket fits precisely at the shoulders, with longer more classic length. Made to complete the Hayes Suit together with the wide Hayes trouser. Double breasted with mother of pearl buttoning, featuring peak lapels and flapped pockets at the waist.
 Made in a smooth worsted wool fabric woven by Tessilbiella in Italy, giving the Hayes suit dramatic drape and a sharp appearance. The 98% wool, 2% elastan composition makes this fabric particularly wrinkle resistant and easy to care for, as well as providing increased mobility. Woven in a weight perfect for both warmer and colder seasons.
 Details &amp; Features
 - 98% wool, 2% elastan wrinkle-restistant fabric
 - Woven by Tessilbiella, Italy
 - Double breasted with Mother of Pearl buttoning
 - One inner pocket
 - Flapped pockets at waist
 - Single split at lower back
 - Stitched with durable poly-core cotton thread
 - Made at Outfit21, Portugal</t>
  </si>
  <si>
    <t>Our double breasted Hayes suit jacket, in a fluid drape wool.</t>
  </si>
  <si>
    <t>hayes-black, hayes-suit-jacket-stripe</t>
  </si>
  <si>
    <t>hayes-suit-jacket-stripe</t>
  </si>
  <si>
    <t>Hayes Suit Jacket Black Stripe</t>
  </si>
  <si>
    <t>Made in Portugal
 Introducing our double breasted Hayes suit jacket. Designed with a fuller silhouette, but not oversized. The Hayes jacket fits precisely at the shoulders, with longer more classic length. Double breasted with mother of pearl buttoning, featuring peak lapels and flapped pockets at the waist. Made to complete the Hayes Suit together with the wide Hayes trouser.
 Made in a worsted wool twill, with a subtle grey pinstripe, woven by Tessilbiella in Italy. This fabric has a smooth and wooly feel, and gives a soft drape.
 Details &amp; Features
 - 100% wool pinstripe twill
 - Woven by Tessilbiella, Italy
 - Double breasted with Mother of Pearl buttoning
 - One inner pocket
 - Flapped pockets at waist
 - Single split at lower back
 - Stitched with durable poly-core cotton thread
 - Made at Outfit21, Portugal</t>
  </si>
  <si>
    <t>Our double breasted Hayes suit jacket, in a black pinstripe wool.</t>
  </si>
  <si>
    <t>hayes-stripe, hayes-suit-jacket-black</t>
  </si>
  <si>
    <t>keen-green-loose</t>
  </si>
  <si>
    <t>Keen Green Loose</t>
  </si>
  <si>
    <t>Made in Portugal
 Made with a loosely woven cotton fabric developed by Livid and woven at Somelos in Portugal. This particular fabric has an amazing hand feel and irregular texture. Lightweight and breathable, and good for layering all year round.
 Designed with a generous straight cut and a straight hem. Featuring a box pleat at the back yoke, and a french placket for a clean look, finished with natural Mother of Pearl buttoning.
 Details:
 - Loose weave fabric, 100% cotton
 - Woven at Somelos in Portugal, Exclusively for Livid
 - Mother of Pearl buttons by Louropel in Portugal
 - Stitched with durable poly-core cotton thread
 - Made at Stork in Portugal</t>
  </si>
  <si>
    <t>Our box-fit shirt Keen, made in a loose textured weave.</t>
  </si>
  <si>
    <t>keen-heavy-linen-black-fungus</t>
  </si>
  <si>
    <t>Keen Heavy Linen Black Fungus</t>
  </si>
  <si>
    <t>Made in Portugal
 The Keen Heavy Linen Black Fungus is made in a pure European linen fabric featuring a heavy drape and subtle slubby texture. Embroidered with a thick yarn.
 Designed with a generous straight cut and a straight hem. Featuring a box pleat at the back yoke, a french placket for a clean look, and finished with natural Mother of Pearl buttoning. Keen's box-fit combined with the heavier but soft linen fabric makes it versatile as both a shirt worn straight on the skin, or as an overshirt for layering.
 The garment features:
 - 100% Linen fabric woven by Klasikine in Lithuania
 - Embroidery at chest
 - Mother of Pearl buttons made by Louropel in Italy
 - Stitched with durable poly-core cotton thread
 - Made at Stork in Portugal</t>
  </si>
  <si>
    <t>Our box-fit shirt Keen, featuring emboidered illustrations at the chest.</t>
  </si>
  <si>
    <t>keen-navy-loose</t>
  </si>
  <si>
    <t>Keen Navy Loose</t>
  </si>
  <si>
    <t>keen-raw-blue-check-pop</t>
  </si>
  <si>
    <t>Keen Raw Blue Check Pop</t>
  </si>
  <si>
    <t>Made in Portugal.
 Made in a crisp cotton poplin woven by Somelos in Portugal exclusively for Livid, featuring a fine blue check pattern. 
 Designed with a generous straight cut and a straight raw-cut hem. Featuring a box pleat at the back yoke, and a french placket for a clean look, finished with natural Mother of Pearl buttoning.
 Details
 - 100% cotton poplin
 - Woven by Somelos in Portugal exclusively for Livid
 - Mother of Pearl buttons made by Louropel in Italy
 - Stitched with durable poly-core cotton thread
 - Made at Stork in Portugal</t>
  </si>
  <si>
    <t>Our box-fit shirt Keen, finished with a raw edge hem.</t>
  </si>
  <si>
    <t>keen-raw-brown-stripe-pop</t>
  </si>
  <si>
    <t>Keen Raw Brown Stripe Pop</t>
  </si>
  <si>
    <t>Made in Portugal.
 Made in a crisp cotton poplin woven by Somelos in Portugal exclusively for Livid. This particular poplin exudes a vibrancy, due to the subtle fact that the tan yarn used for the background colour is spun as a tan/white marl.
 Designed with a generous straight cut and a straight raw-cut hem. Featuring a box pleat at the back yoke, and a french placket for a clean look, finished with natural Mother of Pearl buttoning.
 Details
 - 100% cotton poplin
 - Woven by Somelos in Portugal exclusively for Livid
 - Mother of Pearl buttons made by Louropel in Italy
 - Stitched with durable poly-core cotton thread
 - Made at Stork in Portugal</t>
  </si>
  <si>
    <t>keller-chestnut-overdye</t>
  </si>
  <si>
    <t>Keller Chestnut Overdye</t>
  </si>
  <si>
    <t>Made in Portugal
 This colourway is cold pigment doubledye, a special dying technique resulting in an uneven weathered look, where every shirt is unique.
 Keller features a wider, shorter body for a loose box-fit, but sits more dailed in at the shoulders and upper chest compared to an ovesized tee. Made in our signature 6.5 Oz heavyweight 100% cotton jersey exclusively made for Livid in Portugal.
 Details &amp; Features
 - 100% cotton
 - 220 gsm pre-shrunk jersey, knitted by Etevimol in Portugal
 - Livid embroidery at chest
 - Fine rib collar
 - Sewn with durable poly core cotton thread
 - Made at Texgoios in Portugal</t>
  </si>
  <si>
    <t>keller-red-stripe</t>
  </si>
  <si>
    <t>Keller Red Stripe</t>
  </si>
  <si>
    <t>Made in Portugal
 Keller features a wider, shorter body for a loose box-fit, but sits more dailed in at the shoulders and upper chest compared to an ovesized tee. Made in our signature 6.5 Oz heavyweight 100% cotton jersey exclusively made for Livid in Portugal.
 The garment features:
 - 100%cotton
 - 220 gsm pre-shrunk jersey
 - Livid embroidery on chest
 - Fine rib collar
 - Sewn with durable poly core cotton thread
 - Knitted by Etevimol in Portugal
 - Made at Texgoios in Portugal</t>
  </si>
  <si>
    <t>Our box-fit tee Keller, knitted in a seasonal stripe design.</t>
  </si>
  <si>
    <t>lefty-forest-moleskin</t>
  </si>
  <si>
    <t>Lefty Forest Moleskin</t>
  </si>
  <si>
    <t>Made in Portugal
 Designed with slightly wide shoulders, a straight fit and straight cut hem that ends perfectly at the hips. Lefty can be layered as an overshirt, or worn as a heavy shirt on its own.
 Made in a soft Italian moleskin, a tightly woven cotton fabric which has a long history from workwear, outdoors and military traditions. Moleskin is a hardwearing, warm and wind blocking fabric, but also soft and comfortable. Making it a go-to fabric for keeping warm during the colder autumn/winter months.
 The garment features: 
 - 100% cotton moleskin
 - Fabric woven by Microtex in Italy
 - Mother of Pearl buttons made by Louropel in Italy
 - Stitched with durable poly-core cotton thread
 - Made at Stork in Portugal</t>
  </si>
  <si>
    <t>Lefty, our straight hemmed overshirt.</t>
  </si>
  <si>
    <t>lefty-mud-moleskin, lefty-red-check</t>
  </si>
  <si>
    <t>Lefty Mud Moleskin</t>
  </si>
  <si>
    <t>lefty-forest-moleskin, lefty-red-check</t>
  </si>
  <si>
    <t>Needle Reverse Butter Doubleye</t>
  </si>
  <si>
    <t>Made in Portugal
 Cold pigment doubledyed in our seasonal colour Butter, a special dying technique resulting in an uneven weathered look, where every piece is unique.
 Needle Reverse is a seasonal edition of our longsleeve Needle. Made in a heavier jersey, the same heavyweight jersey used in our Nelson tees, and constructed with exposed seams on the outside of the garment. Made with dropped shoulders, a loose body, slits at the bottom hem, and a slightly longer back.
 Garment details:
 - 100% cotton
 - 220 gsm pre-shrunk jersey, knitted by Etevimol in Portugal
 - Livid embroidery at chest
 - Cold pigment dyed
 - Fine rib collar
 - Sewn with durable poly-core cotton thread
 - Made at Texgoios in Portugal</t>
  </si>
  <si>
    <t>Needle Reverse longsleeve, in a seasonal cold pigment overdye.</t>
  </si>
  <si>
    <t>needle-black, needle-reverse-blue-stripe, needle-reverse-forest-doubledye, needle-reverse-nut-stripe, needle-white</t>
  </si>
  <si>
    <t>Needle Reverse Forest Doubledye</t>
  </si>
  <si>
    <t>Made in Portugal
 Cold pigment doubledyed in our seasonal colour Forest, a special dying technique resulting in an uneven weathered look, where every piece is unique.
 Needle Reverse is a seasonal edition of our longsleeve Needle. Made in a heavier jersey, the same heavyweight jersey used in our Nelson tees, and constructed with exposed seams on the outside of the garment. Made with dropped shoulders, a loose body, slits at the bottom hem, and a slightly longer back.
 Garment details:
 - 100% cotton
 - 220 gsm pre-shrunk jersey, knitted by Etevimol in Portugal
 - Livid embroidery at chest
 - Cold pigment dyed
 - Fine rib collar
 - Sewn with durable poly-core cotton thread
 - Made at Texgoios in Portugal</t>
  </si>
  <si>
    <t>needle-black, needle-reverse-blue-stripe, needle-reverse-butter-doubleye, needle-reverse-nut-stripe, needle-white</t>
  </si>
  <si>
    <t>nelson-string</t>
  </si>
  <si>
    <t>Nelson String</t>
  </si>
  <si>
    <t>Made in Portugal
 Featuring dropped shoulders, a wider body for a relaxed fit, and a slightly shorter length than our basic tee Richmond. Made in our signature 6.5 Oz heavyweight 100% cotton jersey exclusively made for Livid in Portugal.
 Details &amp; Features
 - 100% cotton
 - 220 gsm pre-shrunk jersey, knitted by Etevimol in Portugal
 - Livid embroidery at chest
 - Fine rib collar
 - Sewn with durable poly core cotton thread
 - Made at Texgoios in Portugal</t>
  </si>
  <si>
    <t>Our relaxed fit Nelson tee in a seasonal colour: String</t>
  </si>
  <si>
    <t>nelson-black, nelson-grisaille-overdye, nelson-light-grey, nelson-putty-overdye-1, nelson-raw-indigo-stripe, nelson-spice-overdye, nelson-white, nelson-toasted</t>
  </si>
  <si>
    <t>nolan-black</t>
  </si>
  <si>
    <t>Nolan Black</t>
  </si>
  <si>
    <t>Made in China 
 Made in pure merino wool, boiled to acheive a perfect balance between warmth, breathabilty and softness. The weight of the boiled merino wool gives the Nolan quarter-zip sweater a soft and heavy drape.
 Designed with dropped shoulders, a straight boxy fit, with a ribbed hem that hangs straight, with splits at the sides. Finished with a high ribbed collar with a quarter-zip.
 Details
 - 100% merino wool, boiled
 - Merino wool yarn spun in Italy by Tollegno 1900
 - Warm, breathable and hardwearing
 - YKK silver zipper
 - Knitted by Goldfine in China</t>
  </si>
  <si>
    <t>Nolan, our boiled merino quarter-zip.</t>
  </si>
  <si>
    <t>palmer-navy</t>
  </si>
  <si>
    <t>Palmer Navy</t>
  </si>
  <si>
    <t>Made in Portugal 
 From our All Seasons line comes our staple sweatshirt Palmer. Made from a pre-shrunk 100% cotton loopback jersey exclusively knitted for Livid in Portugal. This particular fabric is developed for durability and comfortable hand feel, and made in a versatile weight that works well all year round. Made in a classic crewneck fit.
 Details &amp; Features
 - 100% cotton
 - 320 gsm pre-shrunk loopback jersey
 - Livid embroidery on chest
 - Fine rib collar 
 - Overlocked shoulder seams
 - Sewn with durable poly-core cotton thread
 - Jesey knitted by Etevimol in Portugal
 - Made at Texgoios in Portugal</t>
  </si>
  <si>
    <t>palmer-grey, palmer-black</t>
  </si>
  <si>
    <t>Tate Black</t>
  </si>
  <si>
    <t>Made in China 
 Made in pure merino wool, boiled to acheive a perfect balance between warmth, breathabilty and softness. The weight of the boiled merino wool gives the Tate sweater a soft and heavy drape.
 Designed with dropped shoulders, a straight boxy fit, with a ribbed hem that hangs straight, with splits at the sides. 
 Details
 - 100% merino wool, boiled
 - Merino wool yarn spun in Italy by Tollegno 1900
 - Warm, breathable and hardwearing
 - Knitted by Goldfine in China</t>
  </si>
  <si>
    <t>Tate, our boiled merino sweater.</t>
  </si>
  <si>
    <t>Made in Portugal
 Our high-rise, wide suit trouser, Hayes. Constructed with a tailored fit at the waist, and relaxed and wide from the hip down.
 Made in a smooth worsted wool fabric woven by Tessilbiella in Italy, giving the Hayes trousers a dramatic drape. The 98% wool, 2% elastan composition makes this fabric particularly wrinkle resistant and ensures that the press fold keeps over time. Woven in a weight perfect for both warmer and colder seasons.
 Made to complete the Hayes Suit together with the Hayes Suit Jacket, or worn casually.
 Details &amp; Features
 - 98% wool, 2% elastan wrinkle-restistant fabric
 - Woven by Tessilbiella, Italy
 - YKK zip fly with silver metal hook and eye closure
 - Welt back pockets with button closure
 - Mother of pearl buttons
 - Stitched with durable poly-core cotton thread
 - Made at Outfit21, Portugal</t>
  </si>
  <si>
    <t>hayes-suit-jacket-black, hayes-stripe</t>
  </si>
  <si>
    <t>Made in Portugal
 This colourway is cold pigment doubledye, a special dying technique resulting in an uneven weathered look, where every shirt is unique.
 Featuring dropped shoulders, a wider body for a relaxed fit, and a slightly shorter length than our basic tee Richmond. Made in our signature 6.5 Oz heavyweight 100% cotton jersey exclusively made for Livid in Portugal.
 Details &amp; Features
 - 100% cotton
 - 220 gsm pre-shrunk jersey, knitted by Etevimol in Portugal
 - Livid embroidery at chest
 - Fine rib collar
 - Sewn with durable poly core cotton thread
 - Made at Texgoios in Portugal</t>
  </si>
  <si>
    <t>nelson-black, nelson-grisaille-overdye, nelson-light-grey, nelson-string, nelson-raw-indigo-stripe, nelson-spice-overdye, nelson-white, nelson-toasted</t>
  </si>
  <si>
    <t>Hayes Trouser Black Stripe</t>
  </si>
  <si>
    <t>Made in Portugal
 Our high-rise, wide suit trouser, Hayes. Constructed with a tailored fit at the waist, and relaxed and wide from the hip down.
 Made in a worsted wool twill, with a subtle grey pinstripe, woven by Tessilbiella in Italy. This fabric has a smooth and wooly feel, and gives a soft drape. 
 Made to complete the Hayes Suit together with the Hayes Suit Jacket, or worn casually.
 Details &amp; Features
 - 100% wool pinstripe twill
 - Woven by Tessilbiella, Italy
 - YKK zip fly with silver metal hook and eye closure
 - Welt back pockets with button closure
 - Mother of pearl buttons
 - Stitched with durable poly-core cotton thread
 - Made at Outfit21, Portugal</t>
  </si>
  <si>
    <t>Our high-rise, wide suit trouser, Hayes. In a black pinstripe wool.</t>
  </si>
  <si>
    <t>hayes-suit-jacket-stripe, hayes-black</t>
  </si>
  <si>
    <t>barnes-mud</t>
  </si>
  <si>
    <t>Barnes Mud</t>
  </si>
  <si>
    <t>Made in Portugal
 Made in a solid 13 Oz 100% cotton denim from the renowned Italian denim mill Candiani. This particular denim features a soft handfeel and a great texture due to slight unevenness in the warp yarns. Garment dyed in our seasonal colour: Mud
 Details &amp; Features
 - 13 Oz wideloom denim from Candiani, Italy
 - 100% Sanforized cotton
 - Garment dyed
 - 8 Oz ecru canvas pocketing
 - Vegetable tanned leather patch w/ wax treatment, Made in Italy.
 - YKK two-prong, silver button fly
 - YKK solid copper washed-burr rivets
 - Stitched with poly core cotton thread
 - Made at Lisama, Portugal</t>
  </si>
  <si>
    <t>Our high-rise wide straight, Barnes. Made in a coloured denim: Mud</t>
  </si>
  <si>
    <t>riley-black-1</t>
  </si>
  <si>
    <t>Riley Black</t>
  </si>
  <si>
    <t>Made in China 
 From our All Seasons line comes our lightweight merino sweater Riley. Made from a beautiful lightweight 100% extra fine merino wool, spun by the renowned European wool spinner Biella Yarn.
 Riley was developed to be the perfect basic wool sweater, your go-to piece for almost any occasion. With a classic fit, a luxurious soft handfeel, and a neck opening that's the perfect width worn over shirt collars and t-shirts alike. The super soft merino quality from Biella also allows you to wear it directly on your skin.
 Details
 - 100% extra fine merino wool
 - Merino wool yarn spun in Europe by Biella Yarn
 - Soft, elastic and super resistant.
 - Knitted by Springair in China</t>
  </si>
  <si>
    <t>riley-charcoal, riley-green, riley-grey</t>
  </si>
  <si>
    <t>jone-13-oz-japan-dry-selvage</t>
  </si>
  <si>
    <t>Jone 14 Oz Japan Dry Selvage</t>
  </si>
  <si>
    <t>Made in Portugal
 The Japan Dry Selvage. Made from a mid- to -heavy weight denim fabric developed exclusively for Livid by the renowned Japanese fabric mill, Kurabo. This top of the line denim is made out of 100% sanforized cotton and is unwashed and completely untreated. Perfect start for your brand new dry denim project and great for the environment!
 The Japan Dry Selvage is made – as all our denim fabrics - with a dyeing technique called rope dye. A great attribute if you want the jeans of your choice to fade and become more and more unique with wear. When rope dyeing denim yarns the white core of the cotton yarn remains untouched during the dyeing process. With friction and wear as the layers and layers of indigo are worn off the surface of the fabric, the un-dyed core of the cotton yarn will appear, slowly leaving beautiful contrast fading to the surface. Ever tried it yourself? A definite essential for any denim enthusiast!
 Made in our slim fit, Jone. 
 Details &amp; Features
 - 14 Oz narrowloom selvage denim from Kurabo, Japan
 - Exclusive rope dye denim fabric developed for Livid
 - 100% Sanforized cotton,
 - Warp dyed in indigo, natural coloured weft
 - 8 Oz ecru canvas pocketing
 - Tanned leather patch w/ wax treatment, Made in Italy. 
 - YKK two-prongtack, silver button fly
 - YKK solid copper washed-burr rivets
 - Stitched with poly core cotton thread
 - Made at Lisama, Portugal
 Model is 183 cm and wears a size 32/32.
 Go to our fit guide to read more about the Jone Slim 
 Available sizes are 28-36 in 32” inseam and 30-40 in 34” inseam.</t>
  </si>
  <si>
    <t>Made from a mid- to heavy weight denim developed by Kurabo, Japan. This quality fabric is sanforized, unwashed, and untreated—ideal for a new dry denim project.</t>
  </si>
  <si>
    <t>jone-japan-indigo, jone-japan-black, jone-japan-blue-1, jone-japan-trouser-stone</t>
  </si>
  <si>
    <t>Underwear</t>
  </si>
  <si>
    <t>neil-trunk-2-pack-black</t>
  </si>
  <si>
    <t>Neil Trunk 2-pack Black</t>
  </si>
  <si>
    <t>Made in Portugal 
 Our 2-pack trunks, Neil. Developed for a great fit, and all-day comfort. Made in a lightweight cotton stretch jersey, Neil features a slightly higher waist than average trunks, and slightly longer legs striking the perfect balance so they don't ride up. A definite essential!
 The garment features:
 - 95% organic cotton, GOTS 4.0 certified, 5% elastan
 - Lightweight pre-shrunk jersey
 - Tonal stretch waistband with Livid logo center front
 - Made at Impetus in Portugal</t>
  </si>
  <si>
    <t>Developed for great fit and all-day comfort, these trunks are made in lightweight cotton stretch, featuring a slightly higher waist and longer legs for balance without riding up. Essential comfort.</t>
  </si>
  <si>
    <t>neil-trunk-2-pack-grey-melange, neil-trunk-2-pack-white</t>
  </si>
  <si>
    <t>nelson-spice-overdye</t>
  </si>
  <si>
    <t>neil-trunk-2-pack-grey-melange</t>
  </si>
  <si>
    <t>Neil Trunk 2-pack Grey Melange</t>
  </si>
  <si>
    <t>Made in Portugal 
 Our 2-pack trunks, Neil. Developed for a great fit, and all-day comfort. Made in a lightweight cotton stretch jersey, Neil features a slightly higher waist than average trunks, and slightly longer legs striking the perfect balance so they don't ride up. A definite essential!
 The garment features:
 - 95% organic cotton, GOTS 4.0 certified, 5% elastan
 - Lightweight pre-shrunk jersey
 - Tonal stretch waistband with tonal Livid logo center front
 - Made at Impetus in Portugal</t>
  </si>
  <si>
    <t>Developed for fit and comfort, features a higher waist and slightly longer legs for perfect balance. Essential for all-day wear without the ride-up.</t>
  </si>
  <si>
    <t>neil-trunk-2-pack-black, neil-trunk-2-pack-white</t>
  </si>
  <si>
    <t>neil-trunk-2-pack-white</t>
  </si>
  <si>
    <t>Neil Trunk 2-pack White</t>
  </si>
  <si>
    <t>Made in Portugal 
 Our 2-pack trunks, Neil. Developed for a great fit, and all-day comfort. Made in a lightweight cotton stretch jersey, Neil features a slightly higher waist than average trunks, and slightly longer legs striking the perfect balance so they don't ride up. A definite essential!
 The garment features:
 - 95% organic cotton, GOTS 4.0 certified, 5% elastan
 - Lightweight pre-shrunk jersey
 - Light grey stretch waistband with tonal Livid logo center front
 - Made at Impetus in Portugal</t>
  </si>
  <si>
    <t>Our trunks, Neil, feature a perfect fit for all-day comfort. Crafted for a balanced look, they prevent riding up. A true essential.</t>
  </si>
  <si>
    <t>neil-trunk-2-pack-grey-melange, neil-trunk-2-pack-black</t>
  </si>
  <si>
    <t>Hats</t>
  </si>
  <si>
    <t>hicks-red</t>
  </si>
  <si>
    <t>Hicks Red</t>
  </si>
  <si>
    <t>Made in Portugal 
 From our All Seasons collection-line comes our classic single fold beanie, Hicks. Made from a beautiful 100% extra fine merino wool spun by the renowned Italian wool spinner Zegna Baruffa in Italy. More tightly knitted, and lighter than our double fold beanie Cox, for a snug fit that is perfectly suited for all year use.
 Details
 - 100% extra fine merino wool
 - Merino wool yarn spun by Zegna Baruffa in Italy
 - Soft, elastic and super resistant- Single fold beanie with a snug fit
 - Knitted by Malhas da Torre in Portugal
 Hicks is One Size</t>
  </si>
  <si>
    <t>From our collection comes our classic beanie, Hicks. Made from beautiful 100% extra fine merino wool. Lighter and snug, suited for all year use.</t>
  </si>
  <si>
    <t>barnes-japan-milk</t>
  </si>
  <si>
    <t>Barnes Japan Milk</t>
  </si>
  <si>
    <t>Made in Portugal
 Made from a custom mid-weight natural twill weave fabric woven for Livid exclusively at the renowned Japanese fabric mill Kuroki. 
 This particular fabric has a super soft and comfortable handfeel due to the low tension of the weave.
 The warp and weft yarns are un-dyed and un-bleached which gives a warm but crisp aesthetic that makes perfect in combination with our collection colour theme. A definite must have for both spring and all-year use.
 Made in our high-rise, wide straight Barnes.
 The garment features:
 - 13 Oz twill weave fabric
 - Un-dyed warp and weft- Exclusive Livid fabric.
 - Woven by Kuroki, Japan
 - 100% sanforized cotton
 - YKK two-prong tack donut buttons
 - YKK zipper
 - 8 oz ecru canvas pocketing
 - Stitched with poly core cotton thread.
 - Made at Lisama in Portugal
 Go to our fit guide to read more about the Barnes Straight.</t>
  </si>
  <si>
    <t>This fabric has a super soft and comfortable handfeel, perfect for all-year use. Ideal for those valuing a warm but crisp aesthetic.</t>
  </si>
  <si>
    <t>barnes-japan-dawn, barnes-japan-fade, barnes-japan-black, barnes-japan-mole, barnes-japan-forest-fog, barnes-japan-putty, barnes-japan-rinse-selvage, barnes-22-5-oz-japan-heavy-selvage</t>
  </si>
  <si>
    <t>henrey-japan-indigo-dusk</t>
  </si>
  <si>
    <t>Made in Portugal.
 Henrey Japan Indigo Dusk, our updated take on the essential denim shirt. Made in our a relaxed, but classic Henrey fit. With a bigger silhouette, but in no way oversized. Henrey fits precisely in the shoulders, with a generous fit in the body and longer, curved hems. Featuring a wider collar, with a pronounced button-down collar roll, and a chest pocket.
 Made in a 9 Oz heavy denim fabric woven by the artisanal mill Kowa in Japan, the Henrey Japan Indigo Dusk is washed to achieve a deep harmonious shades of indigo. 
 The result is a shirt with a relaxed volume, that is versatile and fits a wide array of body shapes. A modern take on what made the old Oxford shirts from the 70s and 80s so great, but in Japanese denim.
 Details
 - 9 Oz wideloom denim fabric, 100% cotton.
 - Woven by Kowa in Japan
 - Mother of Pearl buttons from Louropel, Portugal
 - Stitched with poly core cotton thread
 - Cut &amp; Sewn by Stork, Portugal</t>
  </si>
  <si>
    <t>Our updated take on the essential denim shirt, made in a relaxed but classic fit. A bigger silhouette, not oversized, fits precisely with a generous body and longer, curved hems.</t>
  </si>
  <si>
    <t>henrey-pure-linen-check, henrey-celeste-office-stripe-poplin</t>
  </si>
  <si>
    <t>lou-long-off-white</t>
  </si>
  <si>
    <t>Lou Long Off-White</t>
  </si>
  <si>
    <t>Made in Portugal.
 Our Lou Long shorts will be your trusty companion this summer, equally at home on the beach, on a hike or in the park. Made in a technical material from Olmetex in Italy, which is breathable, water repellent and quick-drying, these can be worn all day long, and kept on when you jump into the fjord to cool down. The Lou Long shorts have an inseam of 24 cm.
 Made to be easily packable for summer adventures, these shorts fold into the back pocket, which closes with a reversible zipper. Made unlined for all-round use, an elastic waistline and draw-cord.
 Details
 - 74% nylon / 26% cotton
 - Water repellent and quick-drying
 - Fabric made by Olmetex in Italy
 - Elastic waistline with draw-cord
 - Packable
 - Reversible zip on back pocket made by YKK in Portugal
 - Sewn by Lisama in Portugal</t>
  </si>
  <si>
    <t>Our Lou Long shorts, perfect for summer, are comfortable at the beach, on a hike, or in the park. Made with a technical material that is breathable, water repellent, and quick-drying.</t>
  </si>
  <si>
    <t>aiden-brown-grunge-check</t>
  </si>
  <si>
    <t>aiden-eclipse-stripe-poplin, aiden-grey-oxford, aiden-milk-check, aiden-japan-shadow</t>
  </si>
  <si>
    <t>burley-japan-off-white</t>
  </si>
  <si>
    <t>Burley Japan Off-White</t>
  </si>
  <si>
    <t>Made in Portugal
 Introducing the Burley, our big fit trouser. With a super high rise the Burley is slim at the waistband, curving out to give ample room at the hip, flowing down to a wide leg opening of 29 cm in a size 31. Constructed with a pleated front and press folds.
 Made from a custom mid-weight natural twill weave fabric woven for Livid exclusively at the renowned Japanese fabric mill Kuroki.
 This particular fabric has a super soft and comfortable handfeel due to the low tension of the weave.
 The warp and weft yarns are un-dyed which gives a warm but crisp aesthetic that makes perfect in combination with our collection colour theme.
 Details &amp; Features
 - 13 Oz twill weave fabric
 - Un-dyed warp and weft
 - Exclusive Livid fabric.
 - Woven by Kuroki, Japan
 - 100% sanforized cotton
 - Mother of pearl buttons made by Louropel in Italy
 - YKK zipper
 - 8 oz ecru canvas pocketing
 - Stitched with poly core cotton thread.
 - Made at Outfit21 in Portugal"</t>
  </si>
  <si>
    <t>With a super high rise, the Burley is slim at the waistband, curving out to give ample room at the hip, flowing down to a wide leg opening.</t>
  </si>
  <si>
    <t>connely-brown-grunge-check</t>
  </si>
  <si>
    <t>Connely Brown Grunge Check</t>
  </si>
  <si>
    <t>Made in Portugal.
 Our regular straight shirt, Connely.Made in lightweight seersucker fabric woven by Somelos in Portugal exclusively for Livid. This particular fabric is developed to have a fluid drape, and incredible lightness.
 Featuring a clean collar, a centre front closure with natural mother of pearl buttons, long sleeves ending in button cuffs, a clean chest pocket and folded pleats on back yoke for increased mobility.
 Details:
 - Lightweight seersucker fabric, 98% cotton, 2% elastan
 - Woven by Somelos in Portugal exclusively for Livid
 - Mother of Pearl buttons from Louropel, Portugal
 - Stitched with poly core cotton thread
 - Cut &amp; Sewn by Stork, Portugal</t>
  </si>
  <si>
    <t>Our shirt, Connely, is made in lightweight seersucker fabric, developed for a fluid drape and incredible lightness, offering comfort.</t>
  </si>
  <si>
    <t>connely-black-check-loose, connely-navy-moleskin-1, connely-silver-moleskin</t>
  </si>
  <si>
    <t>dunn-dusty-off-white-corduroy</t>
  </si>
  <si>
    <t>Dunn Dusty Off-White Corduroy</t>
  </si>
  <si>
    <t>Made in Portugal
 From our All Seasons collection-line comes the Dunn cap.
 Made in a beautiful off-white corduroy woven by the renowned Italian mill Pontoglio 1883. This particular fabric is woven with a marled yarn, resulting in a subtle play of differing shades of colour in the finished corduroy.
 Featuring 6 panels with stitched eyelets on each panel, a broad brim with structural stitching, and an embroided L at the front.
 Details
 - 100% cotton corduroy
 - Fabric made by Pontoglio 1883 in Italy
 - Sewn by Belcinto in Portugal</t>
  </si>
  <si>
    <t>From our All Seasons collection-line comes the Dunn cap. Made in a beautiful off-white corduroy woven by the renowned Italian mill Pontoglio 1883. This particular fabric is woven with a marled yarn, resulting in a subtle play of differing shades of colour in the finished corduroy.</t>
  </si>
  <si>
    <t>dunn-navy</t>
  </si>
  <si>
    <t>purvis-taupe-casentino</t>
  </si>
  <si>
    <t>Purvis Taupe Casentino</t>
  </si>
  <si>
    <t>Made in Portugal.
 Introducing Purvis, our 100% Casentino wool pullover. 
 Made in a generous silhouette designed for layering, Purvis is ideal both for sporty pursuits in the wilderness or combined with your city attire.
 Being Scandinavians, we love the all-year functionality of fleece products, and also the aesthetics of combining sportier elements with with our collections. However, we haven't been comfortable with producing synthetic fleece garments due to the problems with microplastics. We are therefor proud to introduce a new addition to our 100% Casentino wool program.
 Casentino wool is a luxurious Italian wool quality from the Casentino valley in Tuscany, that has a history dating back to the middle ages. World renowned for its high quality, and its neppy surface pile. 
 With its sportswear-inspired design, Purvis becomes an elevated fleece pullover with a wonderful feel, and very functional properties: It breathes well, keeps you warm, and is easy to care for. Featuring a stand-up collar, zippered chest pocket, and hand warmer pockets above the longer curved hems. The half-zip lets you easily adjust your heat levels during activities. Wear it over a T-shirt in mild weather, over sweaters when it becomes colder, and during winter it's a perfect mid-layer beneath a coat.
 Details:
 - 100% Casentino wool
 - Woven by T.A.C.S., Italy
 - Zippered chest pocket, and handwarmer pockets
 - Piped seams
 - Elastic tightener at back of neck
 - Stitched with polycore cotton thread
 - Zippers made by YKK, Portugal
 - Made at Texgoios in Portugal</t>
  </si>
  <si>
    <t>Introducing Purvis, designed for layering, ideal for sporty pursuits in the wilderness or with city attire. Perfect for combining sportier elements with our collections.</t>
  </si>
  <si>
    <t>shea-japan-black-ikat</t>
  </si>
  <si>
    <t>Keen Japan Black Ikat</t>
  </si>
  <si>
    <t>Made in Portugal.
 Introducing our maxi-fit shirt, Keen. Made in an incredible 100% linen ikat fabric made by the artisanal mill Hokkoh in Japan. Ikat is a resist dye technique originating in Indonesia, where the individual yarns are dyed in the desired pattern before weaving. This is done by tightly wrapping the yarns, so that only the unwrapped areas are dyed. After lining up all the yarns and weaving the fabric, the resulting pattern emerges with the signature fuzzy outlines thanks to the hand made nature of this technique.
 Made in our maxi-fit long sleeve shirt, Keen. Designed with a generous straight cut and intended for normal layering. Featuring a french placket for a clean look finished with natural Mother of Pearl buttons.
 The garment features:
 - 100% linen
 - Ikat dyed and woven by Hokkoh in Japan
 - Mother of Pearl buttons made by Louropel in Italy
 - Stitched with poly core cotton thread
 - Made at Stork in Portugal</t>
  </si>
  <si>
    <t>Made in an incredible fabric by the artisanal mill in Japan. Ikat is a dye technique where yarns are dyed before weaving. This hand made nature results in a signature pattern.</t>
  </si>
  <si>
    <t>keen-raw-japan-black-noil-silk, keen-raw-nut-checked-loose, keen-raw-shadow-check, keen-grisaille-noil-silk, keen-string-noil-silk, keen-silver-fox</t>
  </si>
  <si>
    <t>connely-navy-moleskin-1</t>
  </si>
  <si>
    <t>Connely Navy Moleskin</t>
  </si>
  <si>
    <t>Our regular straight shirt, Connely, made in beautiful, super soft moleskin cloth by the renowned Italian mill Pontoglio 1883.</t>
  </si>
  <si>
    <t>connely-silver-moleskin, connely-black-check-loose, connely-brown-grunge-check</t>
  </si>
  <si>
    <t>connely-black-check-loose</t>
  </si>
  <si>
    <t>Connely Black Check Loose</t>
  </si>
  <si>
    <t>Made in Portugal.
 Our regular straight shirt, Connely. Made with a loosely woven cotton fabric developed by Livid and woven at Somelos in Portugal. This particular fabric has an amazing hand feel and texture, and its super lightweight, breezy feel has made this fabric a true customer favourite!
 Featuring a clean collar, a centre front closure with natural mother of pearl buttons, long sleeves ending in button cuffs, a clean chest pocket and folded pleats on back yoke for increased mobility.
 Details:
 - Loose weave fabric, 100% cotton
 - Woven at Somelos in Portugal, Exclusively for Livid
 - Mother of Pearl buttons by Louropel in Portugal
 - Stitched with poly core cotton thread
 - Made at Stork in Portugal</t>
  </si>
  <si>
    <t>Our regular shirt Connely, made in our custom developed open weave fabric featuring a subtle black check.</t>
  </si>
  <si>
    <t>connely-brown-grunge-check, connely-navy-moleskin-1, connely-silver-moleskin</t>
  </si>
  <si>
    <t>dunn-black-tech, len-white-croco</t>
  </si>
  <si>
    <t>henrey-celeste-office-stripe-poplin</t>
  </si>
  <si>
    <t>Henrey Celeste Office Stripe Poplin</t>
  </si>
  <si>
    <t>Made in Portugal.
 Henrey is our relaxed, but classic Oxford shirt. With a bigger silhouette, but in no way oversized. Henrey fits precisely in the shoulders, with a generous fit in the body and longer, curved hems. Featuring a wider collar, with a pronounced button-down collar roll, and a chest pocket.
 The result is a shirt with a relaxed volume, that is versatile and fits a wide array of body shapes. A modern take on what made the old Oxford shirts from the 70s and 80s so great.
 Made in a crisp cotton poplin woven by Somelos in Portugal exclusively for Livid. This particular poplin exudes a vibrancy, due to the subtle fact that the celeste yarn used for the background colour is spun as a blue/white marl.
 Details
 - 100% cotton poplin
 - Woven by Somelos in Portugal exclusively for Livid
 - Mother of Pearl buttons from Louropel, Portugal
 - Stitched with poly core cotton thread
 - Cut &amp; Sewn by Stork, Portugal</t>
  </si>
  <si>
    <t>Henrey is a classic Oxford shirt with a relaxed silhouette, not oversized, fitting precisely in the shoulders, a generous body fit, and longer curved hems.</t>
  </si>
  <si>
    <t>henrey-japan-indigo-dusk, henrey-pure-linen-check</t>
  </si>
  <si>
    <t>keen-silver-fox</t>
  </si>
  <si>
    <t>Keen Silver Fox</t>
  </si>
  <si>
    <t>Made in Portugal
 Our trucker jacket Moore, made in a 13 Oz indigo rope-dyed denim woven at the renowned Japanese mill, Kuroki. Washed to our structural mid-blue wash Dawn. Pair with our Barnes, Kai, Emerson or Keri Japan Dawn jeans for a double denim set.
 The Moore is a regular fit jacket, designed for normal layering. Featuring a centre front closure with custom silver YKK two-prong tack donut buttons, a single square chest patch pocket, two large interior pockets and long sleeves ending in button cuffs.
 The garment features:
 - Mid-blue washed rope-dyed indigo denim
 - 13 Oz wideloom denim from Kuroki, Japan
 - 100% Sanforized cotton
 - Warp dyed in indigo, natural coloured weft
 - Custom silver two-prongtack donut buttons made by YKK in Portugal
 - Stitched with durable poly core cotton thread
 - Made at Lisama, Portugal</t>
  </si>
  <si>
    <t>Our trucker jacket Moore, made in indigo rope-dyed denim from Kuroki. Washed to a mid-blue, pair with our jeans for a set.</t>
  </si>
  <si>
    <t>keen-raw-japan-black-noil-silk, keen-raw-nut-checked-loose, keen-raw-shadow-check, keen-grisaille-noil-silk, keen-string-noil-silk, shea-japan-black-ikat</t>
  </si>
  <si>
    <t>shea-florian-blue-loose</t>
  </si>
  <si>
    <t>Shea Florian Blue Loose</t>
  </si>
  <si>
    <t>Made in Portugal.
 Our maxi-fit shirt, Shea. Made with a loosely woven cotton fabric developed by us and woven at Somelos in Portugal. This particular fabric has an amazing hand feel and texture, and a super lightweight breezy feel.
 Made in our maxi-fit long sleeve shirt, Shea. Designed with a generous straight cut and intended for normal layering. Featuring a notch collar with a looped top button and centre front closure with natural Mother of Pearl buttons.
 The garment features:
 - Loose plain weave fabric, 100% cotton
 - Woven at Somelos in Portugal
 - Mother of Pearl buttons by Louropel in Portugal
 - Stitched with poly core cotton thread
 - Made at Stork in Portugal</t>
  </si>
  <si>
    <t>Made with a loosely woven cotton fabric. This particular fabric has an amazing feel and texture, super lightweight and breezy.</t>
  </si>
  <si>
    <t>barkle-beige-check</t>
  </si>
  <si>
    <t>barnes-22-5-oz-japan-heavy-selvage</t>
  </si>
  <si>
    <t>Barnes 22.5 Oz Japan Heavy Selvage</t>
  </si>
  <si>
    <t>Made in Portugal
 This season's heaviest addition to our denim line: The high-rise wide straight Barnes, made in an incredible 22.5 Oz selvage denim!
 Made in a truly heavyweight denim woven by the renowned denim mill Collect in Japan. Weighing in at 22.5 Oz, the Barnes Heavy Selvage starts off stiff as cardboard, but the cotton yarn used in this denim is actually super soft long-staple cotton. Through the initial break-in period, this denim will soften up and mold to your body.
 The 22.5 Oz Japan Heavy Selvage is made – as all our denim fabrics - with a dyeing technique called rope dye. When rope dyeing denim yarns the white core of the cotton yarn remains untouched during the dyeing process. With friction and wear as the layers and layers of indigo are worn off the surface of the fabric, the un-dyed core of the cotton yarn will eventually appear, slowly leaving beautiful contrast fading to the surface, uniquely patterned to you personally. 
 The thickness of this particular denim lends itself to some truly bold wear patterns as it ages. 
 The Barnes 22.5 Oz Japan Heavy Selvage is launched for FW23 together with the Emerson 18 Oz Japan Dry Selvage and Kai 15.5 Oz Japan Dry Selvage. All heavier selvage qualities, complimenting our core line of 14 Oz selvage jeans. This series of heavier selvage jeans is finished off with a thick vegetable tanned full grain leather patch, with a natural finish. As the jeans age this leather patch will age nicely with it, building patina over time and gradually becoming darker.
 Details &amp; Features
 - 22.5 Oz narrowloom selvage denim from Collect, Japan
 - 100% Sanforized cotton,
 - Warp rope-dyed in indigo, natural coloured weft
 - 8 Oz ecru canvas pocketing
 - Back pockets and coin pocket lined with canvas for increased durability
 - Natural finish vegetable tanned full grain leather patch, made in Italy.
 - YKK two-prongtack, silver button fly
 - YKK silver coloured solid copper washed-burr rivets
 - Stitched with poly core cotton thread
 - Made at Lisama, Portugal
 Go to our fit guide to read more about the Barnes Wide.</t>
  </si>
  <si>
    <t>The heaviest addition to our line: The high-rise wide straight Barnes in an incredible 22.5 Oz selvage denim woven by Collect in Japan.</t>
  </si>
  <si>
    <t>barnes-japan-dawn, barnes-japan-fade, barnes-japan-black, barnes-japan-mole, barnes-japan-forest-fog, barnes-japan-putty, barnes-japan-rinse-selvage, barnes-japan-milk</t>
  </si>
  <si>
    <t>Dahle Charcoal</t>
  </si>
  <si>
    <t>Made in Portugal
 Dahle, our ultralight insulated overshirt. Built for heavy layering, with dropped shoulders and a generous cut.
 Made in an ultralight water-repellant technical fabric made by Olmetex in Italy, and insulated with Primaloft Silver. The Dahle is designed for use throughout the autumn/winter season, transitioning from use as an overshirt or light jacket in early autumn, to an insulating midlayer underneath a coat in the coldest winter.
 Featuring a chest pocket and hand warmer pockets at the hip, closed with Riri snap buttons at the placket and cuffs.
 The garment features:
 - Technical fabric made by Olmetex, Italy
 -100% polyamide fabric
 -Lightweight, breathable and water repellent
 - Insulated with Primaloft Silver
 - Riri snap buttons, made in Switzerland
 - Made at Stork, Portugal</t>
  </si>
  <si>
    <t>Dahle, our ultralight insulated overshirt. Built for heavy layering, with dropped shoulders and a generous cut.</t>
  </si>
  <si>
    <t>tuck-black, desert-trek-dark-grey, plath-stone-merino</t>
  </si>
  <si>
    <t>feedly-vest-black-casentino</t>
  </si>
  <si>
    <t>Feedly Vest Black Casentino</t>
  </si>
  <si>
    <t>keen-grisaille-noil-silk</t>
  </si>
  <si>
    <t>Keen Grisaille Noil Silk</t>
  </si>
  <si>
    <t>Our maxi-fit shirt, Keen, features incredible pure noil silk, displaying an organic texture with elegant drape and movement, woven by the skilled artisanal mill, Kowa, in Japan.</t>
  </si>
  <si>
    <t>keen-string-noil-silk, keen-raw-japan-black-noil-silk, keen-raw-nut-checked-loose, keen-raw-shadow-check, keen-silver-fox, shea-japan-black-ikat</t>
  </si>
  <si>
    <t>Nelson Spice Overdye</t>
  </si>
  <si>
    <t>Made in Portugal
 Our maxi-fit tee Nelson, in a new seasonal colour: Spice Overdye.
 This colourway is cold pigment dyed, a special dying technique resulting in an uneven weathered look, where every shirt is unique.
 Made from a pre-shrunk 220 gsm cotton jersey exclusively made for Livid in Portugal. This particular fabric has been used in our Richmond t-shirts for many years and has become very popular due to its durability and comfortable hand feel. Made in our box fit tee, Nelson. Featuring dropped shoulders, a wider body for a relaxed fit, and a slightly shorter length than our basic tee Richmond. A wardrobe staple piece that works in any occasion regardless of seasonal trends.
 Details &amp; Features
 - 100% cotton
 - 200 gsm pre-shrunk jersey
 - Knitted by Etevimol in Portugal
 - Livid embroidery on chest
 - Fine rib collar 
 - Overlocked shoulder seams
 - Straight cut hem
 - Poly core cotton thread
 - Made at Texgoios in Portugal</t>
  </si>
  <si>
    <t>This colourway is cold pigment dyed, resulting in an uneven weathered look where every shirt is unique.</t>
  </si>
  <si>
    <t>nelson-white, nelson-black, nelson-light-grey, nelson-toasted, nelson-bonnet-overdye, nelson-putty-overdye, nelson-raw-indigo-stripe, nelson-grisaille-overdye</t>
  </si>
  <si>
    <t>Roth Moonlight Overdye</t>
  </si>
  <si>
    <t>Made in Portugal
 Introducing Roth, our heavyweight cropped unisex longsleeve. Cold pigment dyed in our seasonal colour Moonlight, a special dying technique resulting in an uneven weathered look, where every piece is unique.
 Made in a heavier jersey, the same jersey used in our Nelson tees, with a relaxed fit and exposed seams on the outside of the garment. Made in a cropped length with a raw roll-up hem.
 The garment features:
 - 100% organic cotton, GOTS 4.0 certified
 - 200 gsm pre-shrunk jersey
 -Sewn with durable poly-core cotton thread
 - Made at Texgoios in Portugal</t>
  </si>
  <si>
    <t>Introducing Roth, our heavyweight cropped unisex longsleeve. Cold pigment dyed in our seasonal colour Moonlight, a special dying technique resulting in an uneven weathered look, where every piece is unique.</t>
  </si>
  <si>
    <t>roth-white, roth-black, roth-purple-overdye</t>
  </si>
  <si>
    <t>wiley-navy</t>
  </si>
  <si>
    <t>Wiley Navy</t>
  </si>
  <si>
    <t>Made in Portugal
 Wiley, our collared cardigan. Made with slightly dropped shoulders and a relaxed straight fit intended for autumn/winter layering. Finished with mother of pearl buttons.
 Knitted in a super light and fuzzy baby suri alpaca yarn spun by Filitaly-Lab in Italy, that provides warmth with an incredible soft handfeel.
 Details
 - Alpaca mix yarn spun by Filitaly-Lab in Italy
 - 63% baby suri alpaca, 7% extra fine merino, 30% polyamide
 - Real mother of pearl buttons made in Italy by Louropel
 - Knitted by BW Fashion in Portugal</t>
  </si>
  <si>
    <t>wiley-silver, wiley-pond</t>
  </si>
  <si>
    <t>barnes-japan-forest-fog, chambord-noir</t>
  </si>
  <si>
    <t>wiley-silver</t>
  </si>
  <si>
    <t>Wiley Silver</t>
  </si>
  <si>
    <t>wiley-navy, wiley-pond</t>
  </si>
  <si>
    <t>keri-japan-black, jasper-rocks-sky-captain-curry</t>
  </si>
  <si>
    <t>Made in Portugal
 The Burley, our big fit jeans. With a super high rise the Burley is slim at the waistband, curving out to give ample room at the hip, flowing down to a wide leg opening of 29 cm in a size 31. Constructed with a sewn pleat running down each leg, showing off varying shades of grey in the fold.
 The Japan Shadow. Made with a 13 Oz 100% cotton, black wideloom denim woven by the renowned Japanese fabric mill, Kuroki. Washed down to a contrasted greying black.
 Details &amp; Features
 - 13 Oz wideloom denim from Kuroki, Japan
 - 100% Sanforized cotton
 - Warp &amp; Weft sulphur dyed black
 - 8 Oz 5 Oz ecru canvas pocketing
 - Black leather patch w/ wax treatment, Made in Italy.
 - YKK two-prongtack, silver button and zip fly
 - YKK solid copper washed-burr rivets
 - Stitched with durable poly core cotton thread
 - Made at Lisama, Portugal</t>
  </si>
  <si>
    <t>The Burley, our big fit jeans. With a super high rise the Burley is slim at the waistband. Constructed with a sewn pleat running down each leg, showing off varying shades of grey in the fold.</t>
  </si>
  <si>
    <t>dal-black, tarmac-canvas-dune-ginger</t>
  </si>
  <si>
    <t>dunn-toast-overdye</t>
  </si>
  <si>
    <t>Dunn Toast Overdye</t>
  </si>
  <si>
    <t>Made in Portugal 
 Our Dunn cap, in a seasonal colour: Toast. This colourway is cold pigment dyed, a special dying technique resulting in an uneven weathered look, where every cap is unique.
 Made in a light cotton twill, woven by Somelos in Portugal. A great product to finish off any outfit, whether it's spring, summer, autumn or winter!
 Featuring 6 panels with stitched eyelets on each panel, a broad brim with structural stitching, and an embroided L at the front.
 Details
 - 100% cotton
 - Fabric made by Somelos in Portugal
 - Sewn by Belcinto in Portugal</t>
  </si>
  <si>
    <t>Our Dunn cap, in a seasonal colour: Toast. This colourway is cold pigment dyed, a special dying technique resulting in an uneven weathered look, where every cap is unique.</t>
  </si>
  <si>
    <t>dunn-black, dunn-black-tech, dunn-dawn, dunn-dove-tech, dunn-dusty-off-white-corduroy, dunn-navy, dunn-overdye-green, dunn-overdye-grisaille-1, dunn-sand-overdye, dunn-toast-overdye, dunn-shadow, dunn-japan-optic</t>
  </si>
  <si>
    <t>hume-black-leather</t>
  </si>
  <si>
    <t>Hume Black Leather</t>
  </si>
  <si>
    <t>Hume, our black leather jacket, made in a wonderfully supple leather.</t>
  </si>
  <si>
    <t>Fealy Dark Brown Corduroy</t>
  </si>
  <si>
    <t>Made in Portugal
 Introducing Fealy, a new addition to our trouser range, with mountaineering details. 
 Made in a heavy 8 whale corduroy woven by the renowned Brisbane Moss in the UK, featuring a single large bellowed pocket at the thigh, and a loop for your small climbing brush at the hip. Equally at home at the crag as in the city.
 The Fealy sits high and fitted at the waist and hip, similar to our Barnes fit, but slightly wider through the leg. Giving a wide, but not baggy, silhouette.
 Details &amp; Features:
 - 100% cotton 8 wale corduroy 
 - Woven by Brisbane Moss in the UK
 - 100% cotton waistband lining woven by Canddiani in Italy
 - 8 Oz ecru canvas pocketing
 - RiRi silve zipper
 - RiRi silver pressbutton at waist
 - Large bellow pocket at thigh
 - Brush holder loop at hip
 - Stitched with durable poly core cotton thread
 - Made at Lisama, Portugal</t>
  </si>
  <si>
    <t>Fealy, our wide straight corduroy trouser.</t>
  </si>
  <si>
    <t>hugo-milk</t>
  </si>
  <si>
    <t>Hugo Milk</t>
  </si>
  <si>
    <t>Made in China 
 Made in a soft and warm mohair blend, the Hugo sweater is knitted with a pixelated figure at chest and sleeve. 
 Designed with dropped shoulders, a straight boxy fit, with a clean hem that hangs straight, with splits at the sides. 
 Details
 - 47% Wool, 20% Mohair, 33% Polyamide
 - Merino wool yarn spun by QCYarn
 - Warm, breathable and soft
 - Knitted by Springair in China</t>
  </si>
  <si>
    <t>Hugo mohair sweater.</t>
  </si>
  <si>
    <t>Lefty Red Check</t>
  </si>
  <si>
    <t>Made in Portugal
 Designed with slightly wide shoulders, a straight fit and straight cut hem that ends perfectly at the hips. Lefty can be layered as an overshirt, or worn as a hefty shirt on its own.
 Made in a highly textured waffle weave fabric woven by Somelos in Portugal exclusively for Livid. The weave gives this fabric a noticable thickness, while still keeping light. A great layering piece across seasons.
 The garment features: 
 - 100% cotton waffle weave
 - Woven by Somelos in Portugal exclusively for Livid
 - Mother of Pearl buttons made by Louropel in Italy
 - Stitched with durable poly-core cotton thread
 - Made at Stork in Portugal</t>
  </si>
  <si>
    <t>lefty-mud-moleskin, lefty-forest-moleskin</t>
  </si>
  <si>
    <t>Riley Grey</t>
  </si>
  <si>
    <t>Made in China 
 From our All Seasons line comes our lightweight merino turtleneck Tuck. Made from a beautiful lightweight 100% extra fine merino wool, spun by the renowned European wool spinner Biella Yarn.
 Tuck was developed to be the perfect basic turtleneck. Refined to be worn with tailoring, but durable enough to be worn every day. With a classic fit perfect for layering, and a luxurious soft handfeel. Featuring a roll-neck that keeps your entire neck warm without bunching. The super soft merino quality from Biella allows you to wear it directly on your skin without any itching, and the light weight makes it equally ideal as a baselayer or as a light jumper.
 Details
 - 100% extra fine merino wool
 - Merino wool yarn spun in Europe by Biella Yarn
 - Soft, elastic and super resistant.
 - Knitted by Springair in China</t>
  </si>
  <si>
    <t>keller-chestnut-overdye-copy</t>
  </si>
  <si>
    <t>Keller Chestnut Overdye [x]</t>
  </si>
  <si>
    <t>Livid Skredder</t>
  </si>
  <si>
    <t>Skredder</t>
  </si>
  <si>
    <t>hemming</t>
  </si>
  <si>
    <t>Hemming Service</t>
  </si>
  <si>
    <t>Hemming service for jeans. Add one item per jeans. Hemming service is by agreement with support only.</t>
  </si>
  <si>
    <t>Aiden Black Ox</t>
  </si>
  <si>
    <t>Made in Portugal
 A super oversized Oxford shirt, featuring authentic Oxford details such as the wider collar with a pronounced button-down collar roll, a chest pocket, and the hangar loop on the back yoke. The fit however is big: Very dropped shoulders, very wide body and long curved hems. The wider sleeves gather nicely at the cuffs.
 Made in a solid heavy oxford cloth, woven by Somelos i Portugal exclusively for Livid.
 Details
 - Plain weave oxford fabric, 100% cotton.
 - Woven by Somelos in Portugal exclusively for Livid
 - Mother of Pearl buttons from Louropel, Portugal
 - Hanger loop on back yoke
 - Garment dyed
 - Stitched with poly core cotton thread
 - Cut &amp; Sewn by Stork, Portugal
 Designed to be unisex, the sleeve lengths have a greater jump between sizes S and M. XS and S fit most women and shorter men, M and L fit most men and taller women.</t>
  </si>
  <si>
    <t>aiden-white-ox, aiden-blue-check-pop, aiden-brown-stripe-pop, aiden-grey-oxford</t>
  </si>
  <si>
    <t>Aiden Blue Check Pop</t>
  </si>
  <si>
    <t>Made in Portugal
 Aiden, our unisex big shirt. A super oversized shirt, featuring very dropped shoulders, very wide body and long curved hems. The wider sleeves gather nicely at the cuffs.
 Made in a custom poplin fabric designed by Livid and woven by Somelos in Portugal, featuring a fine blue check pattern. 
 Details
 - Textured poplin fabric, 100% cotton
 - Woven by Somelos in Portugal exclusively for Livid
 - Mother of Pearl buttons from Louropel, Portugal
 - Hanger loop on back yoke
 - Stitched with poly core cotton thread
 - Cut &amp; Sewn by Stork, Portugal
 Designed to be unisex, the sleeve lengths have a greater jump between sizes S and M. XS and S fit most women and shorter men, M and L fit most men and taller women.</t>
  </si>
  <si>
    <t>aiden-brown-stripe-pop, aiden-white-ox, aiden-blue-check-pop, aiden-grey-oxford</t>
  </si>
  <si>
    <t>Aiden Brown Stripe Pop</t>
  </si>
  <si>
    <t>Made in Portugal
 Aiden, our unisex big shirt. A super oversized shirt, featuring very dropped shoulders, very wide body and long curved hems. The wider sleeves gather nicely at the cuffs.
 Made in a crisp poplin fabric designed by Livid and woven by Somelos in Portugal. This particular poplin exudes a vibrancy, due to the subtle fact that the tan yarn used for the background colour is spun as a tan/white marl.
 Details
 - Textured poplin fabric, 100% cotton
 - Woven by Somelos in Portugal exclusively for Livid
 - Mother of Pearl buttons from Louropel, Portugal
 - Hanger loop on back yoke
 - Stitched with poly core cotton thread
 - Cut &amp; Sewn by Stork, Portugal
 Designed to be unisex, the sleeve lengths have a greater jump between sizes S and M. XS and S fit most women and shorter men, M and L fit most men and taller women.</t>
  </si>
  <si>
    <t>aiden-blue-check-pop, aiden-white-ox, aiden-blue-check-pop, aiden-grey-oxford</t>
  </si>
  <si>
    <t>Made in Portugal
 A super oversized Oxford shirt, featuring authentic Oxford details such as the wider collar with a pronounced button-down collar roll, a chest pocket, and the hangar loop on the back yoke. The fit however is big: Very dropped shoulders, very wide body and long curved hems. The wider sleeves gather nicely at the cuffs.
 Made in a solid heavy oxford cloth, woven by Somelos i Portugal exclusively for Livid.
 Details
 - Plain weave oxford fabric, 100% cotton.
 - Woven by Somelos in Portugal exclusively for Livid
 - Mother of Pearl buttons from Louropel, Portugal
 - Hanger loop on back yoke
 - Stitched with poly core cotton thread
 - Cut &amp; Sewn by Stork, Portugal
 Designed to be unisex, the sleeve lengths have a greater jump between sizes S and M. XS and S fit most women and shorter men, M and L fit most men and taller women.</t>
  </si>
  <si>
    <t>aiden-blue-check-pop, aiden-blue-check-pop, aiden-brown-stripe-pop, aiden-grey-oxford</t>
  </si>
  <si>
    <t>Made in Portugal
 Full length, featuring a wide collar, and hidden mother of pearl buttons down the front. A wide silhouette that has room for heavy layering, or a full suit, while still feeling relaxed and unconstricting. Inner pocket at the chest, and hand warmer pockets at the hips.
 Made in an incredibly soft, brushed 100% recycled superfine wool fabric made by Manteco in Tuscany, Italy, resulting in a hefty, warm but still lightweight coat. Recycled superfine wool fibres are carded and spun with traditional methods, and the fabric is woven with a special construction that allows for the strong brushing process creating the long hair finish. 
 Details:
 - 680 gsm brushed recycled wool fabric spun and woven by Manteco in Italy
 - 100% recycled superfine wool, 17-19 μm
 - Yarns made through the traditional carded spinning process
 - Made without dyeing
 - Mother of pearl buttons made by Louropel in Italy
 - Stitched with durable poly-core cotton thread
 - Cut &amp; sewn by DIA in Portugal
 Designed to fit unisex, the sizes "XS/S" and "M/L" are tuned to traditional women's sleeve lengths, and slightly slimmer at the shoulders. The regular sizes S – XL are traditional men's proportions.</t>
  </si>
  <si>
    <t>Nash Taupe</t>
  </si>
  <si>
    <t>Made in Portugal
 Above the knee in length, with slightly wide shoulders so that you comfortably can wear it over heavy knits or even a suit. A classic silhouette, with a flattering volume. When the wind gets really icy, Nash protects your neck with a shield shaped throat lash.
 Made in an incredibly soft, brushed 100% recycled superfine wool fabric made by Manteco in Tuscany, Italy, resulting in a hefty, warm but still lightweight coat. Recycled superfine wool fibres are carded and spun with traditional methods, and the fabric is woven with a special construction that allows for the strong brushing process creating the long hair finish. 
 Details:
 - 680 gsm brushed recycled wool fabric spun and woven by Manteco in Italy
 - 100% recycled superfine wool, 17-19 μm
 - Yarns made through the traditional carded spinning process
 - Made without dyeing
 - Mother of pearl buttons made by Louropel in Italy
 - Stitched with durable poly-core cotton thread
 - Cut &amp; sewn by DIA in Portugal
 Designed to fit unisex, the sizes "XS/S" and "M/L" are tuned to traditional women's sleeve lengths, and slightly slimmer at the shoulders. The regular sizes S – XL are traditional men's proportions.</t>
  </si>
  <si>
    <t>Made in Portugal
 Made from a 13,8 Oz 100% cotton, dark grey wideloom denim woven by the artisanal Japanese fabric mill, Kowa. Washed down to a rough grey, showing off the wonderful texture of the denim.
 Details &amp; Features
 - 13,8 Oz wideloom denim from Kowa, Japan
 - 100% Sanforized cotton
 - Dark grey warp &amp; natural weft
 - 8 Oz 5 Oz ecru canvas pocketing
 - Vegetable tanned leather patch w/ wax treatment, made in Italy.
 - YKK two-prong, silver button fly
 - YKK solid copper washed-burr rivets
 - Stitched with durable poly-core cotton thread
 - Made at Lisama, Portugal</t>
  </si>
  <si>
    <t>keri-japan-dawn, keri-japan-black, keri-japan-fog, keri-japan-broken</t>
  </si>
  <si>
    <t>Nash Black (old)</t>
  </si>
  <si>
    <t>Above the knee, slightly wide shoulders, comfortably wear over heavy knits or a suit, classic silhouette, flattering volume, protects your neck with a shield shaped throat lash.</t>
  </si>
  <si>
    <t>Top/Pullover</t>
  </si>
  <si>
    <t>bale-chestnut-casentino</t>
  </si>
  <si>
    <t>Bale Chestnut Casentino</t>
  </si>
  <si>
    <t>Made in Portugal
 The Bale pullover, a versatile wool garment. Featuring dropped shoulders and a relaxed body with room to accommodate heavy layering. A hybrid layer that works equally well as an outdoors garment in autumn and spring, as a warming indoor garment or midlayer beneath a coat in colder winter months.
 Made in pure Casentino wool, a luxurious Italian wool quality from the Casentino valley in Tuscany. With a history dating back to the middle ages, Casentino wool is world renowned for its high quality, durability and its neppy surface pile.
 Details:
 - 100% Casentino wool
 - Woven by T.A.C.S. in Italy
 - Piped seams
 - Stitched with durable poly-core cotton thread
 - Made by Yinmao in China</t>
  </si>
  <si>
    <t>Bale, our Casentino pullover.</t>
  </si>
  <si>
    <t>Barkle Beige Check</t>
  </si>
  <si>
    <t>Made in China
 Our midlayer jacket, Barkle, made in a highly brushed wool mix fabric woven by Takisada Nagoya in Japan. 
 Featuring two large pockets, and designed for layering. Wear it as a light jacket in mild weather, and during winter it's a perfect mid-layer beneath a coat.
 Details:
 - Brushed wool mix fabric woven by Takisada Nagoya, Japan
 - 30% Wool, 70% polyester
 - Two-way zipper from YKK
 - Piped seams
 - Stitched with durable poly-core cotton thread
 - Made by Yinmao in China</t>
  </si>
  <si>
    <t>Barkle Black Casentino</t>
  </si>
  <si>
    <t>Made in China
 Made in pure Casentino wool, a luxurious Italian wool quality from the Casentino valley in Tuscany. With a history dating back to the middle ages, Casentino wool is world renowned for its high quality, durability and its neppy surface pile.
 With its sportswear-inspired design, the Barkle becomes an elevated fleece with a wonderful feel, and functional properties: It breathes well, keeps you warm, and is easy to care for. Soft, but at the same time durable and very weather resistent. Featuring two large pockets, and designed for layering. Wear it over a T-shirt in mild weather, over sweaters when it becomes colder, and during winter it's a perfect mid-layer beneath a coat.
 Details:
 - 100% Casentino wool
 - Woven by T.A.C.S. in Italy
 - Two-way zipper from YKK
 - Piped seams
 - Stitched with durable poly-core cotton thread
 - Made by Yinmao in China</t>
  </si>
  <si>
    <t>Barkle, our Casentino midlayer jacket.</t>
  </si>
  <si>
    <t>Made in China
 Made in pure Casentino wool, a luxurious Italian wool quality from the Casentino valley in Tuscany. With a history dating back to the middle ages, Casentino wool is world renowned for its high quality, durability and its neppy surface pile.
 With its sportswear-inspired design, the Feedly vest becomes an elevated fleece vest with a wonderful feel, and functional properties: It breathes well, keeps you warm, and is easy to care for. Soft, but at the same time durable and very weather resistent. Featuring two large pockets, and designed for layering. Wear it over a T-shirt in mild weather, over sweaters when it becomes colder, and during winter it's a perfect mid-layer beneath a coat.
 Details:
 - 100% Casentino wool
 - Woven by T.A.C.S. in Italy
 - Two-way zipper from YKK
 - Piped seams
 - Stitched with durable poly-core cotton thread
 - Made by Yinmao in China</t>
  </si>
  <si>
    <t>Leather</t>
  </si>
  <si>
    <t>Made in Portugal
 Kayden features a high collar and a generous fit allowing for heavy layering. The long sleeves can be worn long, or folded to a cuff. Finished with a full-length two-way metal zipper and hand warmer pockets at the hip. 
 Made in a soft and supple deep black sheep shearling. This particular shearling is lightweight and soft, giving an elegant drape to the coat. 
 Kayden is produced by our longtime partner Octa in Portugal. A small leather workshop with only four employees cutting and sewing the garments.
 Details:
 - Black Sheep Shearling, tanned in Portugal
 - Full-length 2-way zipper, made by YKK in Portugal
 - Hand-warmer pockets at hip
 - Produced by Octa, Portugal
 Designed to be unisex, the size XS/S is tuned in the shoulders and sleeves to fit smaller women's sizes.</t>
  </si>
  <si>
    <t>Made in China
 The single fold Plath beanie strikes the perfect balance as a compact beanie while still providing important coverage for the coldest days.
 Made in a beautiful fuzzy mohair combined with extra fine merino wool. The two pure fiber yarns are dyed in complimentary colours, to acheive a subtle marl.
 Details
 - 50% mohair, 50% extra fine merino wool
 - Mohair yarn spun in China by Topline
 - Merino wool yarn spun in Europe by Biella Yarn
 - Single fold beanie
 - Knitted by Springair in China</t>
  </si>
  <si>
    <t>Made in China
 The single fold Plath beanie strikes the perfect balance as a compact beanie while still providing important coverage for the coldest days.
 Made from a beautiful lightweight 100% extra fine merino wool, spun by the renowned European wool spinner Biella Yarn. Knits made with these yarns stand out due to its extraordinary handfeel, breathability, and the natural brilliance of its colours.
 Details
 - 100% extra fine merino wool
 - Merino wool yarn spun in Europe by Biella Yarn
 - Soft, elastic and super resistant.
 - Single fold beanie
 - Knitted by Springair in China</t>
  </si>
  <si>
    <t>Lola James Harper</t>
  </si>
  <si>
    <t>fun-fair-candle</t>
  </si>
  <si>
    <t>15 The Fun Fair of Les Tuileries Candle</t>
  </si>
  <si>
    <t>Made in France
 Fig Tree / Cotton Candy
 Every summer, there is a fair in Les Tuileries, in Paris where we go to ride the ferris wheel, play games and share cotton candy. Just fun and joy.</t>
  </si>
  <si>
    <t>Every summer in Les Tuileries, Paris, we enjoy the fair's ferris wheel, play games, and share cotton candy - a blend of fun and joy.</t>
  </si>
  <si>
    <t>guitare-shop-candle</t>
  </si>
  <si>
    <t>10 The Guitare Shop on Denmark Street Candle</t>
  </si>
  <si>
    <t>Made in France
 Musk / Cardamome
 In London, we love to go to Denmark Street and check out the music shops there. Great effects and guitars. It is so inspiring. Beautiful instruments and nice people.</t>
  </si>
  <si>
    <t>In London, Denmark Street is a must-visit for music lovers. The shops are filled with great effects, guitars, and beautiful instruments, surrounded by inspiring and nice people.</t>
  </si>
  <si>
    <t>guitare-shop-room-spray</t>
  </si>
  <si>
    <t>10 The Guitare Shop on Denmark Street Room Spray</t>
  </si>
  <si>
    <t>Made in France
 Musk / Cardamome
 In London, we love to go to Denmark Street and check out the music shops there.
 Great effects and guitars. It is so inspiring. Beautiful instruments and nice people.</t>
  </si>
  <si>
    <t>In London, Denmark Street inspires us with its music shops, effects, guitars, and beautiful instruments. The place is filled with nice people.</t>
  </si>
  <si>
    <t>movie-theater-candle</t>
  </si>
  <si>
    <t>12 The Movie Theater Candle in Lancaster</t>
  </si>
  <si>
    <t>Made in France
 Cashmeran / Sandalwood
 Inspired by Lola James Harper's founder, Rami Mekdachi's time living in Lancaster, going to the university movie theater. The Movie Theater Candle's Cashmeran and Sandalwood scent gives off the feeling of red velour, red carpet and old movies.</t>
  </si>
  <si>
    <t>Inspired by Rami Mekdachi's Lancaster university time, attending the movie theater. The Candle's Cashmeran and Sandalwood scent evokes red velour, carpet, and old movies.</t>
  </si>
  <si>
    <t>rainy-days-candle</t>
  </si>
  <si>
    <t>7 Rainy Days in Lake District Candle</t>
  </si>
  <si>
    <t>Made in France
 Myrrh / Labdanum / Ylang
 The Lake District is north of Lancaster, UK, forever green, with a permanent grey sky and huge open fields. The best place to write a novel or songs lyrics.</t>
  </si>
  <si>
    <t>The Lake District, north of Lancaster, UK, forever green with eternal grey skies and vast open fields. Ideal for writing a novel or song lyrics.</t>
  </si>
  <si>
    <t>rue-saint-honore-air-candle</t>
  </si>
  <si>
    <t>213 Rue Saint-Honore Air Candle</t>
  </si>
  <si>
    <t>Made in France
 Legendary Fig Tree
 This is the scent of the mythical concept Store Colette, created and presented at 213 Rue Saint-Honoré. The Scent that started Lola James Harper.</t>
  </si>
  <si>
    <t>The scent of the legendary concept store Colette, created at 213 Rue Saint-Honoré. The beginning of Lola James Harper.</t>
  </si>
  <si>
    <t>rue-saint-honore-air-room-spray</t>
  </si>
  <si>
    <t>213 Rue Saint-Honore Air Room Spray</t>
  </si>
  <si>
    <t>This scent, born at 213 Rue Saint-Honoré for the iconic Colette store, marks the beginning of Lola James Harper.</t>
  </si>
  <si>
    <t>surf-shop-candle</t>
  </si>
  <si>
    <t>14 The Surf Shop of Stephane Candle</t>
  </si>
  <si>
    <t>Made in France
 Tuberose / Monoï
 In San Diego, this surf shop is filled with sea, sun, sand, wood, wax and monoï fragrances.</t>
  </si>
  <si>
    <t>In San Diego, surf shop sea sun sand wood wax monoï fragrances.</t>
  </si>
  <si>
    <t>woody-office-candle</t>
  </si>
  <si>
    <t>16 The Woody Office of Daddy Candle</t>
  </si>
  <si>
    <t>Made in France
 Mahogany wood/ Sandalwood
 Daddy is our old pal. His office is like an ancient library. He loves pencils, paper, notebooks, rubber, tools made of wood. The smell of his office expresses time, patience, and handmade work. A place to create great things.</t>
  </si>
  <si>
    <t>His office, like an ancient library, loves pencils, paper, notebooks, rubber, wooden tools. The smell expresses time, patience, handmade work. A place to create.</t>
  </si>
  <si>
    <t>woody-office-room-spray</t>
  </si>
  <si>
    <t>16 The Woody Office of Daddy Room Spray</t>
  </si>
  <si>
    <t>Daddy loves his office, resembling an ancient library. Adores pencils, paper, notebooks, and tools made of wood. The scent whispers of time, patience, and handmade creations—a space for crafting great things.</t>
  </si>
  <si>
    <t>Miir</t>
  </si>
  <si>
    <t>360-traveler-evergreen</t>
  </si>
  <si>
    <t>360 Traveler - Evergreen</t>
  </si>
  <si>
    <t>Simplify your travel plans and pack the double-wall vacuum insulated MiiR 360 Traveler.
 Its Leakproof 360 Lid couldn’t be easier to use: press the center button, sip or pour from any side, then press again to seal. A subtle indicator line clearly shows its open/close position. Cup holder compatible.
 355 mL capacity.</t>
  </si>
  <si>
    <t>Press the center button to sip or pour from any side, then press again to seal with the leakproof 360 Lid. Its open/close position is clearly indicated.</t>
  </si>
  <si>
    <t>camp-cup-evergreen</t>
  </si>
  <si>
    <t>Livid Camp Cup - Evergreen</t>
  </si>
  <si>
    <t>In a throwback to the campfire mug of past generations, the Miir Camp Cup combines beauty, durability and functionality. Clip it to your backpack and head out to the forrest, or the office!
 Laser engraved with our Livid logo. Double wall vacuum insulation and a splash preventing slide-lid keeps your cold drinks cold and hot drinks hot. 
 355 mL capacity.</t>
  </si>
  <si>
    <t>Clip it to your backpack and head out to the office or the forest! Keeps your hot drinks hot and your cold drinks cold.</t>
  </si>
  <si>
    <t>camp-cup-sandstone</t>
  </si>
  <si>
    <t>Livid Camp Cup - Sandstone</t>
  </si>
  <si>
    <t>Clip it to your backpack and head out to the forest or the office. Double wall vacuum insulation and a splash-preventing slide-lid keeps your cold drinks cold and hot drinks hot.</t>
  </si>
  <si>
    <t>Norda</t>
  </si>
  <si>
    <t>001-regolith-m</t>
  </si>
  <si>
    <t>001 Regolith M</t>
  </si>
  <si>
    <t>Made in China.
 Norda's 001, built with the world's first seamless Bio-Dyneema upper and exclusive Vibram midsole and soleplate. The 001 is engineered with the lightest and strongest materials for mindless comfort on mindful pursuits. Designed to prove that true sustainability is found in durability.
 The 001 Regolith features a hand painted speckled midsole, where every pair is unique.
 Details:
 - Upper woven with bio-based Dyneema for the highest performance, abrasion resistance and the lightest footprint
 - Norda x Vibram exclusive design Formation sole with Litebase and Megagrip Rubber, 5mm lugs
 - Norda x Vibram SLE midsole cushioning
 - Norda Lock System - Ultra light and comfortable sock, gusset construction for the ultimate fit. The foot is held in place to provide stability as you run through ever changing conditions
 - Front to rear hi-vis reflective for 360° visibility
 - Comes with a lightweight and sturdy shoe bag
 We recommend you take a 1/2 size up from your normal size. Please consult our detailed fit guide.</t>
  </si>
  <si>
    <t>The 001 is engineered with materials for comfort on pursuits, designed for true sustainability in durability.</t>
  </si>
  <si>
    <t>001-cinder-m, 001-stealth-black-m</t>
  </si>
  <si>
    <t>001-stealth-black-m</t>
  </si>
  <si>
    <t>001 Stealth Black M</t>
  </si>
  <si>
    <t>Made in China.
 Norda's 001, built with the world's first seamless Bio-Dyneema upper and exclusive Vibram midsole and soleplate. The 001 is engineered with the lightest and strongest materials for mindless comfort on mindful pursuits. Designed to prove that true sustainability is found in durability.
 Details:
 - Upper woven with bio-based Dyneema for the highest performance, abrasion resistance and the lightest footprint
 - Norda x Vibram exclusive design Formation sole with Litebase and Megagrip Rubber, 5mm lugs
 - Norda x Vibram SLE midsole cushioning
 - Norda Lock System - Ultra light and comfortable sock, gusset construction for the ultimate fit. The foot is held in place to provide stability as you run through ever changing conditions
 - Front to rear hi-vis reflective for 360° visibility
 - Comes with a lightweight and sturdy shoe bag
 We recommend you take a 1/2 size up from your normal size. Please consult our detailed fit guide.</t>
  </si>
  <si>
    <t>Norda 001 is engineered with the lightest and strongest materials for comfort on pursuits. True sustainability is in durability.</t>
  </si>
  <si>
    <t>001-cinder-m, 001-regolith-m</t>
  </si>
  <si>
    <t>001 Stealth Black W</t>
  </si>
  <si>
    <t>Norda's 001, engineered with the world's first seamless upper and exclusive midsole and soleplate, combines lightness and strength for comfort in pursuits. True sustainability is found in durability.</t>
  </si>
  <si>
    <t>002 Alipne White W</t>
  </si>
  <si>
    <t>Made in China.
 Norda's 002, the world’s most responsive trail running shoe for technical terrain.
 Made with seamless Bio-Dyneema upper and exclusive Vibram midsole and soleplate. A lower stack height provides increased ground feel and heightens your connection to the earth. A padded heel collar and pyramidal midsole geometry promotes confident footing in technical environments, allowing you to reach new heights.
 Details:
 - Upper woven with bio-based Dyneema for the highest performance, abrasion resistance and the lightest footprint
 - Norda x Vibram exclusive design Formation sole with Litebase and Megagrip Rubber, 5mm lugs
 - Custom designed eTPU insole for the highest possible energy absorption and return
 - Norda x Vibram SLE midsole cushioning
 - Norda Lock System - Ultra light and comfortable sock, gusset construction for the ultimate fit. The foot is held in place to provide stability as you run through ever changing conditions
 - Front to rear hi-vis reflective for 360° visibility
 - Comes with a lightweight and sturdy shoe bag
 We recommend you take a 1/2 size up from your normal size. Please consult our detailed fit guide.</t>
  </si>
  <si>
    <t>Made with seamless upper and exclusive midsole. A lower stack height for increased ground feel. Padded heel collar and midsole geometry for confident footing in technical environments.</t>
  </si>
  <si>
    <t>002-alpine-white-m</t>
  </si>
  <si>
    <t>002 Alpine White M</t>
  </si>
  <si>
    <t>Made for technical terrain, the Norda 002 enhances your run with a Vibram midsole and soleplate, offering increased ground connection and confidence in rugged environments.</t>
  </si>
  <si>
    <t>002-cinder-m</t>
  </si>
  <si>
    <t>001-cinder-m</t>
  </si>
  <si>
    <t>001 Cinder M</t>
  </si>
  <si>
    <t>The 001 is engineered with materials for comfort on pursuits. True sustainability is found in durability.</t>
  </si>
  <si>
    <t>001-regolith-m, 001-stealth-black-m</t>
  </si>
  <si>
    <t>ys1026-fellcroft-navy-fleck</t>
  </si>
  <si>
    <t>ys1026-fellcroft-maroon-fleck</t>
  </si>
  <si>
    <t>002 Cinder M</t>
  </si>
  <si>
    <t>Responsive trail running shoe for technical terrain. Made with seamless upper, exclusive midsole, and soleplate. Low stack for increased ground feel.</t>
  </si>
  <si>
    <t>ys1026-fellcroft-charcoal-fleck</t>
  </si>
  <si>
    <t>003-cinder-m</t>
  </si>
  <si>
    <t>003 Cinder M</t>
  </si>
  <si>
    <t>Made in China.
 Norda's 003 is a durable, supportive approach shoe designed to transition seamlessly between hiking, scrambling and running.
 This laceless approach shoe with an exclusive and proprietary Vibram midsole and soleplate as its foundation allows for long days on feet with uncompromising traction. A Bio-Dyneema upper with an added elasticized Bio-Dyneema allows for a fit that remains unchanged over time. Between a padded heel collar and reversed heel tab is a pull tab through which the shoes can easily be clipped to a pack.
 The 003 excels on adventures of all conditions and duration. No wrong approach.
 Details:
 - Upper woven with bio-based Dyneema for the highest performance, abrasion resistance and the lightest footprint
 - Added elasticized Bio-Dyneema developed exclusively by norda allows for a laceless fit that remains unchanged over time. 
 - Norda x Vibram exclusive design Formation sole with Litebase and Megagrip Rubber, 5mm lugs
 - Custom designed eTPU insole for the highest possible energy absorption and return
 - Norda x Vibram SLE midsole cushioning
 - Norda Lock System - Ultra light and comfortable sock, gusset construction for the ultimate fit. The foot is held in place to provide stability as you run through ever changing conditions
 - Front to rear hi-vis reflective for 360° visibility
 - Comes with a lightweight and sturdy shoe bag
 We recommend you take a 1/2 size up from your normal size. Please consult our detailed fit guide.</t>
  </si>
  <si>
    <t>This durable shoe transitions seamlessly between hiking, scrambling, and running with an exclusive Vibram midsole and soleplate for uncompromising traction. Ideal for long days on your feet.</t>
  </si>
  <si>
    <t>003-pitch-black-m</t>
  </si>
  <si>
    <t>003 Pitch Black M</t>
  </si>
  <si>
    <t>Approach shoe designed for hiking, scrambling, running. Proprietary Vibram midsole and soleplate for traction. Elasticized upper for lasting fit. Ideal for all-day adventures.</t>
  </si>
  <si>
    <t>ys1038-robin-navy</t>
  </si>
  <si>
    <t>ys1038-robin-charcoal</t>
  </si>
  <si>
    <t>001-m-axolotl</t>
  </si>
  <si>
    <t>001 M Axolotl</t>
  </si>
  <si>
    <t>Norda's 001 in a limited colourway: Axolotl</t>
  </si>
  <si>
    <t>001-cinder-m, 001-stealth-black-m, 001-regolith-m</t>
  </si>
  <si>
    <t>002-m-oak</t>
  </si>
  <si>
    <t>002 M Oak</t>
  </si>
  <si>
    <t>Norda's 002, a responsive trail running shoe for technical terrain.</t>
  </si>
  <si>
    <t>002-cinder-m, 002-alpine-white-m</t>
  </si>
  <si>
    <t>001-w-axolotl</t>
  </si>
  <si>
    <t>001 W Axolotl</t>
  </si>
  <si>
    <t>001-cinder-w, 001-stealth-black-w, 001-regolith-w</t>
  </si>
  <si>
    <t>002-w-oak</t>
  </si>
  <si>
    <t>002 W Oak</t>
  </si>
  <si>
    <t>Norsk Ullsåle</t>
  </si>
  <si>
    <t>Care</t>
  </si>
  <si>
    <t>norsk-ullsale-innmark</t>
  </si>
  <si>
    <t>Norsk Ullsåle - Innmark</t>
  </si>
  <si>
    <t>Made in Norway
 The Innmark sole is a woollen sole that provides comfortable warmth, while being slim enough to fit almost any small shoe, boot or running shoe. A must-have for Scandinavian winters!
 For boots and other roomy shoes, we recommend buying woollen soles one size up compared to your shoe size, and then if necessary trimming them down to a perfect fit with a pair of scissors.</t>
  </si>
  <si>
    <t>The Innmark sole provides warmth, fitting almost any shoe, boot, or runner. Ideal for cold climates, these soles, slim for comfort, are a winter necessity.</t>
  </si>
  <si>
    <t>norsk-ullsale-utmark</t>
  </si>
  <si>
    <t>Norsk Ullsåle - Utmark</t>
  </si>
  <si>
    <t>Made in Norway
 The Utmark sole is a woollen sole that provides comfortable warmth, with extra thickness for the coldest winter conditions. A must-have for Scandinavian winters!
 For boots and other roomy shoes, we recommend buying woollen soles one size up compared to your shoe size, and then if necessary trimming them down to a perfect fit with a pair of scissors.</t>
  </si>
  <si>
    <t>The Utmark woollen sole provides warmth with extra thickness for cold conditions. Ideal for Scandinavian winters, these soles are perfect for boots and roomy shoes.</t>
  </si>
  <si>
    <t>Novesta</t>
  </si>
  <si>
    <t>star-master-all-black</t>
  </si>
  <si>
    <t>Star Master All Black</t>
  </si>
  <si>
    <t>Made in Slovakia.
 The original Star Master cotton sneaker from Novesta. Instantly recognisable by its natural rubber sole with clear vulcanisation marks.
 The Star Master was originally made as a military sneaker in the 50's. Made with VFCS certified natural rubber outsoles and midsoles and GOTS certified organic cotton uppers, the Star Master is both durable and comfortable.
 Novesta is one of the few remaining European shoe brands that still have their full production in Europe, in their original factory founded in 1939 in the small Slovakian town of Partizánske.
 Fit Guide:
 Novestas fit larger than many brands, so most customers prefer to size down one size compared to regular shoes. Size down if you are in between sizes. Se our fit guide for insole measurements.</t>
  </si>
  <si>
    <t>The original cotton sneaker, instantly recognisable by its natural rubber sole with clear vulcanisation marks.</t>
  </si>
  <si>
    <t>star-master-white, star-master-beige-transparent, star-master-pink-white</t>
  </si>
  <si>
    <t>star-master-beige-transparent</t>
  </si>
  <si>
    <t>Star Master Beige / Transparent</t>
  </si>
  <si>
    <t>The Star Master is a recognizable sneaker with a natural rubber sole marked by clear vulcanisation.</t>
  </si>
  <si>
    <t>star-master-all-black, star-master-white, star-master-pink-white</t>
  </si>
  <si>
    <t>Star Master White</t>
  </si>
  <si>
    <t>Recognisable by its rubber sole with vulcanisation marks, the Star Master was made as a sneaker. Durable and comfortable with natural rubber outsoles and organic cotton uppers.</t>
  </si>
  <si>
    <t>star-master-all-black, star-master-beige-transparent, star-master-pink-white</t>
  </si>
  <si>
    <t>star-master-pink-white</t>
  </si>
  <si>
    <t>Star Master Pink/White</t>
  </si>
  <si>
    <t>Made in Slovakia.
 The original Star Master cotton sneaker from Novesta. Instantly recognisable by its natural rubber sole with clear vulcanisation marks.
 The Star Master was originally made as a military sneaker in the 50's. Made with VFCS certified natural rubber outsoles and midsoles and GOTS certified organic cotton uppers, the Star Master is both durable and comfortable.
 Novesta is one of the few remaining European shoe brands that still have their full production in Europe, in their original factory founded in 1939 in the small Slovakian town of Partizánske.
 Fit Guide:Novestas fit larger than many brands, so most customers prefer to size down one size compared to regular shoes. Size down if you are in between sizes. Se our fit guide for insole measurements.</t>
  </si>
  <si>
    <t>The Star Master, recognizable by its natural rubber sole with vulcanisation marks, was originally a military sneaker from the 50's.</t>
  </si>
  <si>
    <t>star-master-all-black, star-master-white, star-master-beige-transparent</t>
  </si>
  <si>
    <t>yq1038-robin-sand</t>
  </si>
  <si>
    <t>P.F. Candle</t>
  </si>
  <si>
    <t>no-11-amber-moss-7-2-oz</t>
  </si>
  <si>
    <t>Amber and Moss 7.2 oz Candle</t>
  </si>
  <si>
    <t>Made in USA
 Mossy and clean at the start, this fragrance's base of musk and amber evokes a damp, wooded forest floor layered with soft oakmoss. A hint of lavender and an infusion of sage and orange lend to this scent’s brightness. 
 Top Notes: moss, lavender 
 Heart: sage, orange 
 Base: amber, musk 
 Essential Oils: sage, lavandin, orange</t>
  </si>
  <si>
    <t>A fragrance with a base of musk and amber, evoking a wooded forest floor with soft oakmoss. Infused with brightness from lavender, sage, and orange.</t>
  </si>
  <si>
    <t>p-f-no-11-amber-moss-12-5-oz, no-11-amber-moss-incense, no-11-amber-moss-room-linen-spray, no-11-reed-diffuser-amber-and-moss</t>
  </si>
  <si>
    <t>no-4-teakwood-tobacco-7-2-oz</t>
  </si>
  <si>
    <t>Teakwood and Tobacco 7.2 oz Candle</t>
  </si>
  <si>
    <t>Made in USA
 Bold and complex, this scent starts out musky and a little bit sexy with lead notes of leather, pepper, and tobacco. A base of teak and sandalwood with a hint of orange and patchouli make this best selling fragrance popular with both men and women.
 Top Notes: orange, leather, tobacco, amber, musk 
 Heart: black tea, pepper 
 Base: sandalwood, teak, patchouli 
 Essential Oils: cedarwood, patchouli, black pepper</t>
  </si>
  <si>
    <t>Musky and sexy, with lead notes of leather, pepper, and tobacco. A base of teak and sandalwood, hinted with orange and patchouli, makes this fragrance a favorite among men and women.</t>
  </si>
  <si>
    <t>p-f-no-4-teakwood-tobacco-12-5-oz, no-4-reed-diffuser-teakwood-and-tobacco, p-f-no-4-teakwood-tobacco-incense, no-04-teakwood-tobacco-room-linen-spray</t>
  </si>
  <si>
    <t>no-11-reed-diffuser-amber-and-moss</t>
  </si>
  <si>
    <t>Amber and Moss Reed Diffuser</t>
  </si>
  <si>
    <t>Made in USA
 Mossy and clean at the start, this fragrance's base of musk and amber evokes a damp, wooded forest floor layered with soft oakmoss. A hint of lavender and an infusion of sage and orange lend to this scent’s brightness.
 Top Notes: moss, lavender 
 Heart: sage, lavandin, orange 
 Base: amber, musk</t>
  </si>
  <si>
    <t>A fragrance with a foundation of musk and amber, evoking a wooded forest floor with oakmoss. Brightened by lavender, sage, and orange.</t>
  </si>
  <si>
    <t>no-11-amber-moss-7-2-oz, p-f-no-11-amber-moss-12-5-oz, no-11-amber-moss-incense, no-11-amber-moss-room-linen-spray</t>
  </si>
  <si>
    <t>no-21-golden-coast-7-2-oz</t>
  </si>
  <si>
    <t>Golden Coast 7.2 oz Candle</t>
  </si>
  <si>
    <t>Made in USA
 Inspired by California's coast – notes of salty sea air, redwood, eucalyptus, and a heart of white lavender. This invigorating scent is infused with essential oils of sage and palo santo.
 Top Notes: eucalyptus, sea salt air, lime
 Heart: white lavender, sage
 Base: redwood, fir, palo santo
 How it's made</t>
  </si>
  <si>
    <t>Inspired by California's coast with notes of redwood, eucalyptus, salty sea air, and white lavender heart. Infused with sage and palo santo essential oils for an invigorating scent.</t>
  </si>
  <si>
    <t>golden-coast-12-5-oz-candle, p-f-candles-no-21-golden-coast-reed-diffuser, golden-coast-room-and-linen-spray</t>
  </si>
  <si>
    <t>p-f-candle-no-5-spruce-7-2-oz</t>
  </si>
  <si>
    <t>Spruce 7.2 Oz Candle</t>
  </si>
  <si>
    <t>Made in USA
 A perfect winter scent! Infused with pine and cedarwood essential oils, it gives you the feeling of being out in the snow covered woods. P.F.'s Spruce isn't you're plain pine scent, however. Its top notes of citrus freshens it up, and makes it interesting.
 Top Notes: citrus
 Heart: blue spruce, snow powder
 Base: cedarwood</t>
  </si>
  <si>
    <t>Infused with pine and cedarwood essential oils, it brings the feeling of snow-covered woods. P.F.'s Spruce freshens up with top notes of citrus, making it an interesting scent.</t>
  </si>
  <si>
    <t>p-f-candle-no-29-pinon-reed-diffuser</t>
  </si>
  <si>
    <t>Pinon Reed Diffuser</t>
  </si>
  <si>
    <t>Made in USA
 Inspired by the US Southwest. Capturing notes of pine and earthy notes of balsam and spicy black pepper; while light vanilla and smoky cedarwood add warmth to achieve a cultivated but intimate final product.
 Top Notes: Pine, Balsam Fir
 Mid Notes: Amber &amp; Black Pepper
 Base Notes: Vanilla, Cedarwood, Cinnamon</t>
  </si>
  <si>
    <t>Capturing notes of pine, earthy balsam, and spicy black pepper, with light vanilla and smoky cedarwood adding warmth for a cultivated, intimate scent.</t>
  </si>
  <si>
    <t>p-f-no-4-teakwood-tobacco-incense</t>
  </si>
  <si>
    <t>Teakwood and Tobacco Incense</t>
  </si>
  <si>
    <t>Made in USA
 P.F. Candle Co's best selling scent now also available as incense.
 Bold and complex, this scent starts out musky and a little bit sexy with lead notes of leather, pepper, and tobacco. A base of teak and sandalwood with a hint of orange and patchouli make this best selling fragrance popular with both men and women.
 Top Notes: orange, leather, tobacco, amber, musk
 Heart: black tea, pepper 
 Base: sandalwood, teak, patchouli 
 Essential Oils: cedarwood, patchouli, black pepper</t>
  </si>
  <si>
    <t>Bold and complex, musky with notes of leather, pepper, tobacco. Teak and sandalwood base, hints of orange and patchouli, popular among men and women.</t>
  </si>
  <si>
    <t>no-4-teakwood-tobacco-7-2-oz, p-f-no-4-teakwood-tobacco-12-5-oz, no-4-reed-diffuser-teakwood-and-tobacco, no-04-teakwood-tobacco-room-linen-spray</t>
  </si>
  <si>
    <t>no-04-teakwood-tobacco-room-linen-spray</t>
  </si>
  <si>
    <t>Teakwood and Tobacco Room and Linen Spray</t>
  </si>
  <si>
    <t>Made in USA
 P.F. Candle Co.'s new Room and Linen Spray freshens up your room, and is mild enough to also be used on bed linens for a little everyday luxury.
 Bold and complex, this scent starts out musky and a little bit sexy with lead notes of leather, pepper, and tobacco. A base of teak and sandalwood with a hint of orange and patchouli make this best selling fragrance popular with both men and women.
 Top Notes: orange, leather, tobacco, amber, musk
 Heart: black tea, pepper 
 Base: sandalwood, teak, patchouli 
 Essential Oils: cedarwood, patchouli, black pepper</t>
  </si>
  <si>
    <t>Freshen up your room or spritz on linens for everyday luxury. This new Room and Linen Spray invigorates spaces with a mild, carefully crafted scent.</t>
  </si>
  <si>
    <t>no-4-teakwood-tobacco-7-2-oz, p-f-no-4-teakwood-tobacco-12-5-oz, no-4-reed-diffuser-teakwood-and-tobacco, p-f-no-4-teakwood-tobacco-incense</t>
  </si>
  <si>
    <t>no-11-amber-moss-incense</t>
  </si>
  <si>
    <t>Amber and Moss Incense</t>
  </si>
  <si>
    <t>Made in USA
 Mossy and clean at the start, this fragrance's base of musk and amber evokes a damp, wooded forest floor layered with soft oakmoss. A hint of lavender and an infusion of sage and orange lend to this scent’s brightness. 
 Top Notes: moss, lavender
 Heart: sage, orange
 Base: amber, musk
 Essential Oils: sage, lavandin, orange</t>
  </si>
  <si>
    <t>Mossy and clean with a base of musk and amber, evoking a damp, wooded forest floor layered with soft oakmoss, brightened with hints of lavender, sage, and orange.</t>
  </si>
  <si>
    <t>no-11-amber-moss-7-2-oz, p-f-no-11-amber-moss-12-5-oz, no-11-amber-moss-room-linen-spray, no-11-reed-diffuser-amber-and-moss</t>
  </si>
  <si>
    <t>no-11-amber-moss-room-linen-spray</t>
  </si>
  <si>
    <t>Amber and Moss Room and Linen Spray</t>
  </si>
  <si>
    <t>Made in USA
 P.F. Candle Co.'s new Room and Linen Spray freshens up your room, and is mild enough to also be used on bed linens for a little everyday luxury.
 Mossy and clean at the start, this fragrance's base of musk and amber evokes a damp, wooded forest floor layered with soft oakmoss. A hint of lavender and an infusion of sage and orange lend to this scent’s brightness. 
 Top Notes: moss, lavender
 Heart: sage, orange
 Base: amber, musk
 Essential Oils: sage, lavandin, orange</t>
  </si>
  <si>
    <t>Freshen up your space or linens for everyday luxury. A mild spray with the essence of a damp, wooded forest, musk, amber, oakmoss, lavender, sage, and orange for brightness.</t>
  </si>
  <si>
    <t>no-11-amber-moss-7-2-oz, p-f-no-11-amber-moss-12-5-oz, no-11-amber-moss-incense, no-11-reed-diffuser-amber-and-moss</t>
  </si>
  <si>
    <t>no-4-reed-diffuser-teakwood-and-tobacco</t>
  </si>
  <si>
    <t>Teakwood and Tobacco Reed Diffuser</t>
  </si>
  <si>
    <t>Made in USA
 Bold and complex, this scent starts out musky and a little bit sexy with lead notes of leather, pepper, and tobacco. A base of teak and sandalwood with a hint of orange and patchouli make this best selling fragrance popular with both men and women.
 Top Notes: orange, leather, tobacco, amber, musk
 Heart: black tea, pepper 
 Base: sandalwood, teak, patchouli 
 Essential Oils: cedarwood, patchouli, black pepper</t>
  </si>
  <si>
    <t>Musky and sexy, with notes of leather, pepper, and tobacco. Teak and sandalwood base, hints of orange and patchouli. Appeals to both men and women.</t>
  </si>
  <si>
    <t>no-4-teakwood-tobacco-7-2-oz, p-f-no-4-teakwood-tobacco-12-5-oz, p-f-no-4-teakwood-tobacco-incense, no-04-teakwood-tobacco-room-linen-spray</t>
  </si>
  <si>
    <t>p-f-candles-no-10-sweet-grapefruit-7-2-oz</t>
  </si>
  <si>
    <t>Sweet Grapefruit 7.2 oz Candle</t>
  </si>
  <si>
    <t>Made in USA
 P.F. Candle Co.'s Sweet Grapefruit is bright, fresh and one of P.F.'s most popular scents.
 Top Notes: peach, mangosteen, pink grapefruit, lemon zest
 Heart: yuzu petals, orange, mandarin
 Base: musk, teak</t>
  </si>
  <si>
    <t>Sweet Grapefruit by P.F. Candle Co. is a bright, fresh, and popular scent.</t>
  </si>
  <si>
    <t>p-f-candles-no-21-golden-coast-reed-diffuser</t>
  </si>
  <si>
    <t>Golden Coast Reed Diffuser</t>
  </si>
  <si>
    <t>Made in USA
 Inspired by California's coast – notes of salty sea air, redwood, eucalyptus, and a heart of white lavender. This invigorating scent is infused with essential oils of sage and palo santo.
 Top Notes: eucalyptus, sea salt air, lime
 Heart: white lavender, sage
 Base: redwood, fir, palo santo</t>
  </si>
  <si>
    <t>Inspired by California's coast – notes of salty sea air, redwood, eucalyptus, and a heart of white lavender.</t>
  </si>
  <si>
    <t>no-21-golden-coast-7-2-oz, golden-coast-12-5-oz-candle, golden-coast-room-and-linen-spray</t>
  </si>
  <si>
    <t>p-f-candles-no-28-black-fig-7-2-oz</t>
  </si>
  <si>
    <t>Black Fig 7.2 oz Candle</t>
  </si>
  <si>
    <t>Made in USA
 P.F. Candle Co.'s Black Fig candle is decadently laced with the aromas of fresh patchouli and forest moss to evoke memories of freshly baked pies. Evergreen top notes build from a warm, spicy foundation of clove and tobacco to create a scent that'll have you feeling cosy and at home no matter where you are.</t>
  </si>
  <si>
    <t>The Black Fig candle, with evergreen top notes and a foundation of clove and tobacco, evokes memories of pies, blending patchouli and forest moss aromas for a warm scent.</t>
  </si>
  <si>
    <t>p-f-candles-pinon-7-2-oz</t>
  </si>
  <si>
    <t>Pinon 7.2 Oz Candle</t>
  </si>
  <si>
    <t>Made in USA
 Inspired by the US Southwest. Capturing notes of pine, this scented soy candle boasts earthy notes of balsam and spicy black pepper; while light vanilla and smoky cedarwood add warmth to achieve a cultivated but intimate final product.
 Top Notes: Pine, Balsam Fir
 Mid Notes: Amber &amp; Black Pepper
 Base Notes: Vanilla, Cedarwood, Cinnamon</t>
  </si>
  <si>
    <t>Capturing notes of pine, this candle boasts earthy balsam and spicy black pepper. Light vanilla and smoky cedarwood add warmth, achieving a cultivated intimate product.</t>
  </si>
  <si>
    <t>p-f-no-29-pinon-12-5-oz, p-f-candle-no-29-pinon-reed-diffuser</t>
  </si>
  <si>
    <t>p-f-no-11-amber-moss-12-5-oz</t>
  </si>
  <si>
    <t>Amber and Moss 12.5 Oz Candle</t>
  </si>
  <si>
    <t>A damp, wooded forest floor with soft oakmoss, musk, and amber evokes this fragrance's base. A touch of brightness from lavender, sage, and orange.</t>
  </si>
  <si>
    <t>no-11-amber-moss-7-2-oz, no-11-amber-moss-incense, no-11-amber-moss-room-linen-spray, no-11-reed-diffuser-amber-and-moss</t>
  </si>
  <si>
    <t>p-f-no-4-teakwood-tobacco-12-5-oz</t>
  </si>
  <si>
    <t>Teakwood and Tobacco 12.5 Oz Candle</t>
  </si>
  <si>
    <t>Bold and musky with notes of leather, pepper, and tobacco. A base of teak and sandalwood with orange and patchouli makes this fragrance popular with both men and women.</t>
  </si>
  <si>
    <t>no-4-teakwood-tobacco-7-2-oz, no-4-reed-diffuser-teakwood-and-tobacco, p-f-no-4-teakwood-tobacco-incense, no-04-teakwood-tobacco-room-linen-spray</t>
  </si>
  <si>
    <t>p-f-candle-no-22-mojave-7-2-oz</t>
  </si>
  <si>
    <t>Mojave 7.2 Oz Candle</t>
  </si>
  <si>
    <t>Made in USA
 P.F. Candle's Mojve candle transports you to afternoon explorations through high desert landscapes, a much-needed reset under dark starry skies, the magic of a weekend away. Creosote, golden poppy, chaparral, and white musk defines the Mojave scent.
 A limited edition re-release of an old favourite from P.F. Candle's archives.
 Top notes: Creosote, Dry Desert Air, Chaparral, Desert Sage
 Middle notes: Golden Poppy, Rose, White Lavender
 Base notes: Cedarwood, White Musk, Sandalwood</t>
  </si>
  <si>
    <t>Mojave candle for a reset under dark starry skies. A weekend away with the magic of high desert landscapes. Experience creosote, golden poppy, chaparral, and white musk.</t>
  </si>
  <si>
    <t>no-30-irish-whiskey-diffuser</t>
  </si>
  <si>
    <t>No. 30 Irish Whiskey Diffuser</t>
  </si>
  <si>
    <t>001-cinder-m, burley-japan-shadow</t>
  </si>
  <si>
    <t>canyon-hideaway-7-2-oz-candle</t>
  </si>
  <si>
    <t>Canyon Hideaway 7.2 Oz Candle</t>
  </si>
  <si>
    <t>Made in USA
 Canyon Hideaway from P.F. Candle. Winding drives with the windows down, bohemian cabins tucked amongst California oaks, the aroma of sun-baked earth and chaparral. Woody, smoky, warm, and resinous.
 Smoked juniper, leather, ginger root, and clove leaf.</t>
  </si>
  <si>
    <t>California oaks, sun-baked earth, chaparral aroma. Woody, smoky, warm, resinous.</t>
  </si>
  <si>
    <t>002-alpine-white-m, hayes-black, plath-grisaille-mohair-mix</t>
  </si>
  <si>
    <t>electric-surf-7-2-oz-candle</t>
  </si>
  <si>
    <t>Electric Surf 7.2 Oz Candle</t>
  </si>
  <si>
    <t>Made in USA
 Electric Surf from P.F. Candle. The moon’s reflection on crashing waves, balmy evenings on the beach, a crackling bonfire, the scent of jasmine dancing in the air. Ozonic, marine, fresh, and smoky.
 Crashing waves, coastal jasmine, beach bonfires, and patchouli.</t>
  </si>
  <si>
    <t>Crashing waves, coastal jasmine, beach bonfires, and patchouli. Fresh, marine, and smoky scents blend, recalling balmy evenings, the moon's reflection, and jasmine dancing in the air.</t>
  </si>
  <si>
    <t>ojai-lavender-7-2-oz-candle</t>
  </si>
  <si>
    <t>Ojai Lavender 7.2 Oz Candle</t>
  </si>
  <si>
    <t>Made in USA
 The Ojai Lavender candle from P.F. Candle Co. invokes a calming vortex surrounded by sun-drenched fields, orange groves and lavender farms, jagged mountains washed in a rosy, sunset glow. Aromatic, herbal, citrus. Pixie tangerine, blue lavender, coyote mint. A distinctly Californian lavender tinted scent.
 Top notes of Bergamot, Orange and Eucalyptus. A floral middle with rose, lily and lavender. Base notes from mint and red cedar.</t>
  </si>
  <si>
    <t>Aromatic, herbal, citrus. Tangerine, lavender, mint. A Californian lavender tinted scent evoking sun-drenched fields and jagged mountains in a rosy sunset glow.</t>
  </si>
  <si>
    <t>ojai-lavender-inscense, ojai-lavender-reed-diffuser</t>
  </si>
  <si>
    <t>wild-herb-tonic-7-2-oz-candle</t>
  </si>
  <si>
    <t>Wild Herb Tonic 7.2 Oz Candle</t>
  </si>
  <si>
    <t>Made in USA
 P.F. Candle Co.'s new scent Wild Herb Tonic invokes barefoot walks through wild herb gardens, cool mountain stream baths, crisp morning air. Aromatic, camphorous, earthy. Lemon balm, crushed thyme, orange rind, and fir.
 Top notes of lemon balm, orange rind and Canadian fir needlles. A green middle of eucalyptus, clove leaf and crushed thyme. Base notes of lavender, guaiac wood and patchouli.</t>
  </si>
  <si>
    <t>Aromatic, earthy. Lemon balm, thyme, orange rind, fir. Invokes walks through wild herb gardens, cool mountain stream baths, crisp morning air.</t>
  </si>
  <si>
    <t>wild-herb-tonic-reed-diffuser</t>
  </si>
  <si>
    <t>frankincense-oud-7-2-oz-candle</t>
  </si>
  <si>
    <t>Frankincense &amp; Oud 7.2 Oz Candle</t>
  </si>
  <si>
    <t>Made in USA
 P.F. Candle's limited seasonal winter scents are here!
 Frankincense &amp; Oud combines bright top notes with dry and earthy undertones. Frankincense and Oud is blended with fresh notes of desert resins, juniper, bergamot and musk.</t>
  </si>
  <si>
    <t>Frankincense &amp; Oud blends bright notes with earthy undertones. Featuring desert resins, juniper, bergamot, and musk for a fresh, unique scent.</t>
  </si>
  <si>
    <t>golden-coast-12-5-oz-candle</t>
  </si>
  <si>
    <t>Golden Coast 12.5 Oz Candle</t>
  </si>
  <si>
    <t>Inspired by California's coast – notes of salty sea air, redwood, and eucalyptus. Infused with essential oils of sage and palo santo for an invigorating scent.</t>
  </si>
  <si>
    <t>no-21-golden-coast-7-2-oz, p-f-candles-no-21-golden-coast-reed-diffuser, golden-coast-room-and-linen-spray</t>
  </si>
  <si>
    <t>nelson-black, keri-japan-dawn-1, jasper-silver-mink</t>
  </si>
  <si>
    <t>oak-black-nappa, keri-japan-broken, veley-lis-noir</t>
  </si>
  <si>
    <t>golden-coast-room-and-linen-spray</t>
  </si>
  <si>
    <t>Golden Coast Room and Linen Spray</t>
  </si>
  <si>
    <t>Made in USA
 P.F. Candle Co.'s Room and Linen Spray freshens up your room, and is mild enough to also be used on bed linens for a little everyday luxury. Perfect to use in combination with the Golden Coast candles where the spray gives immediate scent, and the candles keeps it going, for a perfectly scented atmosphere.
 Inspired by California's coast – notes of salty sea air, redwood, eucalyptus, and a heart of white lavender. This invigorating scent is infused with essential oils of sage and palo santo.
 Top Notes: eucalyptus, sea salt air, lime
 Heart: white lavender, sage
 Base: redwood, fir, palo santo</t>
  </si>
  <si>
    <t>Room and Linen Spray freshens up your space, mild enough for bed linens. Use with Golden Coast candles for a scented atmosphere. Perfect for everyday luxury.</t>
  </si>
  <si>
    <t>no-21-golden-coast-7-2-oz, golden-coast-12-5-oz-candle, p-f-candles-no-21-golden-coast-reed-diffuser</t>
  </si>
  <si>
    <t>plath-grisaille-mohair-mix, nelson-black, hayes-black</t>
  </si>
  <si>
    <t>keri-japan-gravel, 001-stealth-black-w</t>
  </si>
  <si>
    <t>ojai-lavender-inscense</t>
  </si>
  <si>
    <t>Ojai Lavender Incense</t>
  </si>
  <si>
    <t>Made in USA
 The Ojai Lavender incense from P.F. Candle Co. invokes a calming vortex surrounded by sun-drenched fields, orange groves and lavender farms, jagged mountains washed in a rosy, sunset glow. Aromatic, herbal, citrus. Pixie tangerine, blue lavender, coyote mint. A distinctly Californian lavender tinted scent.
 Top notes of Bergamot, Orange and Eucalyptus. A floral middle with rose, lily and lavender. Base notes from mint and red cedar.</t>
  </si>
  <si>
    <t>Pixie tangerine, blue lavender, and coyote mint blend for a distinctly Californian scent, tinged with lavender.</t>
  </si>
  <si>
    <t>ojai-lavender-7-2-oz-candle, ojai-lavender-reed-diffuser</t>
  </si>
  <si>
    <t>ojai-lavender-reed-diffuser</t>
  </si>
  <si>
    <t>Ojai Lavender Reed Diffuser</t>
  </si>
  <si>
    <t>Made in USA
 The Ojai Lavender reed diffuser from P.F. Candle Co. invokes a calming vortex surrounded by sun-drenched fields, orange groves and lavender farms, jagged mountains washed in a rosy, sunset glow. Aromatic, herbal, citrus. Pixie tangerine, blue lavender, coyote mint. A distinctly Californian lavender tinted scent.
 Top notes of Bergamot, Orange and Eucalyptus. A floral middle with rose, lily and lavender. Base notes from mint and red cedar.</t>
  </si>
  <si>
    <t>Aromatic, herbal, citrus. Tangerine, blue lavender, mint. A Californian scent with a lavender tint. Bergamot, orange, eucalyptus blend with rose, lily, lavender. Mint and red cedar base.</t>
  </si>
  <si>
    <t>ojai-lavender-7-2-oz-candle, ojai-lavender-inscense</t>
  </si>
  <si>
    <t>hayes-black, chambord-noir</t>
  </si>
  <si>
    <t>persimmon-cider-7-2-oz-candle</t>
  </si>
  <si>
    <t>Persimmon Cider 7.2 Oz Candle</t>
  </si>
  <si>
    <t>Made in USA
 P.F. Candle's limited seasonal winter scents are here!
 Persimmon Cider fills the room with fresh picked fruit, spiced cider, celebrations of renewal and the transition to fall. Ginger, ripe persimmon and mulling spices.</t>
  </si>
  <si>
    <t>Fresh picked fruit and spiced cider celebrate transitions. Scents of ginger, ripe persimmon, and mulling spices fill the room, marking the celebrations of renewal.</t>
  </si>
  <si>
    <t>saltwater-jasmine-7-2-oz-candle</t>
  </si>
  <si>
    <t>Saltwater Jasmine 7.2 Oz Candle</t>
  </si>
  <si>
    <t>Made in USA
 P.F. Candle Co.'s new scent Saltwater Jasmine invokes coastal mornings blanketed in a gentle marine layer, the warmth of the rising sun, wild white blossoms collecting dew. Ozonic, crisp, clean. Bergamot, sea moss, and sandalwood.
 Top notes of ozone, Muguet and Bergamot. A clean middle of Jasmine, Lemon and Sea Moss. Base notes of Amber, Musk, Vanilla and Sandalwood.</t>
  </si>
  <si>
    <t>Invoke coastal mornings with the warmth of the rising sun and dew-collecting wild white blossoms. A scent that's crisp, clean, and reminiscent of the sea with hints of bergamot, sea moss, and sandalwood.</t>
  </si>
  <si>
    <t>Wild Herb Tonic Reed Diffuser</t>
  </si>
  <si>
    <t>Barefoot walks through wild herb gardens, bath in cool mountain streams, breathe in the crisp morning air. Aromatic, camphorous, earthy.</t>
  </si>
  <si>
    <t>p-f-no-29-pinon-12-5-oz</t>
  </si>
  <si>
    <t>Piñon 12.5 Oz Candle</t>
  </si>
  <si>
    <t>Made in Japan.
 A sublime sock from Anonymous Ism. Made in a soft cotton blend with a durable weight, unevenly dyed for a subtle gradient of color.
 Anonymous Ism socks are crafted in Tokyo, Japan using a wide range of the finest materials available made for durability, comfort and a bit of fun. Knitted on vintage knitting machines from the 70's, in small runs with hand-linked toes to ensure optimal quality.</t>
  </si>
  <si>
    <t>Capturing pine notes and earthy balsam with spicy black pepper, while warm vanilla and smoky cedarwood add intimacy.</t>
  </si>
  <si>
    <t>p-f-candles-pinon-7-2-oz, p-f-candle-no-29-pinon-reed-diffuser</t>
  </si>
  <si>
    <t>watermelon-and-chili-7-2-oz-candle</t>
  </si>
  <si>
    <t>Watermelon and Chili 7.2 Oz Candle</t>
  </si>
  <si>
    <t>Made in USA
 P.F. Candle Co.'s summery scent Watermelon and Chili. Fresh cut fruit, hand-squeezed citrus, cool grass on a hot day. Tart yet earthy. Watermelon, summer grass, dried chili, and lime.</t>
  </si>
  <si>
    <t>P.F. Candle Co.'s summery scent Watermelon and Chili.</t>
  </si>
  <si>
    <t>På Stell</t>
  </si>
  <si>
    <t>Clothing Care</t>
  </si>
  <si>
    <t>lemon-foam</t>
  </si>
  <si>
    <t>Lemon Foam</t>
  </si>
  <si>
    <t>The stain removing experts at På Stell team up with the sewing collective Fæbrik for this line of easy and effective clothing care products. 
 Their lemon foam is a speedy an effective solution for stains on anything that you can't put in a washing machine. Perfect for washing sneakers, and removing stains on blazers, suiting, dresses, sofas and interior, or whatever you might spill something on on the go. The handy 50 mL size makes it perfect to bring along in your handbag.
 How to use it:
 - Apply some foam to the stain, and massage it in
 - Wipe it off with a wet cloth straight away, or rinse with water, till all the soap is out
 - If necessary, repeat procedure</t>
  </si>
  <si>
    <t>Their lemon foam is perfect for removing stains on sneakers, blazers, dresses, and sofas. Ideal for on-the-go emergencies, it's easy to use and effective for anything you can't machine wash.</t>
  </si>
  <si>
    <t>lemon-stick</t>
  </si>
  <si>
    <t>Lemon Stick</t>
  </si>
  <si>
    <t>The stain removing experts at På Stell team up with the sewing collective Fæbrik for this line of easy and effective clothing care products. 
 Their lemon stick deserves a place in every home. A quick, easy and super effective stain remover, that can rescue your clothing from a long list of difficult situations.
 How to use it:
 - Rub the stain with the lemon stick together with some warm water
 - Let it work for a short while. If it's an old or very tough stain, let it sit with the lemon soap for a couple of hours
 - Rinse the stained area with water, or give the whole garment a wash in the washing machine.</t>
  </si>
  <si>
    <t>Experts at På Stell and Fæbrik offer clothing care products. Their lemon stick is an effective stain remover for every home, rescuing clothing from tough situations.</t>
  </si>
  <si>
    <t>vintage-spray</t>
  </si>
  <si>
    <t>Vintage Spray</t>
  </si>
  <si>
    <t>Made in Norway
 The clothing care experts at På Stell team up with the sewing collective Fæbrik for this line of easy and effective clothing care products. 
 Their newly developed Vintage Spray is a must have odour remover and life saver for any thrifting enthusiast, and super useful for everyone else too. A super effective way to remove smells and odours from clothing.
 This Vintage Spray is not one of those clothing mists that simply covers odours with a fresh scent. It goes to the source and neutralises the source of the smell. A 100% natural formula eats away the bacteria and substances creating the smell within 24 hours. The formula is lastly added a natural scent of magnolias, for immediate freshness.
 Works for garments with an odour of attic, basements, cigarette smoke, sweatiness, even cat pee! And lots more!
 How to use it:
 - Spray evenly covering the garment, from about 20-30 cm distance.
 - Let it dry. The odours will disappear within 24 hours.</t>
  </si>
  <si>
    <t>The På Stell's Vintage Spray is a must have odour remover and life saver for every thrifting enthusiast. The 100% natural formula eats away the bacteria and substances creating the smell within 24 hours.</t>
  </si>
  <si>
    <t>vintage-spray-refill</t>
  </si>
  <si>
    <t>wool-comb</t>
  </si>
  <si>
    <t>Wool Comb</t>
  </si>
  <si>
    <t>Clothing care experts at På Stell team up with the sewing collective Fæbrik for this line of easy and effective clothing care products. 
 Their wool comb is a gentle and effective tool to remove pilling from knitwear, without damaging the remaining yarn. Simply comb it gently over the area with pills, and your garment is as good as new again.
 Pro tip: After removing pills from knitwear, we recommend steaming the garment to restore the wool's natural shine.</t>
  </si>
  <si>
    <t>Use the wool comb to gently remove pilling from knitwear, making your garment good as new without damaging the yarn.</t>
  </si>
  <si>
    <t>Vintage spray Refill</t>
  </si>
  <si>
    <t>Made in Norway
 The clothing care experts at På Stell team up with the sewing collective Fæbrik for this line of easy and effective clothing care products. 
 Their newly developed Vintage Spray is a must have odour remover and life saver for any thrifting enthusiast, and super useful for everyone else too. A super effective way to remove smells and odours from clothing.
 This refill bottle eliminates the spray top, reducing the amount of plastic and manufacturing. Simply transfer the spray head from your previous bottle to the new refill.
 This Vintage Spray is not one of those clothing mists that simply covers odours with a fresh scent. It goes to the source and neutralises the source of the smell. A 100% natural formula eats away the bacteria and substances creating the smell within 24 hours. The formula is lastly added a natural scent of magnolias, for immediate freshness.
 Works for garments with an odour of attic, basements, cigarette smoke, sweatiness, even cat pee! And lots more!
 How to use it:
 - Spray evenly covering the garment, from about 20-30 cm distance.
 - Let it dry. The odours will disappear within 24 hours.</t>
  </si>
  <si>
    <t>Refill for På Stell's Vintage Spray, a must have odour remover and life saver for every thrifting enthusiast. The 100% natural formula eats away the bacteria and substances creating the smell within 24 hours.</t>
  </si>
  <si>
    <t>Pantherella</t>
  </si>
  <si>
    <t>Socks Women</t>
  </si>
  <si>
    <t>Rose Merino Black</t>
  </si>
  <si>
    <t>Made in UK
 Perfect everyday socks! The Pantherella Rose 5x3 Rib merino wool tailored socks are the best of basics.
 Soft and breathable, merino wool makes the Rose comfortably warm and have a smoother appearance than other fine gauge wool socks. These socks provide warmth without overheating the wearer and draws moisture away from the skin for comfort. Perfect for all year uses.
 One size, fits 37-41.</t>
  </si>
  <si>
    <t>Perfect everyday socks from Pantherella, made in a soft and breathable fine gauge merino wool.</t>
  </si>
  <si>
    <t>rose-navy, w796-rose-charcoal, w796-rose-duck-egg, rose-old-rose, rose-raspberry, w796-wine</t>
  </si>
  <si>
    <t>Tabitha Cashmere Winter White</t>
  </si>
  <si>
    <t>Made in UK
 Soft and warm, Pantherella's cashmere socks Tabitha give you the very best quality and comfort and make the perfect gift. The ultimate in luxury hosiery, cashmere socks are exquisitely soft and approximately three times warmer than socks made from sheep's wool.
 The Tabitha Cashmere socks bring together the luxury of cashmere in clean elegant colours. Made from the world's finest cashmere yarns, the Tabitha socks are knitted in a 5x1 rib, and are hand-finished for the premium quality finish Pantherella is renowned for.
 One size, fits 37-41.</t>
  </si>
  <si>
    <t>Pantherella's Tabitha Cashmere socks bring together the luxury of cashmere in clean elegant colours. Made from the world's finest cashmere yarns.</t>
  </si>
  <si>
    <t>w750-cashmere-black, w750-cashmere-lt-grey, tabitha-lilac-mix, tabitha-cashmere-denim-chine</t>
  </si>
  <si>
    <t>Tabitha Cashmere Black</t>
  </si>
  <si>
    <t>w750-cashmere-lt-grey, w750-cashmere-winter-white, tabitha-lilac-mix, tabitha-cashmere-denim-chine</t>
  </si>
  <si>
    <t>Thornham Navy Fleck</t>
  </si>
  <si>
    <t>Made in UK
 Part of Pantherella's Scott-Nichol collection, Thornham is a leisure weight wool sock with a classic contrast heel/toe design.
 These warm wool socks are hand finished and renowned for their unrivalled comfort and durability, making them the perfect companion for country retreats and the cold weather season. 
 These Scott-Nichol wool socks are knitted in a warm and soft merino/silk blend, with a touch of nylon for added fit and longevity.
 M: fits 41-44
 L: fits 45-47</t>
  </si>
  <si>
    <t>These wool socks are renowned for comfort and durability, perfect for cold weather.</t>
  </si>
  <si>
    <t>thornham-dark-brown-fleck, thornham-mid-grey-fleck</t>
  </si>
  <si>
    <t>5796-laburnum-black</t>
  </si>
  <si>
    <t>Laburnum Black</t>
  </si>
  <si>
    <t>Made in UK
 Perfect everyday socks! The Pantherella Laburnum 5x3 Rib merino wool over the calf socks are the best of basics, knitted in a superfine merino wool. An absolute essential, these merino socks are classic and elegant, making them perfect for everyday wear. A smart choice for your sock drawer whatever your style.
 Soft and breathable, merino wool makes the Laburnum comfortably warm and have a smoother appearance than other fine gauge wool socks. These socks provide warmth without overheating the wearer and draws moisture away from the skin for comfort. Perfect for all year uses.
 M: fits 41-44
 L: fits 45-47</t>
  </si>
  <si>
    <t>laburnum-charcoal, laburnum-navy, 5796-laburnum-dark-brown, laburnum-dark-olive-mix</t>
  </si>
  <si>
    <t>5796-laburnum-dark-brown</t>
  </si>
  <si>
    <t>Laburnum Dark Brown</t>
  </si>
  <si>
    <t>5796-laburnum-black, laburnum-charcoal, laburnum-navy, laburnum-dark-olive-mix</t>
  </si>
  <si>
    <t>Rachel Duck Egg</t>
  </si>
  <si>
    <t>Made in UK
 Perfect everyday socks! The Pantherella Rachel 5x1 rib merino wool tailored socks are the best of basics, knitted in a thicker weight for colder climates.
 Soft and breathable, merino wool makes the Rachel comfortably warm and have a smoother appearance than other fine gauge wool socks. These socks provide warmth to cold feet without overheating the wearer and draws moisture away from the skin for comfort, keeping feet warm and comfortable.
 One size, fits 37-41.</t>
  </si>
  <si>
    <t>Perfect everyday socks for colder climates from Pantherella, made in a soft and breathable fine gauge merino wool.</t>
  </si>
  <si>
    <t>j905-rachel-lt-grey, rachel-black</t>
  </si>
  <si>
    <t>Rachel Light Grey</t>
  </si>
  <si>
    <t>j905-rachel-duck-egg, rachel-black</t>
  </si>
  <si>
    <t>ys1027-bayfield-05-navy</t>
  </si>
  <si>
    <t>Bayfield Navy</t>
  </si>
  <si>
    <t>bayfield-navy-fleck</t>
  </si>
  <si>
    <t>Bayfield Navy Fleck</t>
  </si>
  <si>
    <t>Made in UK
 Part of Pantherella's Scott-Nichol collection, Bayfield is a leisure weight wool sock with a classic stripe design.
 These warm wool socks are hand finished and renowned for their unrivalled comfort and durability, making them the perfect companion for country retreats and the cold weather season. 
 These Scott-Nichol wool socks are knitted in a warm and soft merino/silk blend, with a nylon core for added fit and longevity.
 M: fits 41-44
 L: fits 45-47</t>
  </si>
  <si>
    <t>These warm wool socks are renowned for their comfort and durability, perfect for country retreats and the cold weather season.</t>
  </si>
  <si>
    <t>Socks</t>
  </si>
  <si>
    <t>laburnum-charcoal</t>
  </si>
  <si>
    <t>Laburnum Charcoal</t>
  </si>
  <si>
    <t>5796-laburnum-black, laburnum-navy, 5796-laburnum-dark-brown, laburnum-dark-olive-mix</t>
  </si>
  <si>
    <t>laburnum-dark-olive-mix</t>
  </si>
  <si>
    <t>Laburnum Dark Olive Mix</t>
  </si>
  <si>
    <t>5796-laburnum-black, laburnum-charcoal, laburnum-navy, 5796-laburnum-dark-brown</t>
  </si>
  <si>
    <t>laburnum-navy</t>
  </si>
  <si>
    <t>Laburnum Navy</t>
  </si>
  <si>
    <t>5796-laburnum-black, laburnum-charcoal, 5796-laburnum-dark-brown, laburnum-dark-olive-mix</t>
  </si>
  <si>
    <t>Rachel Black</t>
  </si>
  <si>
    <t>j905-rachel-lt-grey, j905-rachel-duck-egg</t>
  </si>
  <si>
    <t>Rose Merino Navy</t>
  </si>
  <si>
    <t>w796-black, w796-rose-charcoal, w796-rose-duck-egg, rose-old-rose, rose-raspberry, w796-wine</t>
  </si>
  <si>
    <t>Rose Merino Old Rose</t>
  </si>
  <si>
    <t>w796-black, w796-rose-charcoal, rose-navy, w796-rose-duck-egg, rose-raspberry, w796-wine</t>
  </si>
  <si>
    <t>Rose Merino Raspberry</t>
  </si>
  <si>
    <t>w796-black, w796-rose-charcoal, rose-navy, w796-rose-duck-egg, rose-old-rose, w796-wine</t>
  </si>
  <si>
    <t>rydal-charcoal-fleck</t>
  </si>
  <si>
    <t>Rydal Charcoal Fleck</t>
  </si>
  <si>
    <t>Made in UK
 Part of Pantherella's Scott-Nichol collection, Rydal is a leisure weight wool sock with a new Fair Isle design.
 These warm wool socks are hand finished and renowned for their unrivalled comfort and durability, making them the perfect companion for country retreats and the cold weather season. 
 These Scott-Nichol wool socks are knitted in a warm and soft merino/silk blend, with a nylon core for added fit and longevity.
 Size M fits size 41 - 44
 Size L fits 45 - 47</t>
  </si>
  <si>
    <t>These warm wool socks are hand finished, known for comfort and durability, ideal for country retreats and the cold season.</t>
  </si>
  <si>
    <t>rydal-mid-grey</t>
  </si>
  <si>
    <t>Rydal Mid Grey</t>
  </si>
  <si>
    <t>These wool socks offer comfort and durability, perfect for cold weather. Ideal for country retreats, they ensure warmth.</t>
  </si>
  <si>
    <t>Tabitha Cashmere Lilac Mix</t>
  </si>
  <si>
    <t>w750-cashmere-black, w750-cashmere-lt-grey, w750-cashmere-winter-white, tabitha-cashmere-denim-chine</t>
  </si>
  <si>
    <t>Thornham Dark Brown Fleck</t>
  </si>
  <si>
    <t>ys1025-thornham-01-navy, thornham-mid-grey-fleck</t>
  </si>
  <si>
    <t>Thornham Mid Grey Fleck</t>
  </si>
  <si>
    <t>These wool socks are renowned for their comfort and durability, perfect for cold weather and country retreats.</t>
  </si>
  <si>
    <t>ys1025-thornham-01-navy, thornham-dark-brown-fleck</t>
  </si>
  <si>
    <t>Eyre Light Grey Cashmere</t>
  </si>
  <si>
    <t>Made in UK
 Soft and warm, Pantherella's recycled cashmere socks Eyre give you the very best quality and comfort and make the perfect gift. The ultimate in luxury hosiery, cashmere socks are exquisitely soft and warmer than socks made from sheep's wool.
 The Eyre Cashmere socks bring together the luxury of cashmere in classic autumnal colours. Made from a recycled cashmere/wool blend, the Eyre socks are knitted in textured rib, and are hand-finished for the premium quality finish Pantherella is renowned for.
 One Size. Fits 37–41</t>
  </si>
  <si>
    <t>Luxurious cashmere socks, knitted in a textured rib with recycled yarn.</t>
  </si>
  <si>
    <t>Stanton Burgundy Cashmere</t>
  </si>
  <si>
    <t>Made in UK
 Soft and warm, Pantherella's recycled cashmere socks Stanton give you the very best quality and comfort and make the perfect gift. The ultimate in luxury hosiery, cashmere socks are exquisitely soft and warmer than socks made from sheep's wool.
 The Stanton Cashmere socks bring together the luxury of cashmere in classic autumnal colours. Made from a recycled cashmere/wool blend, the Stanton socks are knitted in textured rib, and are hand-finished for the premium quality finish Pantherella is renowned for.
 M: fits 41-44
 L: fits 45-47</t>
  </si>
  <si>
    <t>stanton-mid-denim-cashmere, stanton-charcoal-cashmere</t>
  </si>
  <si>
    <t>Stanton Charcoal Cashmere</t>
  </si>
  <si>
    <t>stanton-mid-denim-cashmere, stanton-burgundy-cashmere</t>
  </si>
  <si>
    <t>Stanton Mid Denim Cashmere</t>
  </si>
  <si>
    <t>stanton-charcoal-cashmere, stanton-burgundy-cashmere</t>
  </si>
  <si>
    <t>Tabitha Cashmere Denim Chine</t>
  </si>
  <si>
    <t>w750-cashmere-black, w750-cashmere-lt-grey, w750-cashmere-winter-white, tabitha-lilac-mix</t>
  </si>
  <si>
    <t>Rose Merino Duck Egg</t>
  </si>
  <si>
    <t>w796-black, w796-rose-charcoal, rose-navy, rose-old-rose, rose-raspberry, w796-wine</t>
  </si>
  <si>
    <t>Robin wmn Cream</t>
  </si>
  <si>
    <t>Made in UK
 Inspired by quintessentially British sportswear, Pantherella's Robin features a classic cable pattern and contemporary block stripes.
 These warm wool socks are hand finished and renowned for their unrivalled comfort and durability, making them the perfect companion for country retreats and the cold weather season.
 Knitted in a heavy-gauge wool blend with silk for warmth, durability and softness.
 One size, fits 37-41.</t>
  </si>
  <si>
    <t>Pantherella's Robin features a classic cable pattern and contemporary block stripes. Knitted in a heavy gauge wool/silk blend.</t>
  </si>
  <si>
    <t>yq1038-robin-light-grey, yq1038-robin-sand</t>
  </si>
  <si>
    <t>Robin wmn Light Grey</t>
  </si>
  <si>
    <t>yq1038-robin-cream, yq1038-robin-sand</t>
  </si>
  <si>
    <t>Robin wmn Sand</t>
  </si>
  <si>
    <t>yq1038-robin-cream, yq1038-robin-light-grey</t>
  </si>
  <si>
    <t>Fellcroft Charcoal Fleck</t>
  </si>
  <si>
    <t>Made in UK
 Part of Pantherella's Scott-Nichol collection, Fellcroft is a leisure weight wool sock with a classic fairisle pattern.
 These warm wool socks are hand finished and renowned for their unrivalled comfort and durability, making them the perfect companion for country retreats and the cold weather season.
 These Scott-Nichol wool socks are knitted in a warm and soft merino/silk blend, with a touch of nylon for added fit and longevity.
 M: fits 41-44
 L: fits 45-47</t>
  </si>
  <si>
    <t>From Pantherella's Scott-Nichol collection, Fellcroft is a leisure weight sock with a classic fairisle pattern, knitted in a warm wool/silk blend.</t>
  </si>
  <si>
    <t>ys1026-fellcroft-navy-fleck, ys1026-fellcroft-maroon-fleck</t>
  </si>
  <si>
    <t>Fellcroft Maroon Fleck</t>
  </si>
  <si>
    <t>ys1026-fellcroft-charcoal-fleck, ys1026-fellcroft-navy-fleck</t>
  </si>
  <si>
    <t>Fellcroft Navy Fleck</t>
  </si>
  <si>
    <t>ys1026-fellcroft-charcoal-fleck, ys1026-fellcroft-maroon-fleck</t>
  </si>
  <si>
    <t>ys1038-robin-burgundy</t>
  </si>
  <si>
    <t>Robin men Burgundy</t>
  </si>
  <si>
    <t>Made in UK
 Inspired by quintessentially British sportswear, Pantherella's Robin features a classic cable pattern and contemporary block stripes.
 These warm wool socks are hand finished and renowned for their unrivalled comfort and durability, making them the perfect companion for country retreats and the cold weather season.
 Knitted in a heavy-gauge wool blend with silk for warmth, durability and softness.
 M: fits 41-44
 L: fits 45-47</t>
  </si>
  <si>
    <t>ys1038-robin-navy, ys1038-robin-charcoal</t>
  </si>
  <si>
    <t>Robin men Charcoal</t>
  </si>
  <si>
    <t>ys1038-robin-navy, ys1038-robin-burgundy</t>
  </si>
  <si>
    <t>Robin men Navy</t>
  </si>
  <si>
    <t>ys1038-robin-charcoal, ys1038-robin-burgundy</t>
  </si>
  <si>
    <t>Eyre Burgundy Cashmere</t>
  </si>
  <si>
    <t>Rose Merino Charcoal</t>
  </si>
  <si>
    <t>w796-black, rose-navy, w796-rose-duck-egg, rose-old-rose, rose-raspberry, w796-wine</t>
  </si>
  <si>
    <t>Paraboot</t>
  </si>
  <si>
    <t>michael-noir</t>
  </si>
  <si>
    <t>Michael Lisse Noir</t>
  </si>
  <si>
    <t>Made in France.
 Paraboot's most iconic shoe, first launched in 1945 and popular (and imitated) ever since. Inspired by traditional Tyrolean work shoes from the early 1900s, the Michael features characteristic piped seams, two eyelets and chunky Norwegian welt seams securing the upper to Paraboot's famous Marche soles.
 Now iconic as a city shoe, the Tyrolean work shoe heritage, the Norwegian welted construction and comfortable and grippy rubber soles, make Michael a perfect shoe for all year Scandinavian conditions, whether wet, icy or snow, or as it often happens: All three at the same time.
 Note. We only ship Paraboot to Europe.</t>
  </si>
  <si>
    <t>The Michael, launched in 1945, remains iconic. Inspired by early 1900s Tyrolean work shoes, it sports piped seams, two eyelets, and Norwegian welt seams for durability and style.</t>
  </si>
  <si>
    <t>michael-marron, micka-velours-whiskey</t>
  </si>
  <si>
    <t>michael-marron</t>
  </si>
  <si>
    <t>Michael Lisse Marron</t>
  </si>
  <si>
    <t>Launched in 1945, the iconic Michael, inspired by Tyrolean work shoes from the 1900s, features characteristic piped seams, two eyelets, and chunky Norwegian welt seams.</t>
  </si>
  <si>
    <t>michael-noir, micka-velours-whiskey</t>
  </si>
  <si>
    <t>michael-lis-noir</t>
  </si>
  <si>
    <t>Michael Femme Lisse Noir</t>
  </si>
  <si>
    <t>Made in France.
 Paraboot's most iconic shoe, first launched in 1945 and popular (and imitated) ever since. Inspired by traditional Tyrolean work shoes from the early 1900s, the Michael features characteristic piped seams, two eyelets and chunky Norwegian welt seams securing the upper to Paraboot's famous Griff soles.
 Now iconic as a city shoe, the Tyrolean work shoe heritage, the Norwegian welted construction and comfortable and grippy rubber soles, make Michael a perfect shoe for all year Scandinavian conditions, whether wet, icy or snow, or as it often happens: All three at the same time.
 Note. We only ship Paraboot to Europe.</t>
  </si>
  <si>
    <t>Launched in 1945, inspired by early 1900s Tyrolean work shoes. Features piped seams, two eyelets, and chunky Norwegian welt seams. Iconic as a city shoe with heritage and comfort.</t>
  </si>
  <si>
    <t>michael-femme-lis-marron, mirabelle-velours-gres</t>
  </si>
  <si>
    <t>avoriaz-jannu-marron-lis-ecorce</t>
  </si>
  <si>
    <t>Avoriaz Lisse Écorce</t>
  </si>
  <si>
    <t>Handmade in France.
 The Avoriaz is inspired by the mythical mountain hiking boots Galibier Superguide, which are today still made at the Paraboot factory to this day. Made to be lighter weight than the heavy duty inspiration, in a finer leather with a beautiful finish. The Avoriaz is a fully fledged mountain boot, that is equally at home with a pair of jeans in the city.
 Featuring watertight Norwegian welted construction, waxed leather uppers and a triple cross-over tongue, these shoes will keep your feet warm and dry in any condition. Paraboot's Jannu mountain sole is flexible, durable and secures good grip. Seriously good-looking with speed hooks and chunky climbing rope-like laces, and incredibly comfortable with full leather insoles and cushioning around the ankle. The Avoriaz is our favourite alpine boot on the market.
 Note. We only ship Paraboot to Europe.</t>
  </si>
  <si>
    <t>The Avoriaz, inspired by the iconic Galibier Superguide and made in the Paraboot factory, is a lighter mountain boot perfect for both hikes and city life.</t>
  </si>
  <si>
    <t>avoriaz-lis-noir</t>
  </si>
  <si>
    <t>veley-lis-noir</t>
  </si>
  <si>
    <t>Veley Lisse Noir</t>
  </si>
  <si>
    <t>Made in France.
 The Veley is Paraboot's original split toe derby for women. 
 Constructed with a weatherproof Norwegian welt, and Paraboot's iconic and sturdy Griff rubber soles, this shoe is perfect for year round Scandinavian conditions. With its fine, glossy black leather Veley Noir is equally well suited for dressed up looks as for a pair of jeans.
 Note. We only ship Paraboot to Europe.</t>
  </si>
  <si>
    <t>With a weatherproof Norwegian welt and sturdy rubber soles, this shoe is perfect for year-round conditions, suited for dressed looks or jeans.</t>
  </si>
  <si>
    <t>avignon-bbr-griff-noire-lis-noir</t>
  </si>
  <si>
    <t>Avignon BBR Lisse Noir</t>
  </si>
  <si>
    <t>Made in France.
 Avignon is Paraboot's five eyelet split-toe derby. Constructed with a weatherproof Norwegian welt, and Paraboot's iconic and sturdy Griff rubber soles, this shoe is perfect for year round Scandinavian conditions. Equally well suited to a pair of jeans or with more formal attire.
 The Avignon BBR Lisse Noir is made in a finer, glossier leather, and finished with the Paraboot tag done in a french tricolor colourway, hence the bleu blanc rouge acronym.
 Note. We only ship Paraboot to Europe.</t>
  </si>
  <si>
    <t>The Avignon features a five-eyelet, split-toe derby, designed with a sturdy, weatherproof Norwegian welt and iconic rubber soles for year-round conditions. Suitable with jeans or formal wear.</t>
  </si>
  <si>
    <t>avoriaz-femme-lis-ecorce</t>
  </si>
  <si>
    <t>Avoriaz Femme Lisse Écorce</t>
  </si>
  <si>
    <t>Made in France.
 The Avoriaz is inspired by the mythical mountain hiking boots Galibier Superguide, which are today still made at the Paraboot factory to this day. Made to be lighter weight than the heavy duty inspiration, in a finer leather with a beautiful finish. The Avoriaz is a fully fledged mountain boot, that is equally at home with a pair of jeans in the city.
 Featuring watertight Norwegian welted construction, waxed leather uppers and a triple cross-over tongue, these shoes will keep your feet warm and dry in any condition. Paraboot's Jannu mountain sole is flexible, durable and secures good grip. Seriously good-looking with speed hooks and chunky climbing rope-like laces, and incredibly comfortable with full leather insoles and cushioning around the ankle. The Avoriaz is our favourite alpine boot on the market.
 Note. We only ship Paraboot to Europe.</t>
  </si>
  <si>
    <t>The Avoriaz is inspired by Galibier Superguide, made lighter with fine leather. A mountain boot at home in the city, merging heritage and versatility.</t>
  </si>
  <si>
    <t>avoriaz-femme-lis-noir</t>
  </si>
  <si>
    <t>Avoriaz Lisse Noir</t>
  </si>
  <si>
    <t>Inspired by Galibier Superguide, the Avoriaz is lighter, crafted in fine leather with a beautiful finish, designed for mountain hiking yet perfect for city streets.</t>
  </si>
  <si>
    <t>Avoriaz Femme Lisse Noir</t>
  </si>
  <si>
    <t>The Avoriaz is inspired by the Galibier Superguide, lighter with a beautiful finish. A mountain boot at home with jeans in the city.</t>
  </si>
  <si>
    <t>lacet-rond-noir</t>
  </si>
  <si>
    <t>Laces Michael Noir</t>
  </si>
  <si>
    <t>Black laces for Paraboot Michael.
 Fits both Men's and Women's Michael, or other shoes with two eyelets.</t>
  </si>
  <si>
    <t>Black laces for Paraboot Michael.</t>
  </si>
  <si>
    <t>lacet-rond-x10-michael-cafe, lacet-rond-x10-michael-marron</t>
  </si>
  <si>
    <t>lacet-rond-x10-michael-cafe</t>
  </si>
  <si>
    <t>Laces Michael Café</t>
  </si>
  <si>
    <t>Dark brown laces for Paraboot Michael. The original lace colour for the Lisse Café leather.
 Fits both Men's and Women's Michael, or other shoes with two eyelets.</t>
  </si>
  <si>
    <t>Dark brown laces for Paraboot Michael. The original lace colour for the Lisse Café leather.</t>
  </si>
  <si>
    <t>lacet-rond-noir, lacet-rond-x10-michael-marron</t>
  </si>
  <si>
    <t>lacet-rond-x10-michael-marron</t>
  </si>
  <si>
    <t>Laces Michael Marron</t>
  </si>
  <si>
    <t>Brown laces for Paraboot Michael. The original lace colour for the Lisse Marron leather.
 Fits both Men's and Women's Michael, or other shoes with two eyelets.</t>
  </si>
  <si>
    <t>Brown laces for Paraboot Michael. The original lace colour for the Lisse Marron leather.</t>
  </si>
  <si>
    <t>lacet-rond-noir, lacet-rond-x10-michael-cafe</t>
  </si>
  <si>
    <t>pacific-sport-lis-noir</t>
  </si>
  <si>
    <t>Pacific Lisse Noir</t>
  </si>
  <si>
    <t>Made in Italy.
 A must for summer! Pacific is Paraboot's classic woven three strap sandal for men. Made in fine black full-grain leather, leather lined, and cemented to a sporty ripple sole which ensures all-day walking comfort.
 Still highly relevant today, the Pacific model was first launched in the fifties. Paraboot developed this model for monks belonging to the Order of Carthusians, whose monastery is located in Saint-Pierre-de-Chartreuse in the heart of the Chartreuse Mountains in the Isère region of France.
 Due to spending long hours on their feet while researching plants for them to use in making their Liqueur de Chartreuse – a highly alcoholic liqueur with medicinal properties – but also as part of their pilgrimages, the monks expressed their need for a comfortable, open shoe. The resulting sandal was Paraboot's pacific.
 Note. We only ship Paraboot to Europe.</t>
  </si>
  <si>
    <t>A must for summer! Pacific is Paraboot's classic woven three strap sandal for men.</t>
  </si>
  <si>
    <t>pacific-vegetal-marron</t>
  </si>
  <si>
    <t>chambord-noir</t>
  </si>
  <si>
    <t>Chambord Lisse Noir</t>
  </si>
  <si>
    <t>Made in France.
 The Chambord is one of Paraboot's most iconic models, and a very versatile shoe. A five eyelet pinched upper derby, lined with leather and featuring Paraboot's famous Norwegian Welt construction. 
 The Chambord boasts 45° stitching on the apron, a technique found only on Paraboot shoes.
 The Chambord's Tex sole ensures Paraboot's signature comfort and grip. 
 Note. We only ship Paraboot to Europe.</t>
  </si>
  <si>
    <t>A versatile, iconic model, these shoes feature a five eyelet derby, leather lining, and Norwegian Welt construction for durability and comfort.</t>
  </si>
  <si>
    <t>chambord-lis-cafe, chambord-brosse-noir</t>
  </si>
  <si>
    <t>Shoe women</t>
  </si>
  <si>
    <t>michael-femme-lis-marron</t>
  </si>
  <si>
    <t>Michael Femme Lisse Marron</t>
  </si>
  <si>
    <t>Launched in 1945, inspired by Tyrolean work shoes. The Michael features piped seams, two eyelets, and is secured with Norwegian welt seams to Paraboot's rubber soles.</t>
  </si>
  <si>
    <t>michael-lis-noir, mirabelle-velours-gres</t>
  </si>
  <si>
    <t>bergerac-lis-ecorce</t>
  </si>
  <si>
    <t>Bergerac Lisse Ecorce</t>
  </si>
  <si>
    <t>Made in France.
 The Bergerac is Paraboot's take on the classic work boot. Inspired by American work boots from the 1930's, Paraboot adds their signature details to the rugged round toe silhouette.
 Featuring watertight Norwegian welted construction and full grain waxed leather uppers, made with a padded upper at the ancle. The Bergerac features the Marche II sole, the same sole Paraboot uses for their famous Michael, insuring all day comfort and good grip.
 Note. We only ship Paraboot to Europe.</t>
  </si>
  <si>
    <t>Inspired by 1930's American work boots, the Bergerac adds signature details to a rugged round toe silhouette.</t>
  </si>
  <si>
    <t>chambord-lis-cafe</t>
  </si>
  <si>
    <t>Chambord Lisse Cafe</t>
  </si>
  <si>
    <t>Made in France.
 The Chambord is one of Paraboot's most iconic models, and a very versatile shoe. A five eyelet pinched upper derby, lined with leather and featuring Goodyear construction. The Chambord boasts 45° stitching on the apron, a technique found only on Paraboot shoes.
 The Chambord's Actem sole has a slimmer and more formal profile than Paraboot's Griff soles found on the Michael, but still retaining Paraboot's signature comfort and grip.
 Note. We only ship Paraboot to Europe.</t>
  </si>
  <si>
    <t>A versatile and iconic five eyelet derby, leather-lined with Goodyear construction. Features unique 45° stitching on the apron, showcasing Paraboot's signature comfort and grip with a more formal Actem sole.</t>
  </si>
  <si>
    <t>chambord-noir, chambord-brosse-noir</t>
  </si>
  <si>
    <t>Adriatic Lisse Noir</t>
  </si>
  <si>
    <t>Made in Italy.
 A must for summer! Adriatic is Paraboot's one strap mule sandal. Made in fine black full-grain leather, leather lined, and cemented to a sporty ripple sole which ensures all-day walking comfort.
 Note. We only ship Paraboot to Europe.</t>
  </si>
  <si>
    <t>A must for summer! Adriatic is Paraboot's one strap mule sandal. Made in fine black leather.</t>
  </si>
  <si>
    <t>adriatic-velours-corde</t>
  </si>
  <si>
    <t>Adriatic Velours Corde</t>
  </si>
  <si>
    <t>Made in Italy.
 A must for summer! Adriatic is Paraboot's one strap mule sandal. Made in soft and supple calf suede, leather lined, and cemented to a sporty ripple sole which ensures all-day walking comfort.
 Note. We only ship Paraboot to Europe.</t>
  </si>
  <si>
    <t>A must for summer! Adriatic is Paraboot's one strap mule sandal. Made in soft and supple calf suede.</t>
  </si>
  <si>
    <t>barth-velours-fauve</t>
  </si>
  <si>
    <t>Barth Velours Fauve</t>
  </si>
  <si>
    <t>Made in Spain
 Paraboot's boat shoe, Barth. A light and comfortable unlined shoe for spring summer made in a wonderful supple calf suede.
 Inspired by the stitching found on Native American moccasins, the Barth features true moccasin construction, meaning that the leather sole is folded up around the foot forming the upper, hand-stitched to the apron giving the classic moccasin toe.
 The Moccasin upper is Blake stitched to a slim rubber boat sole, ensuring a light and flexible shoe with good grip on slippery surfaces.
 Made in Paraboot's supple velvet calf suede, a calf leather quality which is sanded on the flesh side, opposite of normal suede. This creates a buttery soft suede which at the same time keeps the durability and quality of full grain leather.
 Note. We only ship Paraboot to Europe.</t>
  </si>
  <si>
    <t>Paraboot's boat shoe, Barth. A light and comfortable unlined shoe for spring summer made in a wonderful supple calf suede.</t>
  </si>
  <si>
    <t>Chimey Lisse Noir</t>
  </si>
  <si>
    <t>Made in France.
 The Chimey is a shoe with a distinct Paraboot look. A four eyelet piped seam derby, made with Paraboot's famous Norwegian Welt construction.
 The Chimey features a Norwegian split toe and boat shoe lacing around the ankle. The Norwegian welt, chunky Jannu rubber sole and solid French tanned leather, however, gives the Chimey great versatility. Equally suited to summery outings as more rugged all-year wear.
 Note. We only ship Paraboot to Europe.</t>
  </si>
  <si>
    <t>The Chimey is a shoe with a distinct Paraboot look. A four eyelet piped seam derby, made with Paraboot's famous Norwegian Welt construction.</t>
  </si>
  <si>
    <t>micka-velours-whiskey</t>
  </si>
  <si>
    <t>Micka Velours Whiskey</t>
  </si>
  <si>
    <t>Made in France.
 Micka, an unlined version of Paraboot's most iconic shoe Michael, first launched in 1945 and popular (and imitated) ever since. Inspired by traditional Tyrolean work shoes from the early 1900s, the Micka features characteristic piped seams, two eyelets and chunky Norwegian welt seams securing the upper to Paraboot's famous rubber soles.
 Made in Paraboot's supple velvet calf suede, a calf leather quality which is sanded on the flesh side, opposite of normal suede. This creates a buttery soft suede which at the same time keeps the durability and quality of full grain leather.
 Note. We only ship Paraboot to Europe.</t>
  </si>
  <si>
    <t>Micka, an unlined version of Paraboot's most iconic shoe Michael, first launched in 1945 and popular (and imitated) ever since.</t>
  </si>
  <si>
    <t>michael-noir, michael-marron</t>
  </si>
  <si>
    <t>mirabelle-velours-gres</t>
  </si>
  <si>
    <t>Mirabelle Velours Gres</t>
  </si>
  <si>
    <t>Made in France.
 Mirabelle, an unlined version of Paraboot's most iconic shoe Michael, first launched in 1945 and popular (and imitated) ever since. Inspired by traditional Tyrolean work shoes from the early 1900s, the Mirabelle features characteristic piped seams, two eyelets and chunky Norwegian welt seams securing the upper to Paraboot's famous rubber soles.
 Made in Paraboot's supple velvet calf suede, a calf leather quality which is sanded on the flesh side, opposite of normal suede. This creates a buttery soft suede which at the same time keeps the durability and quality of full grain leather.
 Note. We only ship Paraboot to Europe.</t>
  </si>
  <si>
    <t>Mirabelle, an unlined version of Paraboot's most iconic shoe Michael, first launched in 1945 and popular (and imitated) ever since.</t>
  </si>
  <si>
    <t>michael-lis-noir, michael-femme-lis-marron</t>
  </si>
  <si>
    <t>Pacific Vegetal Marron</t>
  </si>
  <si>
    <t>avoriaz-nubuck-gringo</t>
  </si>
  <si>
    <t>Avoriaz Nubuck Gringo</t>
  </si>
  <si>
    <t>Made in France.
 The Avoriaz is inspired by the mythical mountain hiking boots Galibier Superguide, which are today still made at the Paraboot factory to this day. Made to be lighter weight than the heavy duty inspiration, in a finer leather with a beautiful finish. The Avoriaz is a fully fledged mountain boot, that is equally at home with a pair of jeans in the city.
 Featuring watertight Norwegian welted construction, nubuck leather uppers and a triple cross-over tongue, these shoes will keep your feet warm and dry in any condition. Paraboot's Jannu mountain sole is flexible, durable and secures good grip. 
 Seriously good-looking with speed hooks and chunky climbing rope-like laces, and incredibly comfortable with full leather insoles and cushioning around the ankle. The Avoriaz is our favourite alpine boot on the market.
 Note. We only ship Paraboot to Europe.</t>
  </si>
  <si>
    <t>Paraboot's famous alpine boot Avoriaz, in a Nubuck leather 
 finish.</t>
  </si>
  <si>
    <t>avoriaz-lis-noir, avoriaz-jannu-marron-lis-ecorce</t>
  </si>
  <si>
    <t>clusaz-lisse-noir</t>
  </si>
  <si>
    <t>Clusaz Lisse Noir</t>
  </si>
  <si>
    <t>Made in France.
 One of our absolute favourite Paraboot styles, the Clusaz is Avoriaz' little brother. Keeping all the authentic details from the famous alpine boots, including speed hooks and snow-blocking flaps over the tongue, the Clusaz is cut low as a shoe.
 Made with fine waxed full-grain leather uppers, leather lined and Goodyear-welted to Paraboot's Jannu mountain sole. Finished with alpine D-ring lacing, speed hooks and alpne laces, closing the triple cross-over tongue.
 Note. We only ship Paraboot to Europe.</t>
  </si>
  <si>
    <t>Clusaz, the low version of Paraboot's alpine boot Avoriaz.</t>
  </si>
  <si>
    <t>michael-femme-poils-vache</t>
  </si>
  <si>
    <t>Michael Femme Poils Vache</t>
  </si>
  <si>
    <t>Made in France.
 The Michael: Paraboot's most iconic shoe, first launched in 1945 and popular (and imitated) ever since. Made in hair-on-hide French cow leather, with a natural brown and white pattern. Due to the nature of real patterned cow hair, every pair, and every shoe, is unique.
 Inspired by traditional Tyrolean work shoes from the early 1900s, the Michael features characteristic piped seams, two eyelets and chunky Norwegian welt seams securing the upper to Paraboot's famous Griff soles.
 Now iconic as a city shoe, the Tyrolean work shoe heritage, the Norwegian welted construction and comfortable, grippy rubber soles, make Michael a perfect shoe for all year Scandinavian conditions, whether wet, icy or snow, or as it often happens: All three at the same time.
 Note. We only ship Paraboot to Europe.</t>
  </si>
  <si>
    <t>Paraboot's iconic Michael, in real cow hair-on-hide leather.</t>
  </si>
  <si>
    <t>villandry-lisse-noir</t>
  </si>
  <si>
    <t>Villandry Lisse Noir</t>
  </si>
  <si>
    <t>Made in France.
 The Villandry is instantly recognizable as a Paraboot. Taking elements from Paraboot's two most iconic styles, the Villandry is made with the Chambord's last and good looks, but featuring Michael's piped seam at the toe.
 A five eyelet derby, lined with leather and featuring Norwegian welt construction. 
 Note. We only ship Paraboot to Europe.</t>
  </si>
  <si>
    <t>Paraboot's piped toe derby, Villandry.</t>
  </si>
  <si>
    <t>bergerac-lisse-noir</t>
  </si>
  <si>
    <t>Bergerac Lisse Noir</t>
  </si>
  <si>
    <t>Paraboot's round toe boot, Bergerac.</t>
  </si>
  <si>
    <t>Shoe</t>
  </si>
  <si>
    <t>clusaz-jannu-marron-lis-ecorce</t>
  </si>
  <si>
    <t>CLUSAZ/JANNU MARRON-LIS ECORCE</t>
  </si>
  <si>
    <t>michael-lisse-ecorce</t>
  </si>
  <si>
    <t>Michael Lisse Ecorce</t>
  </si>
  <si>
    <t>Paraboot's iconic Michael, made in a beautiful waxed full grain leather.</t>
  </si>
  <si>
    <t>michael-noir, michael-marron, micka-velours-whiskey</t>
  </si>
  <si>
    <t>Primeboots</t>
  </si>
  <si>
    <t>Shoes women</t>
  </si>
  <si>
    <t>primeboots-mia-python-print-beige</t>
  </si>
  <si>
    <t>Primeboots MIA Python Print Beige</t>
  </si>
  <si>
    <t>Made in Spain
 Primeboots' Mia slipper is instantly recognisable by its square toe and 3,5 cm block heel. Made in premium leathers, with a python print, that will quickly shape to your foot. With Goodyear welted construction, and full leather soles.
 Designed in Skåne, Sweden, and made in Valverde in southern Spain, where Primeboots own their own factory. Their factory has more than a hundred years of experience making boots for Spanish mineworkers and cowboys, and the quality shows.
 The Mia fits small. Most customers size up one size.</t>
  </si>
  <si>
    <t>The Mia slipper has a square toe and a 3.5 cm block heel. It's made with premium python print leathers. This slipper features Goodyear welted construction and full leather soles.</t>
  </si>
  <si>
    <t>primeboots-mia-nappa-black</t>
  </si>
  <si>
    <t>Primeboots MIA Nappa Black</t>
  </si>
  <si>
    <t>Made in Spain
 Primeboots' Mia slipper is instantly recognisable by its square toe and 3,5 cm block heel. Made in premium leathers that will quickly shape to your foot. With Goodyear welted construction, and full leather soles.
 Designed in Skåne, Sweden, and made in Valverde in southern Spain, where Primeboots own their own factory. Their factory has more than a hundred years of experience making boots for Spanish mineworkers and cowboys, and the quality shows.
 The Mia fits small. Most customers size up one size.</t>
  </si>
  <si>
    <t>The Mia slipper features a square toe and a 3.5 cm block heel. With Goodyear welted construction and full leather soles, the design shapes to your foot quickly.</t>
  </si>
  <si>
    <t>Red Wing</t>
  </si>
  <si>
    <t>boot-cream</t>
  </si>
  <si>
    <t>Red Wing Boot Cream</t>
  </si>
  <si>
    <t>Made In USA
 Red Wing Boot Cream: Neutral, Brown or Black
 Red Wing's Leather Boot Cream is designed using a blend of high quality waxes and solvents with added lanolin to lubricate the leather's surface to prevent drying and increase water repellency, and to add shine. It was created specifically for Red Wing's smooth-finished leathers as well as the exposed leather of the Roccia outsole. 
 Black and Brown Boot Cream contains colour dyes (black and brown) to hide surface scuffs and scratches. 
 Which colour to choose?
 Neutral:
 - Can be used on all colours of smooth-finished leather
 - Neutral boot cream will not cover surface scuffs and scratches. Perfect to care for your shoes without changing the patina of the leather.
 - The right choice to treat the exposed leather on the Red Wing's leather outsoles (Beckman, Williston etc.).
 Brown:
 - Use on most of Red Wing's brown smooth-finished leather
 Black:
 - Use for all Red Wing's black smooth-finished leather</t>
  </si>
  <si>
    <t>Red Wing's leather boot cream uses high quality waxes, solvents, and added lanolin to lubricate leather's surface, prevent drying, increase water repellency, and add shine. Specifically created for Red Wing's smooth-finished leathers.</t>
  </si>
  <si>
    <t>97098-boot-cream-oro-russet</t>
  </si>
  <si>
    <t>mink-oil</t>
  </si>
  <si>
    <t>Mink Oil</t>
  </si>
  <si>
    <t>Made In USA
 Item No. 97105 : Mink Oil
 Red Wing's Mink Oil Conditioner is designed with lanolin and silicone to soften and condition the leather while increasing water resistance. It was created specifically for Red Wing's Oil-Tanned leather including Mesa, Muleskinner, Rough &amp; Tough and Yuma, but can of course be used for a wide range of traditional work boots and hiking boots. 
 This product works for:
 - All Red Wing's oil tanned leathers
 - Be aware that this leather conditioner will initially darken your leather, before it lightens with wear. If you are unsure of the result, try testing this product on a small, inconspicuous area of your footwear.</t>
  </si>
  <si>
    <t>Red Wing's Mink Oil Conditioner is designed to soften and condition leather, increasing water resistance with lanolin and silicone. Ideal for Oil-Tanned leather, it enhances a wide range of work and hiking boots.</t>
  </si>
  <si>
    <t>97106-brush</t>
  </si>
  <si>
    <t>Shoe Brush</t>
  </si>
  <si>
    <t>Made In USA
 Item No. 97106 : Brush
 Red Wing's Universal Brush is constructed using 100% horsehair and can be used to remove dust and light surface dirt, in addition to buffing the leather after a conditioner has been applied. 
 Beware of synthetic brushes that can scratch your fine leather. A 100% horsehair brush will ensure that your shoes get the treatment they deserve. Suitable for all shoes.</t>
  </si>
  <si>
    <t>Red Wing's Universal Brush, made with 100% horsehair, removes dust, light dirt, and buffs leather after conditioning. Ideal for all shoes. Avoid synthetic brushes to prevent scratching fine leather.</t>
  </si>
  <si>
    <t>97108-leather-protector</t>
  </si>
  <si>
    <t>Leather Protector</t>
  </si>
  <si>
    <t>Made In USA
 Item No. 97108 : Leather Protector
 Red Wing's Leather Protector Spray prevents water, salt and other elements from penetrating the surface where they can be wiped away instead of soaking into the leather's pores and fibers. It contains no silicone and is recommended for Oil-Tanned, Smooth-Finished and Roughout leathers. 
 This product works for:
 - All leather shoes!</t>
  </si>
  <si>
    <t>Red Wing's Leather Protector Spray prevents elements from soaking into leather's pores and fibers, containing no silicone, recommended for various leathers.</t>
  </si>
  <si>
    <t>875-classic-moc</t>
  </si>
  <si>
    <t>875 Classic Moc</t>
  </si>
  <si>
    <t>Made in USA
 Style No. 875 : Classic Moc
 Easily Red Wing's most iconic shoe! Practically identical to the original 877, the 875 is simply a shorter iteration. It's six inches of premium Red Wing Oro Legacy leather combined with Goodyear welt construction, a Traction Tred rubber outsole and triple stitched quality. 
 The Classic Work boots were designed and built to withstand the daily rigours of the work day on the farm and in the factory. The lightweight crepe sole featured a minimal tread design to reduce the mud that would cling to a farmer's boots but still provide the underfoot comfort the work day required. Red Wing would brand the crepe sole as the Traction Tred Sole. These classic boots featured a moc toe design. The name came from the word moccasin, the Algonquian Indian word for shoe. This combination of the u-shaped moc toe leather upper and the white crepe sole would become the iconic boot style for the Red Wing brand. It is one of the oldest Red Wing styles and continues to be a best-seller.</t>
  </si>
  <si>
    <t>The 875, a shorter version of the original 877, features six inches of premium leather, Goodyear welt construction, a Traction Tred outsole, and triple-stitched quality.</t>
  </si>
  <si>
    <t>8084-iron-ranger-black-harness</t>
  </si>
  <si>
    <t>8084 Iron Ranger Black Harness</t>
  </si>
  <si>
    <t>Made in USA
 Style no. 8084 : Iron Ranger Black Harness
 The 8084 is a rugged 6-inch boot, featuring premium Black Harness leather, chrome hardware, speed hooks, Goodyear welt construction, triple stitched quality, plus a durable Vibram® 430 Mini-lug sole for grip while maintaining the classic Iron Ranger construction and silhouette.
 The leather is water, stain and perspiration resistant, and has a more natural look and feel because less finishing materials have been applied, allowing its natural beauty to shine through. Oil-Tanned leather is exceptionally durable and has been used to build countless work boots throughout Red Wing’s 110+ year history.
 The early history of iron mining on Minnesota’s Mesabi Range is intertwined with that of Red Wing Shoe Company. The miners needed tough but comfortable boots that could stand up to the long days and tough conditions a northern Minnesota mine pit presented. Red Wing responded with a boot made of thick leather with an oil resisting outer sole, speed lacing hooks, and a comfortable cork midsole. The defining characteristic of these boots though, was their double layered toe, capped to protect the miner’s feet from injury as they laboured with hand tools and heavy machinery. That boot is still made today, the fittingly named Iron Ranger, and it represents not only Red Wing’s commitment to making boots for working men and women but also its Minnesota origins.</t>
  </si>
  <si>
    <t>The 8084 is a resilient 6-inch boot, showcasing premium Black Harness leather, chrome hardware, speed hooks, and a tough Vibram® 430 Mini-lug sole for grip.</t>
  </si>
  <si>
    <t>8085-iron-ranger-copper-rough</t>
  </si>
  <si>
    <t>8085 Iron Ranger Copper Rough &amp; Tough</t>
  </si>
  <si>
    <t>Made in USA
 Style no. 8085 : Iron Ranger Copper Rough &amp; Tough
 The 8084 is a rugged 6-inch boot, featuring premium Copper Rough &amp; Tough leather, chrome hardware, speed hooks, Goodyear welt construction, triple stitched quality, plus a durable Vibram® 430 Mini-lug sole for grip while maintaining the classic Iron Ranger construction and silhouette.
 Red Wing's Rough &amp; Tough leather is a pull-up leather. Tanned with natural oils and waxes, but no dyes, it displays a fantastic play of colour when stretched and bent. It's water, stain and perspiration resistant, and has a more natural look and feel because less finishing materials have been applied, allowing its natural beauty to shine through. Oil-Tanned leather is exceptionally durable and has been used to build countless work boots throughout Red Wing’s 110+ year history.
 The early history of iron mining on Minnesota’s Mesabi Range is intertwined with that of Red Wing Shoe Company. The miners needed tough but comfortable boots that could stand up to the long days and tough conditions a northern Minnesota mine pit presented. Red Wing responded with a boot made of thick leather with an oil resisting outer sole, speed lacing hooks, and a comfortable cork midsole. The defining characteristic of these boots though, was their double layered toe, capped to protect the miner’s feet from injury as they laboured with hand tools and heavy machinery. That boot is still made today, the fittingly named Iron Ranger, and it represents not only Red Wing’s commitment to making boots for working men and women but also its Minnesota origins.</t>
  </si>
  <si>
    <t>The 8084, a 6-inch boot, features premium leather, chrome hardware, speed hooks, Goodyear welt construction, triple stitched quality, and a durable Vibram® 430 Mini-lug sole.</t>
  </si>
  <si>
    <t>91025-foam-leather-cleaner</t>
  </si>
  <si>
    <t>Foam Leather Cleaner</t>
  </si>
  <si>
    <t>Made in USA
 91025 Foam Leather Cleaner
 The Foam Leather Cleaner is a versatile cleaner that works on all types of leather. This foaming cleaner removes stains on leather products and keeps them looking sharp for years. 
 This product works for:
 - All types of leather!</t>
  </si>
  <si>
    <t>The Foam Leather Cleaner is a versatile cleaner for all types of leather, effectively removing stains and maintaining their sharp look for years.</t>
  </si>
  <si>
    <t>Boot Cream Oro-russet</t>
  </si>
  <si>
    <t>Made in USA
 97098 Boot Cream Oro-Russet
 The Oro-Russet Boot cream consists of a blend of high-quality waxes, solvents, and lanolin that is formulated to lubricate the leather’s surface to prevent drying and increase water repellency, as well as to add shine. It contains dyes and was created to hide surface scuffs and scratches on Oro-Russet Red Wing smooth-finished leather.
 This product works for:- All smooth finished leather in Red Wing's Oro-Russet red hue.- Examples of models in Oro-Russet are8875, 8877, 8103, 8001 to name a few.- Oro-Russet should not be confused with Red Wing's Oro-Legacy (made famous by the 875). This boot cream has a stronger red hue.- We recommend starting with a small amount of cream to ensure an even coat.</t>
  </si>
  <si>
    <t>The Oro-Russet Boot cream is a blend of high-quality waxes, solvents, and lanolin formulated to lubricate leather's surface to prevent drying, increase water repellency, and add shine.</t>
  </si>
  <si>
    <t>97135-80-black-leather-lace</t>
  </si>
  <si>
    <t>Black Leather lace</t>
  </si>
  <si>
    <t>Made In USA 
 97135 80 Black Leather lace
 Red Wing's Leather Laces are a classic addition to any pair of Heritage footwear. The laces are made from American cowhides and add traditional durability and styling to boots and shoes.
 Note! Leather laces are easily cut to your desired length with a common pair of scissors, hence the 80" length. They fit boots with up to 13 pairs of eyelets, but if your boots have only 3-6 pairs of eyelets, this package effectively gives you two pairs of laces!
 Laces Length guide:
 "24" 2-3 pairs of eyelets
 "30-36" 3-5 pairs of eyelets
 "45-54" 6-7 pairs of eyelets
 "63-72" 8-10 pairs of eyelets
 "80" 11-13 pairs of eyelets</t>
  </si>
  <si>
    <t>Red Wing's Leather Laces are a classic addition to any pair of Heritage footwear, made from American cowhides for traditional durability and styling.</t>
  </si>
  <si>
    <t>97150-taslan-gold-tan-48-shoe-lace</t>
  </si>
  <si>
    <t>48" Taslan Lace Tan/Gold</t>
  </si>
  <si>
    <t>Made In USA
 97150 48" Taslan Lace Tan/Gold
 Taslan Laces are built using the original taslan construction process to prevent pilling and provide superior durability.
 The 48" lace is perfect for boots with around 6-7 pairs of eyelets, for example 6" boots like the 875 Moc Toe.
 Laces Length guide:
 30-36" 3-5 pairs of eyelets
 45-54" 6-7 pairs of eyelets
 63-72" 8-10 pairs of eyelets
 80" 11-13 pairs of eyelets</t>
  </si>
  <si>
    <t>97150 48" Taslan Lace Tan/Gold
 The 48" lace is perfect for boots with around 6-7 pairs of eyelets, for example 6" boots like the 875 Moc Toe.</t>
  </si>
  <si>
    <t>ext-rw-97157, 97158-taslan-brown-black-48-shoe-lace</t>
  </si>
  <si>
    <t>ext-rw-97157</t>
  </si>
  <si>
    <t>48" Taslan Lace Black</t>
  </si>
  <si>
    <t>Made In USA
 97157 48" Taslan Lace Black
 Taslan Laces are built using the original taslan construction process to prevent pilling and provide superior durability.
 The 48" lace is perfect for boots with around 6-7 pairs of eyelets, for example 6" boots like the Iron Ranger.
 Laces Length guide:
 30-36" 3-5 pairs of eyelets
 45-54" 6-7 pairs of eyelets
 63-72" 8-10 pairs of eyelets
 80" 11-13 pairs of eyelets</t>
  </si>
  <si>
    <t>97157 48" Taslan Lace Black
 The 48" lace is perfect for boots with around 6-7 pairs of eyelets, for example 6" boots like the Iron Ranger.</t>
  </si>
  <si>
    <t>97150-taslan-gold-tan-48-shoe-lace, 97158-taslan-brown-black-48-shoe-lace</t>
  </si>
  <si>
    <t>97158-taslan-brown-black-48-shoe-lace</t>
  </si>
  <si>
    <t>48" Taslan Lace Black/Brown</t>
  </si>
  <si>
    <t>Made In USA
 97158 48" Taslan Lace Black/Brown
 Taslan Laces are built using the original taslan construction process to prevent pilling and provide superior durability.
 The 48" lace is perfect for boots with around 6-7 pairs of eyelets, for example 6" boots like the Iron Ranger.
 Laces Length guide:
 30-36" 3-5 pairs of eyelets
 45-54" 6-7 pairs of eyelets
 63-72" 8-10 pairs of eyelets
 80" 11-13 pairs of eyelets</t>
  </si>
  <si>
    <t>97158 48" Taslan Lace Black/Brown
 The 48" lace is perfect for boots with around 6-7 pairs of eyelets, for example 6" boots like the Iron Ranger.</t>
  </si>
  <si>
    <t>ext-rw-97157, 97150-taslan-gold-tan-48-shoe-lace</t>
  </si>
  <si>
    <t>98002-heritage-leather-cleaner-kit</t>
  </si>
  <si>
    <t>Roughout/Nubuck Cleaner Kit</t>
  </si>
  <si>
    <t>Made in USA
 The Roughout/Nubuck Cleaner Kit maintains roughout and nubuck leathers with a two-step approach. The kit includes a cleaner bar for removing marks from leather and a stiff bristle brush for removing debris and restoring nap.
 How to use: Lightly rub the edge of the cleaner bar over the soiled area, like an eraser. For deep stains and marks, apply more pressure. If the stain or dirt still remains, wet both the Suede Bar and the stain with clean water and repeat rubbing action. Let dry, then use the cleaner bar to remove water spots. Brush up nap with stiff bristle brush.</t>
  </si>
  <si>
    <t>The kit includes a cleaner bar for removing marks from leather and a stiff bristle brush for removing debris and restoring nap.</t>
  </si>
  <si>
    <t>Reproduction of Found</t>
  </si>
  <si>
    <t>french-army-trainer-1440csl-black-white</t>
  </si>
  <si>
    <t>French Army Trainer 1440CSL Black/White</t>
  </si>
  <si>
    <t>Made in Slovakia.
 The 1440CSL is, believe it or not, a true reproduction of the trainers used by the French military during the 90's! But done in a fresh Japanese colourway.
 Made with premium suede, leather and durable Cordura Nylon, enforced with a protective rubberised suede heel cup. Made in the same factory in Slovakia that made the original French Army trainer, which happens to be the same factory that makes our favourite ZDAs.</t>
  </si>
  <si>
    <t>The 1440CSL is a reproduction of the French military trainers from the 90's, now in a Japanese colourway.</t>
  </si>
  <si>
    <t>Rototo</t>
  </si>
  <si>
    <t>double-face-merino-wool-cotton-blue-brown</t>
  </si>
  <si>
    <t>Double Face Merino Wool &amp; Cotton Blue/Brown</t>
  </si>
  <si>
    <t>Made in Japan
Rototo's Double Face sock is the product that made Rototo famous among sock enthusiasts. Inspired by old mountaineering socks the double faced socks are made with merino wool on the surface, with a deep loopback pile of undyed organic cotton on the inside making it feel fluffy and comfortable like a sweatshirt. A must-have.
 Size Guide:
 S: 23 - 25 cm / EU 37 – 39.5
 M: 25 – 27 cm / EU 39.5 – 42
 L: 27 – 29 cm / EU 42 – 45
80%Cotton, 15% Wool, 4% Polyester, 1% Polyurethane</t>
  </si>
  <si>
    <t>Rototo's popular and comfy Double Face socks.</t>
  </si>
  <si>
    <t>double-face-merino-wool-cotton-oatmeal, double-face-merino-wool-cotton-mid-grey, double-face-merino-wool-cotton-deep-ocean, double-face-merino-wool-cotton-green-brown</t>
  </si>
  <si>
    <t>double-face-merino-wool-cotton-oatmeal</t>
  </si>
  <si>
    <t>double-face-merino-wool-cotton-mid-grey</t>
  </si>
  <si>
    <t>double-face-merino-wool-cotton-army-green</t>
  </si>
  <si>
    <t>double-face-merino-wool-cotton-camel</t>
  </si>
  <si>
    <t>double-face-merino-wool-cotton-deep-ocean</t>
  </si>
  <si>
    <t>Socks Unisex</t>
  </si>
  <si>
    <t>Double Face Merino Wool &amp; Cotton Deep Ocean</t>
  </si>
  <si>
    <t>double-face-merino-wool-cotton-oatmeal, double-face-merino-wool-cotton-mid-grey, double-face-merino-wool-cotton-blue-brown, double-face-merino-wool-cotton-green-brown</t>
  </si>
  <si>
    <t>Double Face Merino Wool &amp; Cotton Mid Grey</t>
  </si>
  <si>
    <t>double-face-merino-wool-cotton-oatmeal, double-face-merino-wool-cotton-deep-ocean, double-face-merino-wool-cotton-blue-brown, double-face-merino-wool-cotton-green-brown</t>
  </si>
  <si>
    <t>Double Face Merino Wool &amp; Cotton Oatmeal</t>
  </si>
  <si>
    <t>double-face-merino-wool-cotton-mid-grey, double-face-merino-wool-cotton-deep-ocean, double-face-merino-wool-cotton-blue-brown, double-face-merino-wool-cotton-green-brown</t>
  </si>
  <si>
    <t>fairisle-jaquard-crew-ivory</t>
  </si>
  <si>
    <t>Fairisle Jaquard Crew Ivory</t>
  </si>
  <si>
    <t>Made in Japan
 Rototo's Fairisle Jaquard Crew socks are sure to get you in a joyful autumn/winter mood! A beautiful Fairisle pattern knitted in green and greys on an ivory sock. A midweight cotton sock with a nylon core for durability, carefully made using vintage Japanese knitting machines in the Nara region.
 Size Guide:
 M: 25 – 27 cm / EU 39 – 42
 L: 27 – 29 cm / EU 42 – 45
 92% Cotton, 6% Nylon, 2% Polyurethane</t>
  </si>
  <si>
    <t>A beautiful Fairisle pattern knitted in green and greys on an ivory sock. Midweight cotton and nylon for durability, crafted with care.</t>
  </si>
  <si>
    <t>guernsey-pattern-crew-blue</t>
  </si>
  <si>
    <t>Guernsey Pattern Crew Blue</t>
  </si>
  <si>
    <t>Made in Japan
 Rototo's Guernsey Pattern Crew socks are inspirerd by the timeless Guernsey fisherman's sweater. Knitted in a warm, soft and durable merino wool blend, low gauge, and with slightly higher length for the colder months. Finished with contrasting colours at the toe and heel, to brighten up your day.
 Size Guide:
 M: 25 – 27 cm / EU 39 – 42
 L: 27 – 29 cm / EU 42 – 45
 87% wool, 4% nylon, 8% polyester, 1% polyurethane</t>
  </si>
  <si>
    <t>Rototo's Guernsey Pattern Crew socks, inspired by the timeless Guernsey fisherman's sweater, are knitted in a warm, soft, and durable merino wool blend. Perfect for colder months with a slightly higher length.</t>
  </si>
  <si>
    <t>guernsey-pattern-crew-green</t>
  </si>
  <si>
    <t>everyday-pile-ankle-socks-black</t>
  </si>
  <si>
    <t>Everyday Pile Ankle Socks Black</t>
  </si>
  <si>
    <t>Made in Japan
 Rototo's Everyday Pile socks are an everyday essential. Knitted in Japan in a chunky and compact organic cotton yarn, on rare vintage low-gauge knitting machines.
 Knitted with soft and cushioning pile in the footbed which also helps wick moisture away from the skin. Finished off at a shorter ankle length with a loosly placed cuff, to keep your feet cool and comfortable in the warmer months.
 Size Guide:
 S: 23 - 25 cm / EU 37 - 39.5
 M: 25 – 27 cm / EU 39.5 – 42
 L: 27 – 29 cm / EU 42 – 45</t>
  </si>
  <si>
    <t>Knitted in Japan, these everyday essential socks are crafted on vintage low-gauge machines from organic cotton yarn, providing a chunky, compact feel.</t>
  </si>
  <si>
    <t>everyday-pile-ankle-socks-l-gray, everyday-pile-ankle-socks-lime, everyday-pile-ankle-socks-smalt-blue</t>
  </si>
  <si>
    <t>everyday-pile-ankle-socks-l-gray</t>
  </si>
  <si>
    <t>Everyday Pile Ankle Socks Light Gray</t>
  </si>
  <si>
    <t>Essential everyday Japan, chunky compact organic cotton socks. Rare vintage machines, soft cushioning in footbed, moisture wicking. Shorter ankle length, cool comfortable warmer months.</t>
  </si>
  <si>
    <t>everyday-pile-ankle-socks-black, everyday-pile-ankle-socks-lime, everyday-pile-ankle-socks-smalt-blue</t>
  </si>
  <si>
    <t>everyday-pile-ankle-socks-lime</t>
  </si>
  <si>
    <t>Everyday Pile Ankle Socks Lime</t>
  </si>
  <si>
    <t>Rototo's Everyday socks, knitted in Japan using organic cotton yarn, are designed for everyday use. These socks are crafted on vintage machines, ensuring a chunky and compact finish for daily comfort.</t>
  </si>
  <si>
    <t>everyday-pile-ankle-socks-black, everyday-pile-ankle-socks-l-gray, everyday-pile-ankle-socks-smalt-blue</t>
  </si>
  <si>
    <t>everyday-pile-ankle-socks-smalt-blue</t>
  </si>
  <si>
    <t>Everyday Pile Ankle Socks Smalt Blue</t>
  </si>
  <si>
    <t>Rototo's socks are essential, knitted compact in organic cotton yarn on vintage machines. Soft, cushioning pile in the footbed wicks moisture. Shorter length with loose cuff for cooler, comfortable feet.</t>
  </si>
  <si>
    <t>everyday-pile-ankle-socks-black, everyday-pile-ankle-socks-l-gray, everyday-pile-ankle-socks-lime</t>
  </si>
  <si>
    <t>fine-pile-striped-crew-socks-blue-pink</t>
  </si>
  <si>
    <t>Fine Pile Striped Crew Socks Blue/Pink</t>
  </si>
  <si>
    <t>Made in Japan
 Rototo's Fine Pile Striped Crew socks are inspired by 1970's tube socks. But where the 70's originals where roughly made, these socks are knitted with high-gauge knitting machines, making a smooth and fluffy fine pile on the inside. A comfortable and well-made sock to put some spring colour in your step.
 Size Guide:
 S: 23 - 25 cm / EU 37 - 39.5
 M: 25 – 27 cm / EU 39.5 – 42
 L: 27 – 29 cm / EU 42 – 45</t>
  </si>
  <si>
    <t>Rototo's socks are inspired by 1970's tube socks. Knitted with high-gauge machines, these socks have a smooth and fluffy pile on the inside. A comfortable and well-made choice.</t>
  </si>
  <si>
    <t>fine-pile-striped-crew-socks-green-orange, fine-pile-striped-crew-socks-wht-grn-orn, fine-pile-striped-crew-socks-wht-orn-blu</t>
  </si>
  <si>
    <t>fine-pile-striped-crew-socks-green-orange</t>
  </si>
  <si>
    <t>Fine Pile Striped Crew Socks Green/Orange</t>
  </si>
  <si>
    <t>By inspired 1970's tube socks, Rototo's Fine Pile Striped Crew socks are not roughly made but knitted with high-gauge machines for a smooth and fluffy inside. A comfortable step with spring colour.</t>
  </si>
  <si>
    <t>fine-pile-striped-crew-socks-blue-pink, fine-pile-striped-crew-socks-wht-grn-orn, fine-pile-striped-crew-socks-wht-orn-blu</t>
  </si>
  <si>
    <t>fine-pile-striped-crew-socks-wht-grn-orn</t>
  </si>
  <si>
    <t>Fine Pile Striped Crew Socks White/Green/Orange</t>
  </si>
  <si>
    <t>Rototo's socks, inspired by 1970's tube socks, use high-gauge knitting for a smooth and fluffy inside. A comfortable, well-made sock for spring.</t>
  </si>
  <si>
    <t>fine-pile-striped-crew-socks-wht-orn-blu, fine-pile-striped-crew-socks-green-orange, fine-pile-striped-crew-socks-blue-pink</t>
  </si>
  <si>
    <t>fine-pile-striped-crew-socks-wht-orn-blu</t>
  </si>
  <si>
    <t>Fine Pile Striped Crew Socks White/Orange/Blue</t>
  </si>
  <si>
    <t>Rototo's socks, inspired by 1970's tube socks, are knitted with high-gauge machines for a smooth, fluffy inside. A well-made sock for comfortable wear.</t>
  </si>
  <si>
    <t>fine-pile-striped-crew-socks-wht-grn-orn, fine-pile-striped-crew-socks-green-orange, fine-pile-striped-crew-socks-blue-pink</t>
  </si>
  <si>
    <t>hemp-organic-cotton-stripe-socks-morning-blue</t>
  </si>
  <si>
    <t>Hemp Organic Cotton Stripe Socks Morning Blue</t>
  </si>
  <si>
    <t>Made in Japan
 Rototo's Hemp and Organic Cotton Stripe Socks are a perfect match to effortless summer outfits. Knitted with a 2x2 rib, in a yarn combining hemp and organic cotton. These socks provide the comfort of cotton with the breathability and quick-drying properties of hemp, with a unique crisp texture.
 Size Guide: 
 S: 23 - 25 cm / EU 37 - 39.5
 M: 25 – 27 cm / EU 39.5 – 42
 L: 27 – 29 cm / EU 42 – 45</t>
  </si>
  <si>
    <t>Rototo's socks, knitted with a 2x2 rib in a yarn combining hemp and organic cotton, offer comfort with the breathability and quick-drying properties of hemp and a unique texture.</t>
  </si>
  <si>
    <t>hemp-organic-cotton-stripe-socks-sunset-gold, hemp-organic-cotton-stripe-socks-white-sand</t>
  </si>
  <si>
    <t>hemp-organic-cotton-stripe-socks-sunset-gold</t>
  </si>
  <si>
    <t>Hemp Organic Cotton Stripe Socks Sunset Gold</t>
  </si>
  <si>
    <t>Made with a blend of hemp and organic cotton, these socks combine comfort and breathability with quick-drying properties, featuring a unique crisp texture.</t>
  </si>
  <si>
    <t>hemp-organic-cotton-stripe-socks-morning-blue, hemp-organic-cotton-stripe-socks-white-sand</t>
  </si>
  <si>
    <t>hemp-organic-cotton-stripe-socks-white-sand</t>
  </si>
  <si>
    <t>Hemp Organic Cotton Stripe Socks White Sand</t>
  </si>
  <si>
    <t>Perfect for summer outfits. Knitted socks combining comfort and breathability with a unique texture.</t>
  </si>
  <si>
    <t>hemp-organic-cotton-stripe-socks-morning-blue, hemp-organic-cotton-stripe-socks-sunset-gold</t>
  </si>
  <si>
    <t>linen-organic-cotton-ribbed-ankle-socks-greyge-stripe</t>
  </si>
  <si>
    <t>Linen Organic Cotton Ribbed Ankle Socks Greyge Stripe</t>
  </si>
  <si>
    <t>Made in Japan
 Rototo's Linen and Organic Cotton Ankle Socks are a perfect match to casual summer outfits. The 3x1 ribbed fabric is knitted with an old-style low-gauge knitting machine with a mix of linen and organic cotton yarn produced by a unique fuzz-resistant spinning method called compact spinning. The linen fibres help provide excellent breathability, moisture absorption and moisture desorption.
 Size Guide: 
 S: 23 - 25 cm / EU 37 - 39.5
 M: 25 – 27 cm / EU 39.5 – 42
 L: 27 – 29 cm / EU 42 – 45</t>
  </si>
  <si>
    <t>The 3x1 ribbed fabric is knitted with old-style low-gauge knitting machines. A mix of linen and organic cotton yarn produced through compact spinning.</t>
  </si>
  <si>
    <t>linen-organic-cotton-ribbed-ankle-socks-red-blue-stripe</t>
  </si>
  <si>
    <t>Linen Organic Cotton Ribbed Ankle Socks Red/Blue Stripe</t>
  </si>
  <si>
    <t>The Linen and Organic Cotton Ankle Socks are perfect for casual summer outfits, featuring a ribbed fabric knitted with an old-style machine, mixing linen and organic cotton for breathability and moisture management.</t>
  </si>
  <si>
    <t>comfy-room-socks-sankaku-beige-gold</t>
  </si>
  <si>
    <t>Comfy Room Socks Sankaku Beige/Gold</t>
  </si>
  <si>
    <t>Made in Japan
Rototo's room socks bring a whole new level of comfort. Thick and warm, with a deep and soft pile on the inside, perfecting the art of "hygge". Expertly knitted in Japan on traditional machinery, with a low gauge acrylic blend yarn, in a shape that softly hugs the foot. A rubberized print on the sole of the socks secures good footing on slippery floors.
Size Guide: 
S: 23 – 25 cm / EU 37 – 39.5
M: 25 – 27 cm / EU 39.5 – 42
L: 27 – 29 cm / EU 42 – 45
43% Acrylic, 20% wool, 12% Nylon, 12% Polyester, 3% Polyurethane</t>
  </si>
  <si>
    <t>Warm and soft room socks from Rototo.</t>
  </si>
  <si>
    <t>comfy-room-socks-sankaku-charcoal-green</t>
  </si>
  <si>
    <t>merino-lambs-wool-room-socks-ivory</t>
  </si>
  <si>
    <t>merino-lambs-wool-room-socks-l-brown</t>
  </si>
  <si>
    <t>merino-lambs-wool-room-socks-navy</t>
  </si>
  <si>
    <t>Comfy Room Socks Sankaku Charcoal/Green</t>
  </si>
  <si>
    <t>Double Face Merino Wool ＆ Cotton Army Green</t>
  </si>
  <si>
    <t>Made in Japan
Rototo's Double Face sock is the product that made Rototo famous among sock enthusiasts. Inspired by old mountaineering socks the double faced socks are made with merino wool on the surface, with a deep loopback pile of undyed organic cotton on the inside making it feel fluffy and comfortable like a sweatshirt. A must-have.
Size Guide:
S: 23 - 25 cm / EU 37 – 39.5
M: 25 – 27 cm / EU 39.5 – 42
L: 27 – 29 cm / EU 42 – 45
80%Cotton, 15% Wool, 4% Polyester, 1% Polyurethane</t>
  </si>
  <si>
    <t>Double Face Merino Wool ＆ Cotton Camel</t>
  </si>
  <si>
    <t>merino-lambs-wool-high-socks-d-yellow</t>
  </si>
  <si>
    <t>Merino Lambs Wool High Socks D.Yellow</t>
  </si>
  <si>
    <t>Made in Japan
Knee-high wool socks featuring a chunky rib and contrasting heel and toe. Expertly knitted in Japan on traditional machinery, in a soft and warm merino wool yarn, spun around a nylon core for durability. 
Size Guide:
S: 23 - 25 cm / EU 37 – 39.5
59% Merino wool, 26% Nylon, 12% Polyester, 3% Polyurethane</t>
  </si>
  <si>
    <t>Rototo's knee-high Merino Socks.</t>
  </si>
  <si>
    <t>merino-lambs-wool-high-socks-ivory</t>
  </si>
  <si>
    <t>merino-lambs-wool-high-socks-pistachio</t>
  </si>
  <si>
    <t>Merino Lambs Wool High Socks Ivory</t>
  </si>
  <si>
    <t>Merino Lambs Wool High Socks Pistachio</t>
  </si>
  <si>
    <t>Merino Lambs Wool Room Socks Ivory</t>
  </si>
  <si>
    <t>Made in Japan
Rototo's Room Socks bring a whole new level of comfort. Designed to be worn indoors, thick and warm, with a deep and soft pile on the inside, perfecting the art of "hygge". Expertly knitted in Japan on traditional machinery, with a low gauge merino blend yarn, in a shape that softly hugs the foot. A rubberized print on the sole of the socks secures good footing on slippery floors.
Size Guide: 
S: 23 – 25 cm / EU 37 – 39.5
M: 25 – 27 cm / EU 39.5 – 42
L: 27 – 29 cm / EU 42 – 45
59% Merino wool, 26% Nylon, 12% Polyester, 3% Polyurethane</t>
  </si>
  <si>
    <t>Warm and soft merino room socks from Rototo.</t>
  </si>
  <si>
    <t>Merino Lambs Wool Room Socks L.Brown</t>
  </si>
  <si>
    <t>Merino Lambs Wool Room Socks Navy</t>
  </si>
  <si>
    <t>merino-lambs-wool-stripe-socks-green</t>
  </si>
  <si>
    <t>Merino Lambs Wool Stripe Socks Green</t>
  </si>
  <si>
    <t>Made in Japan
Sporty stripe socks in bold colours, in a high quality merino. Expertly knitted in Japan on traditional machinery, in a soft and warm merino wool yarn, spun around a nylon core for durability. 
Size Guide: 
M: 25 – 27 cm / EU 39.5 – 42
L: 27 – 29 cm / EU 42 – 45
87% Merino wool, 6% Nylon, 6% Polyester, 1% Polyurethane</t>
  </si>
  <si>
    <t>Rototo's autumn/winter stripe socks.</t>
  </si>
  <si>
    <t>merino-lambs-wool-stripe-socks-maroon-navy-blue</t>
  </si>
  <si>
    <t>merino-lambs-wool-stripe-socks-navy-blue-green</t>
  </si>
  <si>
    <t>merino-lambs-wool-stripe-socks-yellow</t>
  </si>
  <si>
    <t>Merino Lambs Wool Stripe Socks Maroon/Navy Blue</t>
  </si>
  <si>
    <t>Merino Lambs Wool Stripe Socks Navy Blue/Green</t>
  </si>
  <si>
    <t>Merino Lambs Wool Stripe Socks Yellow</t>
  </si>
  <si>
    <t>multi-jacquard-crew-socks-ivory-rust</t>
  </si>
  <si>
    <t>Multi Jacquard Crew Socks Ivory/Rust</t>
  </si>
  <si>
    <t>Made in Japan
The Multi Jacquard socks combines multiple panels of traditional knitting patterns, creating a subtle but complex whole. Expertly knitted in Japan on traditional machinery, in a cotton, acrylic and silk blend yarn, spun around a nylon core for durability. 
Size Guide: 
S: 23 - 25 cm / EU 37 - 39.5
M: 25 – 27 cm / EU 39.5 – 42
L: 27 – 29 cm / EU 42 – 45
41% Cotton, 41% Acrylic, 10% Silk, 6% Nylon, 2% Polyurethane</t>
  </si>
  <si>
    <t>Multi-jacquard patterned socks from Rototo.</t>
  </si>
  <si>
    <t>multi-jacquard-crew-socks-ivory-yellow</t>
  </si>
  <si>
    <t>Multi Jacquard Crew Socks Ivory/Yellow</t>
  </si>
  <si>
    <t>recycled-cotton-wool-daily-3-pack-socks-gray-off-white</t>
  </si>
  <si>
    <t>Recycled Cotton/Wool Daily 3 Pack Socks Gray/Off White</t>
  </si>
  <si>
    <t>Made in Japan
Perfect 3 pack of socks, knitted in three different heritage styles. Made in a warming blend of recycled cotton and wool for all day comfort, spun around a nylon core for durability. Expertly knitted in Japan on traditional machinery. 
Size Guide: 
M: 25 – 27 cm / EU 39.5 – 42
L: 27 – 29 cm / EU 42 – 45
46% Cotton, 36% wool, 9% Nylon, 8% Polyester, 1% Polyurethane</t>
  </si>
  <si>
    <t>Pack of three exquisite Rototo socks.</t>
  </si>
  <si>
    <t>recycled-cotton-wool-daily-3-pack-socks-off-white-black</t>
  </si>
  <si>
    <t>Recycled Cotton/Wool Daily 3 Pack Socks Off White/Black</t>
  </si>
  <si>
    <t>Saphir</t>
  </si>
  <si>
    <t>cotton-cloth</t>
  </si>
  <si>
    <t>Cotton cloth</t>
  </si>
  <si>
    <t>Made in France
 Saphir Médaille d'Or chamois cotton cloth is made from a soft 100% cotton. It provides an excellent shine when used to buff your shoes, and it can be used for the application of shoe polish.
 Size: 30 cm x 52 cm</t>
  </si>
  <si>
    <t>Cotton polishing cloth from Saphir</t>
  </si>
  <si>
    <t>creme-1925-black</t>
  </si>
  <si>
    <t>Crème 1925 Black</t>
  </si>
  <si>
    <t>Made in France 
 Saphir Médaille d’Or’s world-famous Crème 1925 has been favoured by leather shoe aficionados for nearly a century. This unique cream polish nourishes, conditions and revitalises the colour of leather. The formulation also provides protection and a beautiful wax shine.
 A nutritious leather cream, Crème 1925 is formulated with seven different waxes, turpentine spirit and shea butter oil. The leather absorbs the nutrients from the cream and the waxes protect and add shine.
 The high concentration of pigments in Crème 1925 produces a rich colour tint. The pigments work to rejuvenate the leather while also providing transparency to the original patina.
 Crème 1925 is suitable for use on smooth leather shoes.
 Directions:
 Ensure all dirt and dust is removed from the shoes. Buff shoes with a brush. For a more in-depth clean, use a good leather cleaner.
 Apply Crème 1925 sparingly using a cotton cloth or the Saphir Médaille d’Or Spreading Brush.
 Massage into the leather in a circular motion, enabling the cream to penetrate and nourish the leather. This will ensure a good layer of protection. Leave it to dry for one hour.
 Polish leather with a bristle brush then finish with a shoe cloth.
 Once a base coat of Crème 1925 has been applied, simply re-buff the shoe following wear to maintain the shine.</t>
  </si>
  <si>
    <t>Saphir's Crème 1925, the best shoe cream in the world.</t>
  </si>
  <si>
    <t>creme-1925-neutral, creme-1925-dark-brown, creme-1925-medium-brown, creme-1925-light-brown</t>
  </si>
  <si>
    <t>creme-1925-dark-brown</t>
  </si>
  <si>
    <t>Crème 1925 Dark Brown</t>
  </si>
  <si>
    <t>Made in France 
 Saphir Médaille d’Or’s world-famous Crème 1925 has been favoured by leather shoe aficionados for nearly a century. This unique cream polish nourishes, conditions and revitalises the colour of leather. The formulation also provides protection and a beautiful wax shine.
 A nutritious leather cream, Crème 1925 is formulated with seven different waxes, turpentine spirit and shea butter oil. The leather absorbs the nutrients from the cream and the waxes protect and add shine.
 The high concentration of pigments in Crème 1925 produces a rich colour tint. The pigments work to rejuvenate the leather while also providing transparency to the original patina.
 Crème 1925 is suitable for use on smooth leather shoes.
 How to choose the right shade of brown
 When selecting a colour cream to match your leather, it may not be possible to find a perfect match. The colour pigments in Crème 1925 enhance the existing colour by providing a transparent colour tint. Opting for a lighter colour minimises darkening of the leather and enables the existing colour to dominate. Darker tints can create a more nuanced patina, and hide blemishes better. Mixing two shades of Brown is also an option if your shoe is somewhere in between.
 Remember that since shoe cream is somewhat transparent, the colour of the shoe cream will look darker in the jar, than when applied to the shoe.
 Directions:
 Ensure all dirt and dust is removed from the shoes. Buff shoes with a brush. For a more in-depth clean, use a good leather cleaner.
 Apply Crème 1925 sparingly using a cotton cloth or the Saphir Médaille d’Or Spreading Brush.
 Massage into the leather in a circular motion, enabling the cream to penetrate and nourish the leather. This will ensure a good layer of protection. Leave it to dry for one hour.
 Polish leather with a bristle brush then finish with a shoe cloth.
 Once a base coat of Crème 1925 has been applied, simply re-buff the shoe following wear to maintain the shine.</t>
  </si>
  <si>
    <t>creme-1925-neutral, creme-1925-black, creme-1925-medium-brown, creme-1925-light-brown</t>
  </si>
  <si>
    <t>creme-1925-light-brown</t>
  </si>
  <si>
    <t>Crème 1925 Light Brown</t>
  </si>
  <si>
    <t>creme-1925-neutral, creme-1925-black, creme-1925-dark-brown, creme-1925-medium-brown</t>
  </si>
  <si>
    <t>creme-1925-medium-brown</t>
  </si>
  <si>
    <t>Crème 1925 Medium Brown</t>
  </si>
  <si>
    <t>creme-1925-neutral, creme-1925-black, creme-1925-dark-brown, creme-1925-light-brown</t>
  </si>
  <si>
    <t>creme-1925-neutral</t>
  </si>
  <si>
    <t>Crème 1925 Neutral</t>
  </si>
  <si>
    <t>Made in France
 Saphir Médaille d’Or’s world-famous Crème 1925 has been favoured by leather shoe aficionados for nearly a century. This unique cream polish nourishes, conditions and revitalises the colour of leather. The formulation also provides protection and a beautiful wax shine.
 A nutritious leather cream, Crème 1925 is formulated with seven different waxes, turpentine spirit and shea butter oil. The leather absorbs the nutrients from the cream and the waxes protect and add shine.
 Crème 1925 is suitable for use on smooth leather shoes.
 Directions:
 Ensure all dirt and dust is removed from the shoes. Buff shoes with a brush. For a more in-depth clean, use a good leather cleaner.
 Apply Crème 1925 sparingly using a cotton cloth or the Saphir Médaille d’Or Spreading Brush.
 Massage into the leather in a circular motion, enabling the cream to penetrate and nourish the leather. This will ensure a good layer of protection. Leave it to dry for one hour.
 Polish leather with a bristle brush then finish with a shoe cloth.
 Once a base coat of Crème 1925 has been applied, simply re-buff the shoe following wear to maintain the shine.</t>
  </si>
  <si>
    <t>creme-1925-black, creme-1925-dark-brown, creme-1925-medium-brown, creme-1925-light-brown</t>
  </si>
  <si>
    <t>crepe-brush</t>
  </si>
  <si>
    <t>Suede Crepe brush</t>
  </si>
  <si>
    <t>Made in France
 The Saphir Medaille D’Or Crepe brush gently and thoroughly removes soiling and stains from suede and nubuck. The sticky rubber crepe ribbon pulls dirt while also restoring the original finish and texture to the leather.
 The brush is crafted with high quality hand polished natural Bubinga wood. It uses 100% natural crepe which has a unique ability to be flexible and sticky. Its this soft and sticky texture which makes it perfect for cleaning delicate leathers.</t>
  </si>
  <si>
    <t>The Saphir Medaille D’Or Crepe brush gently and thoroughly removes soiling and stains from suede and nubuck. The sticky rubber crepe ribbon pulls dirt while also restoring the original finish and texture to the leather.</t>
  </si>
  <si>
    <t>polishing-brush-black-bristles</t>
  </si>
  <si>
    <t>Polishing brush black bristles</t>
  </si>
  <si>
    <t>Made in France
 This is a versatile brush and can be used for cleaning as well as shining. Made with a stiffer bristle this brush is suitable for removing any excess polish and adding a soft shine to waxes. Also useful in removing dirt and dust especially from textured leathers.
 We carry Saphir's polishing brushes with both black and neutral bristles. Handy for the shoe aficionado that wants separate brushes for their black and brown shoes.</t>
  </si>
  <si>
    <t>Versatile for cleaning and shining, this brush, with stiffer bristle, is also suitable for removing excess polish, waxes, or dust, especially from textured leathers.</t>
  </si>
  <si>
    <t>polishing-brush-white-bristles</t>
  </si>
  <si>
    <t>Polishing brush white bristles</t>
  </si>
  <si>
    <t>Made in France
 This is a versatile brush and can be used for cleaning as well as shining. Made with a stiffer bristle this brush is suitable for removing any excess polish and adding a soft shine to waxes. Also useful in removing dirt and dust especially from textured leathers.
 We carry Saphir's polishing brushes with both black and white bristles. Handy for the shoe aficionado that wants separate brushes for their black and brown shoes.</t>
  </si>
  <si>
    <t>This versatile brush, suitable for cleaning and shining, comes with stiffer bristles, ideal for removing excess polish and adding shine, as well as removing dirt and dust from textured leathers.</t>
  </si>
  <si>
    <t>renovateur</t>
  </si>
  <si>
    <t>Renovateur</t>
  </si>
  <si>
    <t>Made in France
 Renovateur Cream is the “must-have” product for any leather goods aficionado. Containing beeswax, lanolin and mink oil, it gently cleans while adding nourishment and protection to the leather. Renovateur Cream is highly regarded by leather care specialists as the best leather care product in the world!
 Renovateur Cleaner and Conditioner is suitable for use on smooth leather, including box calf (calfskin), goat, and specialty leather such as cordovan. It can be used on a wide array of leather goods such as leather bags, jackets, shoes, and book covers. Renovateur should however be avoided on crust leathers.
 Great for boots, shoes, bags and belts that have been neglected and badly need nourishing. For finer shoes that are treated regularly, a good shoe cream like crème 1925 is to be preferred.
 Directions
 Brush the item to remove dirt and dust.
 Apply Renovateur Cleaner and Conditioner sparingly with a white cotton cloth.
 Leave to dry for three minutes.
 Polish the leather with a soft cotton cloth.</t>
  </si>
  <si>
    <t>Saphir's Renovateur both cleans, conditions and protects your shoes.</t>
  </si>
  <si>
    <t>spreading-brush-white-bristles</t>
  </si>
  <si>
    <t>Spreading brush white bristles</t>
  </si>
  <si>
    <t>Made in France
 The Saphir Medaille D’or Spreading Brush has been specifically designed for easy access to jars. The small brush head also assists the application of creams and polishes in hard to reach areas places, and can be used to clean the welt of shoes.</t>
  </si>
  <si>
    <t>The small brush head assists in applying creams and polishes in hard-to-reach areas and can be used to clean the welt of shoes.</t>
  </si>
  <si>
    <t>super-invulner-waterproof-spray</t>
  </si>
  <si>
    <t>Super Invulner Waterproof Spray</t>
  </si>
  <si>
    <t>Made in France
 The best shoe spray on the market! Saphir's Super Invulner Spray protects and waterproofs the most delicate leather products. It offers superior resistance to water, snow, stains, dirt and grease.
 Formulated without silicone, the Super Invulner Spray contains a non-aggressive and non-greasy solvent to avoid damaging or discolouring fragile surfaces. It is suitable for use on the most expensive and delicate materials such as nappa and silk.
 Super Invulner Spray can be used on all types of leather including smooth, nappa, box calf (calf skin), veal, suede and nubuck. It is also suitable for cotton, silk and tex materials.
 Directions:
 - Carefully brush the item to remove dirt and dust. If necessary, clean it with a good leather cleaner.
 - Shake the can of Super Invulner Spray before use.
 - Hold the can 20 cm away from the item and spray in a well-ventilated area. Do not saturate the item.
 - Leave to dry for 30 minutes.</t>
  </si>
  <si>
    <t>The best shoe spray on the market!</t>
  </si>
  <si>
    <t>winter-stain-remover</t>
  </si>
  <si>
    <t>Winter Stain Remover</t>
  </si>
  <si>
    <t>Made in France
 A must-have for any shoe owner in Scandinavia! 
 The Saphir Winter Stain Remover effectively gets rid of white-coloured moisture or salt stains from any type of leather without damaging it.</t>
  </si>
  <si>
    <t>The Saphir Winter Stain Remover efficiently removes white-coloured moisture or salt stains from any leather without harm.</t>
  </si>
  <si>
    <t>pate-de-luxe-1925-black</t>
  </si>
  <si>
    <t>Pate De Luxe - Black</t>
  </si>
  <si>
    <t>Made in France
 Saphir's Pâte De Luxe wax polish is a unique traditional formulation. The finest natural oils and waxes are used to achieve superior cleaning, nourishing, and protection while producing a high-gloss shine to leather goods.
 Pâte De Luxe, one of Saphir Medaille d’Or’s most iconic products, is specially formulated to obtain a ‘glaçage’ or ‘mirror shine’ on the toecap of your shoes.The pigments have been chosen for their colouring and penetrating properties as well as their transparency. Pâte De Luxe wax polish allows you to obtain an incomparable patina by applying different shades of colour to the leather surface. Renowned shoemakers use this formulation during the shoe finishing process so by applying Pâte De Luxe as part of your shoe care routine, you will help prolong the optimal appearance of your shoes.
 Directions
 Brush the item to remove any dust or dirt.
 Apply a small amount of Pâte De Luxe with a cotton chamois cloth or the Spreading Brush to reach the welt seams and enable nourishment and protection of this delicate area.
 Massage gently to allow Pâte De Luxe to nourish and provide maximum protection to the leather.
 Apply one or two coats of Pâte De Luxe to the entire shoe.
 Leave to dry for five minutes between coats.
 Gently polish the leather with a bristle brush.
 For a high-gloss finish, apply additional coats to the toe and heel. Avoid over-application to the vamp of the shoe because excessive movement can crack the wax coating.</t>
  </si>
  <si>
    <t>The finest natural oils and waxes are used to achieve superior cleaning, nourishing, and protection while producing a high-gloss shine to leather goods.</t>
  </si>
  <si>
    <t>pate-de-luxe-1925-dark-brown, pate-de-luxe-1925-mid-brown, pate-de-luxe-1925-neutral</t>
  </si>
  <si>
    <t>pate-de-luxe-1925-neutral</t>
  </si>
  <si>
    <t>Pate De Luxe - Neutral</t>
  </si>
  <si>
    <t>The finest natural oils and waxes are used for superior cleaning, nourishing, and protection while producing a high-gloss shine to leather goods.</t>
  </si>
  <si>
    <t>pate-de-luxe-1925-black, pate-de-luxe-1925-dark-brown, pate-de-luxe-1925-mid-brown</t>
  </si>
  <si>
    <t>pate-de-luxe-1925-dark-brown</t>
  </si>
  <si>
    <t>Pate De Luxe - Dark Brown</t>
  </si>
  <si>
    <t>The finest natural oils and waxes are used for superior cleaning, nourishing, and protection while achieving a high-gloss shine on leather goods.</t>
  </si>
  <si>
    <t>pate-de-luxe-1925-black, pate-de-luxe-1925-mid-brown, pate-de-luxe-1925-neutral</t>
  </si>
  <si>
    <t>pate-de-luxe-1925-mid-brown</t>
  </si>
  <si>
    <t>Pate De Luxe - Mid Brown</t>
  </si>
  <si>
    <t>Made in France
 Saphir's Pâte De Luxe wax polish is a unique traditional formulation. The finest natural oils and waxes are used to achieve superior cleaning, nourishing, and protection while producing a high-gloss shine to leather goods.
 Pâte De Luxe, one of Saphir Medaille d’Or’s most iconic products, is specially formulated to obtain a ‘glaçage’ or ‘mirror shine’ on the toecap of your shoes.The pigments have been chosen for their colouring and penetrating properties as well as their transparency. Pâte De Luxe wax polish allows you to obtain an incomparable patina by applying different shades of colour to the leather surface.Renowned shoemakers use this formulation during the shoe finishing process so by applying Pâte De Luxe as part of your shoe care routine, you will help prolong the optimal appearance of your shoes.
 Directions
 Brush the item to remove any dust or dirt.
 Apply a small amount of Pâte De Luxe with a cotton chamois cloth or the Spreading Brush to reach the welt seams and enable nourishment and protection of this delicate area.
 Massage gently to allow Pâte De Luxe to nourish and provide maximum protection to the leather.
 Apply one or two coats of Pâte De Luxe to the entire shoe.
 Leave to dry for five minutes between coats.
 Gently polish the leather with a bristle brush.
 For a high-gloss finish, apply additional coats to the toe and heel. Avoid over-application to the vamp of the shoe because excessive movement can crack the wax coating.</t>
  </si>
  <si>
    <t>Saphir's Pâte De Luxe is crafted with the finest natural oils and waxes, designed to clean, nourish, and protect while ensuring a high-gloss shine on leather goods.</t>
  </si>
  <si>
    <t>pate-de-luxe-1925-black, pate-de-luxe-1925-dark-brown, pate-de-luxe-1925-neutral</t>
  </si>
  <si>
    <t>omninettoyant</t>
  </si>
  <si>
    <t>Omni’Nettoyant Shoe Cleaner</t>
  </si>
  <si>
    <t>Made in France
 Saphir's Omni’Nettoyant provides deep cleaning and stain removal for suede, nubuck, and textiles. 
 Saphir's unique formula contains solvents and surfactants which lift dirt and marks from the surface leaving it clean and renewed. A brush with natural bristles is included to gently cleanse without damaging the surface.
 Omn’Nettoyant is suitable for use on suede, nubuck, textile, TEX materials, microfibres, stretch, and crepe.
 Directions
 Carefully remove any dirt or dust from the shoe using a Crepe Brush.
 Pour the required amount of Omni’Nettoyant into a container and dilute with water.
 Apply the product using the included brush.
 Rinse the bristles with water and brush the leather surface again.
 Leave to dry for six hours.
 Brush suede items with the Crepe Brush, to revitalise the original surface texture and patina.</t>
  </si>
  <si>
    <t>Saphir's formula contains surfactants and solvents that lift dirt and marks, leaving surfaces clean and renewed. Comes with a natural bristle brush for gentle, damage-free cleansing.</t>
  </si>
  <si>
    <t>sport-loisir-outdoor-neutral</t>
  </si>
  <si>
    <t>Sport Loisir Outdoor - Neutral</t>
  </si>
  <si>
    <t>Made in France
 The Saphir Sport Loisir Outdoor is a leather grease for all kinds of outdoor activities. Great for mountain, walking, hunting, sports, and horse riding footwear with courser leather. Can be used on smooth leather, greased leather and greased nubuck.
 Meant for sports and leisure footwear. For fine leather shoes we recommend using other Saphir products, like their creme 1925.
 Directions
 Brush your shoes to remove dirt and dust. Clean with leather soap if needed.
 Apply Sports Loisir with a cotton cloth or spreading brush.
 Leave to draw into the leather for a while.
 Remove excess grease and polish the leather with a soft cotton cloth.
 Keep in mind that the leather to be treated will become darker in color.</t>
  </si>
  <si>
    <t>Great for mountain, walking, hunting, sports, horse riding footwear, including smooth leather, greased leather, and greased nubuck. Specifically designed for outdoor activities.</t>
  </si>
  <si>
    <t>Son Venin</t>
  </si>
  <si>
    <t>0905-50ml</t>
  </si>
  <si>
    <t>0905</t>
  </si>
  <si>
    <t>Made in Norway and France
 Son Venïn's 0905 is a fragrance with a strong, charismatic appeal and masculine character. The sparkling spices are in opposition to leathery and ambery notes on the base.
 Top: ginger, cardamom, sagebrush
 Heart: dry lavender, pine sap, leather
 Bottom: amber, cedar wood &amp; dry woods
 Contains 50 mL.</t>
  </si>
  <si>
    <t>Son Venïn's 0905 is a blend of leathery and ambery notes with a base of sparkling spices, creating a charismatic and masculine fragrance.</t>
  </si>
  <si>
    <t>3007-50ml</t>
  </si>
  <si>
    <t>3007</t>
  </si>
  <si>
    <t>Made in Norway and France
 Son Venïn's 3007 is a sophisticated and feminine blend that is composed of fresh orange blossom mixed with some powdery notes and an addictive white bouquet of white jasmine, revealed in some soft touches of vanilla.
 Top: neroli, orange flower
 Heart: jasmine blossom, vanilla
 Bottom: white musk, sandalwood &amp; cedar wood
 Contains 50 mL.</t>
  </si>
  <si>
    <t>Sophisticated and feminine blend, mixing fresh orange blossom with powdery notes, and a white bouquet of white jasmine, touched softly by vanilla.</t>
  </si>
  <si>
    <t>levoleur-50ml</t>
  </si>
  <si>
    <t>Le Voleur</t>
  </si>
  <si>
    <t>Made in Norway and France
 Son Venïn's LE VOLEUR is an elegant and seductive scent, that mingle together the freshness of a white bouquet and modern iris with sensual incense and gaïac wood.
 Top: saffron, pink berries
 Heart: muscade, incense, sheer white bouquet, iris
 Bottom: sandalwood, gaïac wood, amber, white &amp; dry woods
 Contains 50 mL.</t>
  </si>
  <si>
    <t>Son Venïn's LE VOLEUR mingles the freshness of a white bouquet with modern iris, sensual incense, and gaïac wood in an elegant, seductive scent.</t>
  </si>
  <si>
    <t>posthume-50ml</t>
  </si>
  <si>
    <t>Posthume</t>
  </si>
  <si>
    <t>Made in Norway and France
 Son Venïn's POSTHUME is the scent of Nordic heritage, thousands of years of cold climate and extreme nature. Tar from our sacred buildings, texture from the nature that surrounds us. We created a sensory reenactment of our heritage. This is where we come from; this is our inherent creature.
 POSTHUME is the winner in the independent category of the prestigious Art and Olfaction Awards 2020.
 Top: Cinnamon
 Heart: Clove, Tobacco
 Bottom: Vanilla, Leather, Vetyver, Tonka Bean, Smoked Accord
 Contains 50 mL.</t>
  </si>
  <si>
    <t>POSTHUME, a sensory reenactment of our Nordic heritage, reflects thousands of years of cold climate and extreme nature. It embodies the essence of where we come from; our inherent creature.</t>
  </si>
  <si>
    <t>pur01-50ml</t>
  </si>
  <si>
    <t>Pur 01</t>
  </si>
  <si>
    <t>Made in Norway and France
 Son Venïn's PUR 01 is the essence of a Mediterranean country where rose, lavender and thyme blended together reminds you of a warm sunset and the fresh notes of eucalyptus and sparkling spices passing by you. A charismatic fragrance that finishes with touches of amber and wood for a long lasting and addictive effect.
 Top: saffron, cardamom, eucalyptus, bergamot
 Heart: thyme bouquet, lavender, rose petals
 Bottom: labdanum, gaïac wood &amp; patchouli
 Contains 50 mL.</t>
  </si>
  <si>
    <t>A Mediterranean essence where rose, lavender, and thyme blend, reminiscent of a warm sunset. Eucalyptus and sparkling spices pass by, finishing with amber and wood for an addictive effect.</t>
  </si>
  <si>
    <t>pur02-50ml</t>
  </si>
  <si>
    <t>Pur 02</t>
  </si>
  <si>
    <t>Made in Norway and France
 Son Venïn's PUR 02 is a pure and minimalistic fragrance that is built around an accord of sheer, white jasmine and pure white woods highlighted by the softness of white musk. It evokes the pure and fresh winter nights where silence and white snow embrace the woods.
 Top: mandarin, bergamot, elemi, mint leaves, aquatic notes
 Heart: basil, white transparent jasmine
 Bottom: patchouli, cedar wood, vetiver, white musk &amp; white woods
 Contains 50 mL.</t>
  </si>
  <si>
    <t>Pur 02, a fragrance of pure, minimalistic essence, with sheer, white jasmine and pure white woods, accented by soft white musk, evokes pure, fresh winter nights embracing the woods.</t>
  </si>
  <si>
    <t>santal-super-50ml</t>
  </si>
  <si>
    <t>Santal Super</t>
  </si>
  <si>
    <t>Made in Norway and France
 Son Venïn's SANTAL SUPER is an all-day-addictive pure, confident, democratic and warm perfume that you want to hug.
 It is atmospheric, warm scented with a bite of pepper, the fresh balance of clean jasmine with hints of cardamom. Spheric with ever-loving sandalwood &amp; cedar woody notes together with epic ISO E-Super.
 Top: pepper, bergamot, green notes
 Heart: eucalyptus, incense, cardamon, jasmine
 Bottom: sandalwood, cedar wood &amp; white musk
 Contains 50 mL.</t>
  </si>
  <si>
    <t>An all-day-addictive, pure, confident, democratic, and warm scent. Atmospheric with a bite of pepper, balance of clean jasmine, cardamom hints, sandalwood, and cedar. Warm and inviting with epic notes.</t>
  </si>
  <si>
    <t>santal-supr-solid, santal-supr-solid-refill</t>
  </si>
  <si>
    <t>ambr-super</t>
  </si>
  <si>
    <t>AMBR Super</t>
  </si>
  <si>
    <t>Made in Norway and France
 Son Venïn's AMBR SUPER is a pure and clean interpretation of amber and woody notes.
 Inspired by cultivated purist young Scandinavian skin, Euphoria and The Knife. Balancing between the intimacy of a skin perfume and the strength of the warm amber notes with epic ISO E-Super.
 Top: cardamom
 Heart: plum, ambrette, tonka bean
 Bottom: ambrox, cedar wood, white oak, sandalwood, musk
 Contains 50 mL.</t>
  </si>
  <si>
    <t>Pure and clean interpretation of amber and woody notes, inspired by young Scandinavian skin, Euphoria, and The Knife. Balances intimacy of skin perfume with warm amber and epic ISO E-Super.</t>
  </si>
  <si>
    <t>ambr-super-solid-3g, ambr-super-solid-refill-2x3g</t>
  </si>
  <si>
    <t>ambr-super-solid-3g</t>
  </si>
  <si>
    <t>AMBR Super Solid perfume</t>
  </si>
  <si>
    <t>Made in France
 Son Venïn's AMBR SUPER is a pure and clean interpretation of amber and woody notes.
 Inspired by cultivated purist young Scandinavian skin, Euphoria and The Knife. Balancing between the intimacy of a skin perfume and the strength of the warm amber notes with epic ISO E-Super.
 Son Venïn's refillable solid perfumes are encased in metal with a durable rotating lid. The solid wax perfume is a perfect companion to thebottled perfume, to re-up the scent throughout the day, or to use on its own as a milder scent. Handy for both traveling and every day carry. Formulated with natural bees wax.
 Top: cardamom
 Heart: plum, ambrette, tonka bean
 Bottom: ambrox, cedar wood, white oak, sandalwood, musk
 Contains 3 g wax perfume.</t>
  </si>
  <si>
    <t>Inspired by young Scandinavian skin, AMBR SUPER balances between intimate skin perfume and warm amber notes with strength.</t>
  </si>
  <si>
    <t>ambr-super-solid-refill-2x3g, ambr-super</t>
  </si>
  <si>
    <t>ambr-super-solid-refill-2x3g</t>
  </si>
  <si>
    <t>AMBR Super Solid Refill 2-pack</t>
  </si>
  <si>
    <t>Made in France
 Son Venïn's AMBR SUPER is a pure and clean interpretation of amber and woody notes.
 Inspired by cultivated purist young Scandinavian skin, Euphoria and The Knife. Balancing between the intimacy of a skin perfume and the strength of the warm amber notes with epic ISO E-Super.
 Son Venïn's refillable solid perfumes are encased in metal with a durable rotating lid. The solid wax perfume is a perfect companion to thebottled perfume, to re-up the scent throughout the day, or to use on its own as a milder scent. Handy for both traveling and every day carry. Formulated with natural bees wax.
 This product contains 2 wax perfume refills, that fit Son Venïn's solid perfume metal case.
 Top: cardamom
 Heart: plum, ambrette, tonka bean
 Bottom: ambrox, cedar wood, white oak, sandalwood, musk
 Contains 2x 3 g wax perfume refills.</t>
  </si>
  <si>
    <t>Inspired by young Scandinavian skin, AMBR SUPER blends warmth of amber with epic ISO E-Super. A pure, clean scent balancing intimacy and strength.</t>
  </si>
  <si>
    <t>ambr-super-solid-3g, ambr-super</t>
  </si>
  <si>
    <t>santal-supr-solid</t>
  </si>
  <si>
    <t>Santal Super Solid Perfume</t>
  </si>
  <si>
    <t>Made in France
 Son Venïn's SANTAL SUPER is an all-day-addictive pure, confident, democratic and warm perfume that you want to hug.
 It is atmospheric, warm scented with a bite of pepper, the fresh balance of clean jasmine with hints of cardamom. Spheric with ever-loving sandalwood &amp; cedar woody notes together with epic ISO E-Super.
 Son Venïn's refillable solid perfumes are encased in metal with a durable rotating lid. The solid wax perfume is a perfect companion to thebottled perfume, to re-up the scent throughout the day, or to use on its own as a milder scent. Handy for both traveling and every day carry. Formulated with natural bees wax.
 Top: pepper, bergamot, green notes
 Heart: eucalyptus, incense, cardamon, jasmine
 Bottom: sandalwood, cedar wood &amp; white musk
 Contains 3 g wax perfume.</t>
  </si>
  <si>
    <t>SANTAL SUPER is a pure, confident, and warm perfume. Atmospheric with a pepper bite, balanced by clean jasmine and hints of cardamom, embraced by sandalwood, cedarwood, and ISO E-Super notes.</t>
  </si>
  <si>
    <t>santal-super-50ml, santal-supr-solid-refill</t>
  </si>
  <si>
    <t>santal-supr-solid-refill</t>
  </si>
  <si>
    <t>Santal Super Solid Refill 2-pack</t>
  </si>
  <si>
    <t>Made in France
 Son Venïn's SANTAL SUPER is an all-day-addictive pure, confident, democratic and warm perfume that you want to hug.
 It is atmospheric, warm scented with a bite of pepper, the fresh balance of clean jasmine with hints of cardamom. Spheric with ever-loving sandalwood &amp; cedar woody notes together with epic ISO E-Super.
 Son Venïn's refillable solid perfumes are encased in metal with a durable rotating lid. The solid wax perfume is a perfect companion to thebottled perfume, to re-up the scent throughout the day, or to use on its own as a milder scent. Handy for both traveling and every day carry. Formulated with natural bees wax.
 This product contains 2 wax perfume refills, that fit Son Venïn's solid perfume metal case.
 Top: pepper, bergamot, green notes
 Heart: eucalyptus, incense, cardamon, jasmine
 Bottom: sandalwood, cedar wood &amp; white musk
 Contains 2x 3 g wax perfume refills.</t>
  </si>
  <si>
    <t>Son Venïn's SANTAL SUPER is a warm, all-day scent offering a confident hug. Atmospheric with touches of pepper, jasmine, cardamom, sandalwood, and cedar notes. An addictive, democratic fragrance.</t>
  </si>
  <si>
    <t>santal-supr-solid, santal-super-50ml</t>
  </si>
  <si>
    <t>Steamery</t>
  </si>
  <si>
    <t>tumble-dryer-balls</t>
  </si>
  <si>
    <t>Tumble Dryer Balls</t>
  </si>
  <si>
    <t>Steamery's Tumble Dryer Balls are a clever, cost-effective and sustainable option to fabric softeners and plastic dryer balls. The dryer balls will cut your tumble dry time and remove static electricity. Since the balls make your fabrics softer, there is no need for a liquid fabric softener.
 100% natural wool
 Reduces tumble dry time by 10-30%
 Soften your laundry
 Remove static electricity
 Will last for at least 3-5 years</t>
  </si>
  <si>
    <t>The dryer balls cut tumble dry time, remove static electricity, and eliminate the need for liquid fabric softener. They make fabrics softer, offering a cost-effective and sustainable option.</t>
  </si>
  <si>
    <t>pocket-brush</t>
  </si>
  <si>
    <t>Pocket Brush</t>
  </si>
  <si>
    <t>Steamery's Pocket Brush is the clothing brush for people on the go. The Pocket Brush is a quality brush made of rosewood and natural boar bristles, small enough to fit in your pocket. It will gently remove dust, dirt, and hair from any fabric.</t>
  </si>
  <si>
    <t>The Pocket Brush is made of rosewood and natural boar bristles, designed to gently remove dust, dirt, and hair from fabric, small enough for your pocket.</t>
  </si>
  <si>
    <t>cirrus-no-3-iron-steamer-charcoal</t>
  </si>
  <si>
    <t>Cirrus No.3 Iron Steamer - Charcoal</t>
  </si>
  <si>
    <t>Introducing the new Cirrus No. 3 Iron Steamer from Steamery of Stockholm!
 Cirrus No.3 Iron Steamer is a hybrid between a steamer and an iron, making it possible to steam your clothes any way you prefer. This iron steamer will make your clothes wrinkle-free, smooth and appealing in no time. The hot steam also reduces bad smells and kills bacteria, making it a great alternative to washing.
 Depending on how you steam, you can achieve either a pressed or a more natural look with this iron steamer. It has an ironing plate that heats up to the same temperature as level 1 on an iron, that helps to improve the steam quality and dry the fabric, and gives the option to also iron your clothes and textiles. Its curved shape with a textured surface enhances the friction between the mouthpiece and the fabric, making your steaming even more efficient.
 Efficient, easy to use at home and easy to bring on a weekend or a business trip. The steamer works on all kinds of fabrics, from a delicate silk blouse to a linen shirt or knitwear. Your clothes get smooth, wrinkle free and presentable. The steam also reduces bad odours and removes shallow dirt.
 Steaming is simple, time-saving and a gentler alternative to ironing. Steaming is also good for your clothing, since you don’t have to wash the clothes that only need to be refreshed. If you steam your clothes instead of washing them, they will last much longer.</t>
  </si>
  <si>
    <t>Steam your clothes any way you prefer with our hybrid between a steamer and an iron. Achieve wrinkle-free, smooth, and appealing garments in no time.</t>
  </si>
  <si>
    <t>cirrus-no-3-iron-steamer-charcoal, cirrus-3-iron-steamer-sage</t>
  </si>
  <si>
    <t>cirrus-no-3-iron-steamer-sand</t>
  </si>
  <si>
    <t>Cirrus No.3 Iron Steamer - Sand</t>
  </si>
  <si>
    <t>This hybrid iron steamer smooths clothes quickly, reviving them by reducing odors and killing bacteria. A great alternative to washing, it works on all fabrics efficiently.</t>
  </si>
  <si>
    <t>pilo-no-2-fabric-shaver-charcoal</t>
  </si>
  <si>
    <t>Pilo No. 2 Fabric Shaver Charcoal</t>
  </si>
  <si>
    <t>Representing the ideal balance between function and esthetics. Pilo No.2 Fabric Shaver is gentle yet effective and removes lint and pilling from all kinds of materials. With 6 precision razor blades and a large shaving area, Pilo No.2 Fabric Shaver is stronger and more efficient than other fabric shavers on the market.
 Pilo No.2 Fabric Shaver works perfectly on both clothes and home textiles, like knits, coats, scarfs, socks, sofas, armrests and blankets. It works on all kinds of materials, even the most delicate ones, and also features a new solution that makes it easier to clean the machine from fuzz.
 A lot of knitwear that is thrown away, would be almost as good as new with a quick going over with a fabric shaver. Knits that can feel worn out ragged, are often just pilling, and have a lot of life left in them. Properly taking care of your clothing will make them last much longer.</t>
  </si>
  <si>
    <t>Effective and gentle, Pilo No.2 removes lint and pilling from all materials. With precision blades, it's strong, efficient, and works on clothes and home textiles. Ideal for knits, sofas, and more.</t>
  </si>
  <si>
    <t>pilo-no-2-fabric-shaver-ivory, pilo-2-fabric-shaver-sage</t>
  </si>
  <si>
    <t>pilo-no-2-fabric-shaver-ivory</t>
  </si>
  <si>
    <t>Pilo No. 2 Fabric Shaver - Sand</t>
  </si>
  <si>
    <t>Representing the ideal balance between function and aesthetics. Pilo No.2 Fabric Shaver is gentle yet effective and removes lint and pilling from all kinds of materials. With 6 precision razor blades and a large shaving area, Pilo No.2 Fabric Shaver is stronger and more efficient than other fabric shavers on the market.
 Pilo No.2 Fabric Shaver works perfectly on both clothes and home textiles, like knits, coats, scarfs, socks, sofas, armrests and blankets. It works on all kinds of materials, even the most delicate ones, and also features a new solution that makes it easier to clean the machine from fuzz.
 A lot of knitwear that is thrown away, would be almost as good as new with a quick going over with a fabric shaver. Knits that can feel worn out ragged, are often just pilling, and have a lot of life left in them. Properly taking care of your clothing will make them last much longer.</t>
  </si>
  <si>
    <t>Gentle yet effective, the Fabric Shaver removes lint and pilling from materials with precision razor blades. It's efficient for clothes and home textiles, enhancing their appearance and feel.</t>
  </si>
  <si>
    <t>pilo-no-2-fabric-shaver-charcoal, pilo-2-fabric-shaver-sage</t>
  </si>
  <si>
    <t>lint-brush-dark-grey</t>
  </si>
  <si>
    <t>Lint Brush Charcoal</t>
  </si>
  <si>
    <t>Steamery's new lint brush is a perfect substitute for the old tape rollers you keep buying. Keeping your clothes and furniture flawless and free from hair, dust, fuzz, dandruff and pet hair. Easy to use and self cleaning, just brush away, and twist the handle.
 The bristle is made of a polyester weave where all the tiny bristles are pointed in the same tilted direction. Thus, when moving the brush against the bristles, the bristle will lift and catch the lint, hair, dandruff, and dirt. Twist the handle 2–3 times to clean the brush. Push on the lid on top of the brush to empty the container.</t>
  </si>
  <si>
    <t>Keep your clothes and furniture flawless, free from hair, dust, fuzz, dandruff, and pet hair. Easy to use, self-cleaning. Just brush away and twist the handle.</t>
  </si>
  <si>
    <t>lint-brush-beige</t>
  </si>
  <si>
    <t>cirrus-3-iron-steamer-sage</t>
  </si>
  <si>
    <t>Cirrus No. 3 Iron Steamer - Sage</t>
  </si>
  <si>
    <t>Introducing the new Cirrus No. 3 Iron Steamer from Steamery of Stockholm.
 Cirrus No. 3 Iron Steamer is a hybrid between a steamer and an iron, making it possible to steam your clothes any way you prefer. This iron steamer will make your clothes wrinkle-free, smooth and appealing in no time. The hot steam also reduces bad smells and kills bacteria, making it a great alternative to washing.
 Depending on how you steam, you can achieve either a pressed or a more natural look with this iron steamer. It has an ironing plate that heats up to the same temperature as level 1 on an iron, that helps to improve the steam quality and dry the fabric, and gives the option to also iron your clothes and textiles. Its curved shape with a textured surface enhances the friction between the mouthpiece and the fabric, making your steaming even more efficient.
 Efficient, easy to use at home and easy to bring on a weekend or a business trip. The steamer works on all kinds of fabrics, from a delicate silk blouse to a linen shirt or knitwear. Your clothes get smooth, wrinkle free and presentable. The steam also reduces bad odours and removes shallow dirt.
 Steaming is simple, time-saving and a gentler alternative to ironing. Steaming is also good for your clothing, since you don’t have to wash the clothes that only need to be refreshed. If you steam your clothes instead of washing them, they will last much longer.</t>
  </si>
  <si>
    <t>This iron steamer makes clothes wrinkle-free and smooth quickly. It also reduces smells and kills bacteria, offering an alternative to washing.</t>
  </si>
  <si>
    <t>cirrus-no-3-iron-steamer-charcoal, cirrus-no-3-iron-steamer-sand</t>
  </si>
  <si>
    <t>Lint Brush Sand</t>
  </si>
  <si>
    <t>Keep your clothes and furniture free from hair, dust, fuzz, dandruff, and pet hair with our easy-to-use, self-cleaning lint brush. Just brush away and twist the handle for flawless results.</t>
  </si>
  <si>
    <t>pilo-2-fabric-shaver-sage</t>
  </si>
  <si>
    <t>Pilo 2 Fabric Shaver – Sage</t>
  </si>
  <si>
    <t>Pilo No.2 Fabric Shaver, with 6 precision razor blades and a large shaving area, is effective for all materials, ensuring efficiency in removing lint and pilling.</t>
  </si>
  <si>
    <t>pilo-no-2-fabric-shaver-charcoal, pilo-no-2-fabric-shaver-ivory</t>
  </si>
  <si>
    <t>fabric-spray-delicate-100ml</t>
  </si>
  <si>
    <t>Fabric Spray-Delicate-100ml</t>
  </si>
  <si>
    <t>Transparent</t>
  </si>
  <si>
    <t>small-transparent-speaker-metal</t>
  </si>
  <si>
    <t>Small Transparent Speaker Metal</t>
  </si>
  <si>
    <t>Made in China
 The Small Transparent Speaker - A compact yet powerful device that delivers exceptional sound quality with its unique Transparent sound technology. This sleek and stylish speaker made of tempered glass and aluminium is the perfect addition to any music lover's collection. This speaker is designed to be as much an interior object as a great sounding piece of technology.
 Designed and built to be modular, the Transparent speaker comes with the latest connectivity tech, but is also future proof. If needed the Speaker is easily upgraded to meet new wireless standards or other needs with a simple usb dongle, and the modular design enables repairs.
 Details:
 - Bluetooth 5.0 connectivity
 - Connect two speakers using True wireless and play both simultaneously
 - Materials: Aluminium and tempered glass
 - Front Controls: Volume, bass and treble
 - Line in: 2 x 3,5mm (front and back)
 - USB power connection in back
 Sound:
 - L/R Drivers: 2 × 3’’ (Full Range)
 - Amplifier: Class D built-in (active)
 - Output power: 2x 15W
 - Sealed Cabinet Volume: 3 L
 - Frequency Response: 60 Hz - 20 kHz ±3 dB on axis
 - High Quality Digital Signal Processing (DSP)
 - Recommended room size: 1 x Small Transparent Speaker ≈ 40 sqm, 2 x Small transparent Speakers ≈ 50 sqm
 Size:
 - Dimensions (mm): 268 × 203 × 95
 - Weight: 3.3kg</t>
  </si>
  <si>
    <t>A powerful device, the Small Transparent Speaker delivers exceptional sound quality. Perfect addition for any music lover, designed to be an interior object as well as great sounding technology.</t>
  </si>
  <si>
    <t>small-transparent-speaker-white</t>
  </si>
  <si>
    <t>Small Transparent Speaker White</t>
  </si>
  <si>
    <t>The Small Transparent Speaker delivers exceptional sound with Transparent sound technology. Perfect for music enthusiasts, this speaker combines technology and design for superior audio.</t>
  </si>
  <si>
    <t>transparent-speaker-white</t>
  </si>
  <si>
    <t>Transparent Speaker White</t>
  </si>
  <si>
    <t>Made in China
 The Transparent Speaker, a revolutionary speaker that offers a truly transparent sound experience. Designed with simplicity and elegance in mind, this speaker features a unique transparent design that blends seamlessly into any room while providing an unmatched audio experience. Made with aluminium and tempered glass, this 11 kg speaker is a statement piece that commands attention in any home.
 Designed and built to be modular, the Transparent speaker comes with the latest connectivity tech, but is also future proof. If needed the Speaker is easily upgraded to meet new wireless standards or other needs with a simple usb dongle, and the modular design enables repairs.
 Details:
 - Bluetooth 5.0 connectivity
 - Connect two speakers using True wireless and play both simultaneously
 - Materials: Aluminium and tempered glass
 - Front Controls: Volume, bass and treble
 - Line in: 2 x 3,5mm (front and back)
 - USB power connection in back
 Sound:
 - L/R Drivers: 2 × 3’’ (Full Range)
 - Woofer: 1 × 6.5’’
 - Amplifier: Class D built-in (active)
 - Rated power: 100-120W
 - Sealed Cabinet Volume: 10,2 L
 - Frequency Response: 35 Hz - 20 kHz ±5dB
 - High Quality Digital Signal Processing (DSP)
 - Recommended room size: ≈ 70 sqm
 Size:
 - Height: 33,3 cm / 13 in
 - Width: 43,1 cm / 16.9 in
 - Depth: 11,8 cm / 4.6 in
 - Weight: 11 kg</t>
  </si>
  <si>
    <t>The Transparent Speaker offers an unparalleled sound experience, showcasing simplicity and elegance in its design. This unique speaker blends into any room, providing exceptional audio quality.</t>
  </si>
  <si>
    <t>Ursa Major</t>
  </si>
  <si>
    <t>fortifying-face-balm</t>
  </si>
  <si>
    <t>Fortifying Face Balm</t>
  </si>
  <si>
    <t>Ursa Major's lightweight, fast-absorbing lotion is packed with potent natural actives to calm, hydrate and nourish skin, without clogging pores or creating shine. The result is skin that appears clearer, firmer and smoother to keep you looking healthier longer.
 Key Ingredients:
 Aloe: soothes and hydrates while promoting healthy tissue regeneration
 Willow bark: Natural source of salicylic acid (beta hydroxy acid); soothes and conditions skin
 Kendi seed: Delivers fast-absorbing, lightweight hydration
 Olive: Moisturizes and soothes
 Carrot: Contains skin rejuvenating compounds beta-carotene and Vitamin A
 Birch sap: Helps reduce the appearance of redness
 Aroma: A Herbal elixir infused with lavender, lime, spearmint and rosemary.</t>
  </si>
  <si>
    <t>This lightweight lotion, packed with potent natural actives, calms, hydrates, and nourishes without clogging pores or creating shine, resulting in clearer, firmer, and smoother skin.</t>
  </si>
  <si>
    <t>hoppin-fresh-deodorant</t>
  </si>
  <si>
    <t>Hoppin Fresh Deodorant</t>
  </si>
  <si>
    <t>Made in USA
 Ursa Major's award-winning natural deodorant eliminates underarm odour while absorbing excess moisture and soothing skin. Its reliable performance, healthy ingredients and invigorating aroma will keep you fresh all day long.
 Key Ingredients:
 Hops: Neutralizes unpleasant odors
 Aloe: Soothes and hydrates
 Saccharomyces ferment: A probiotic enzyme with potent odor-absorbing properties
 Kaolin Clay: A soft, mild clay used for its moisture-absorbing properties
 Matricaria (German Chamomile): Soothes sensitive skin
 Shea Butter: Moisturizes and soothes skin</t>
  </si>
  <si>
    <t>Ursa Major's natural deodorant eliminates odour, absorbs moisture, and soothes skin. Its healthy ingredients and invigorating aroma ensure freshness throughout the day.</t>
  </si>
  <si>
    <t>no-bs-deodorant, ursa-major-forest-fix-deo</t>
  </si>
  <si>
    <t>fantastic-face-wash</t>
  </si>
  <si>
    <t>Fantastic Face Wash</t>
  </si>
  <si>
    <t>Made in USA
 This luxurious, concentrated face wash delivers an invigorating cleanse, plus a hit of AHA exfoliation, without stripping your skin of moisture or messing with its pH balance. It also also smells amazing, scented with a little cedar, lime and spearmint, giving you a minty fresh start to the day.
 Key Ingredients:
 Aloe: soothes and hydrates while promoting healthy tissue regeneration
 Coconut-derived surfactants: Naturally-derived, non-drying cleansing agents
 Lemon: Natural source of alpha hydroxy acids; exfoliates and brightens
 White tea: Rich in antioxidants to help promote healthy skin
 Rice seed: Moisturizes and smooths the appearance of skin
 Sugarcane: Natural source of glycolic acid; brightens and clarifies</t>
  </si>
  <si>
    <t>This concentrated face wash delivers an invigorating cleanse and AHA exfoliation without stripping moisture or messing with pH balance. Scented with cedar, lime, and spearmint for a refreshing start.</t>
  </si>
  <si>
    <t>no-bs-deodorant</t>
  </si>
  <si>
    <t>Base Layer Deodorant</t>
  </si>
  <si>
    <t>Made in USA
 The unscented, baking soda-free version of Ursa Major's bestselling Hoppin’ Fresh Deodorant. This uniquely-effective, baking soda- and aluminium-free deodorant eliminates underarm odour and absorbs excess moisture to provide long-lasting protection for even the most sensitive skin.
 Key Ingredients:
 Hops: Neutralizes unpleasant odors
 Aloe: Soothes and hydrates
 Saccharomyces ferment: A probiotic enzyme with potent odor-absorbing properties
 Kaolin Clay: A soft, mild clay used for its moisture-absorbing properties
 Matricaria (German Chamomile): Soothes sensitive skin
 Shea Butter: Moisturizes and soothes skin</t>
  </si>
  <si>
    <t>Unscented, baking soda-free deodorant. Effective, eliminates underarm odour, absorbs moisture. Long-lasting protection for sensitive skin.</t>
  </si>
  <si>
    <t>hoppin-fresh-deodorant, ursa-major-forest-fix-deo</t>
  </si>
  <si>
    <t>ursa-major-forest-fix-deo</t>
  </si>
  <si>
    <t>Forest Fix Deodorant</t>
  </si>
  <si>
    <t>Made in USA
 Ursa Major's award-winning natural deodorant eliminates underarm odour while absorbing excess moisture and soothing skin. Its reliable performance, healthy ingredients and invigorating aroma will keep you fresh all day long.
 Ursa Major's Forest Fix deo gives you the performance you know from their now famous Hoppin' Fresh deodorant, with a fresh new woodsy fragrance of fir and sandlewood with bright topnotes of citrus and ginger.
 Key Ingredients:
 Hops: Neutralizes unpleasant odors
 Aloe: Soothes and hydrates
 Saccharomyces ferment: A probiotic enzyme with potent odor-absorbing properties
 Kaolin Clay: A soft, mild clay used for its moisture-absorbing properties. Fights odor-causing bacteria while delivering a fresh, clean scent
 Baking Soda: Inhibits odors and neutralizes acid</t>
  </si>
  <si>
    <t>Ursa Major's natural deodorant effectively eliminates odour, absorbs moisture, and soothes skin. Enjoy all-day freshness with healthy ingredients and an invigorating aroma. Experience reliable performance with Ursa Major.</t>
  </si>
  <si>
    <t>hoppin-fresh-deodorant, no-bs-deodorant</t>
  </si>
  <si>
    <t>Wollow</t>
  </si>
  <si>
    <t>open-chocolate-brown</t>
  </si>
  <si>
    <t>Open Chocolate Brown</t>
  </si>
  <si>
    <t>Made in Romania.
 Wollow's original hybrid shoe that combines the comfort and openness of a sandal with the aesthetic and covered toe of a sneaker.
 Handcrafted in Europe with equal focus on design and responsibility. Made with a specially developed orthopedic cork inner sole, natural rubber outer soles, vegetable tanned suede leather uppers and an antibacterial lining for exceptional moisture management. Wollow's Open is designed to be equally comfortable worn barefoot or styled with socks.
 Made in Romania where the vulcanisation of the natural rubber sole is done in kilns, ensuring a durable and flexible sole with a superb finish.
 Details:
 - Natural rubber soles
 - Vegetable tanned suede leather
 - Orthopedic cork soles made with natural cork, natural latex rubber and jute
 - Exceptional moisture mangement, keeping the Open free from unwanted odours
 - Organic cotton laces</t>
  </si>
  <si>
    <t>Wollow's original hybrid shoe that combines the comfort and openness of a sandal with the aesthetic and covered toe of a sneaker.</t>
  </si>
  <si>
    <t>open-ginger-peel</t>
  </si>
  <si>
    <t>Open Ginger Peel</t>
  </si>
  <si>
    <t>tarmac-black</t>
  </si>
  <si>
    <t>Tarmac Black</t>
  </si>
  <si>
    <t>Made in Romania.
 Handcrafted in Europe with equal focus on design and responsibility. Wollow's Tarmac is made with vegetable tanned suede leather uppers, with ghillie lacing detailing drawn from their original Open sandal/sneaker hybrid.
 Fitted with breathable recycled foam insole developed by Arneplant, ensuring comfort, breathability and long-lasting shcok absorption. Finished with natural rubber soles and an antibacterial lining for exceptional moisture management and odour control.
 Made in Romania where the vulcanisation of the natural rubber sole is done in kilns, ensuring a durable and flexible sole with a superb finish.
 Details:
 - Natural rubber soles
 - Vegetable tanned suede leather upper
 - Breathable recycled foam insole made by Arneplant in Europe
 - Organic cotton laces</t>
  </si>
  <si>
    <t>Wollow's suede leather ghillie laced sneaker in Black.</t>
  </si>
  <si>
    <t>tarmac-ginger-peel</t>
  </si>
  <si>
    <t>tarmac-canvas-dune-ginger</t>
  </si>
  <si>
    <t>Tarmac Canvas Dune Ginger</t>
  </si>
  <si>
    <t>Made in Romania.
 Handcrafted in Europe with equal focus on design and responsibility. Wollow's Tarmac Canvas is made with a combination of vegetable tanned suede leather and organic cotton canvas uppers. Designed with ghillie lacing detailing drawn from their original Open sandal/sneaker hybrid.
 Fitted with breathable recycled foam insole developed by Arneplant, ensuring comfort, breathability and long-lasting shcok absorption. Finished with natural rubber soles and an antibacterial lining for exceptional moisture management and odour control.
 Made in Romania where the vulcanisation of the natural rubber sole is done in kilns, ensuring a durable and flexible sole with a superb finish.
 Details:
 - Natural rubber soles
 - Vegetable tanned suede leather and organic cotton canvas upper
 - Breathable recycled foam insole made by Arneplant in Europe
 - Organic cotton laces</t>
  </si>
  <si>
    <t>Wollow's suede leather ghillie-laced sneaker, with organic cotton canvas details.</t>
  </si>
  <si>
    <t>Tarmac Ginger Peel</t>
  </si>
  <si>
    <t>Wollow's suede leather ghillie-laced sneaker.</t>
  </si>
  <si>
    <t>Woods copenhagen</t>
  </si>
  <si>
    <t>intense-peel-mask</t>
  </si>
  <si>
    <t>INTENSE PEEL MASK</t>
  </si>
  <si>
    <t>wrapin</t>
  </si>
  <si>
    <t>gift-wrap</t>
  </si>
  <si>
    <t>Gift Wrap</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</si>
</sst>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rial"/>
      <scheme val="minor"/>
    </font>
    <font>
      <b/>
      <sz val="11.0"/>
      <color theme="1"/>
      <name val="Arial"/>
    </font>
    <font>
      <sz val="11.0"/>
      <color theme="1"/>
      <name val="Arial"/>
    </font>
    <font>
      <color theme="1"/>
      <name val="Arial"/>
      <scheme val="minor"/>
    </font>
    <font>
      <b/>
      <sz val="11.0"/>
      <color rgb="FF000000"/>
      <name val="Arial"/>
    </font>
    <font>
      <sz val="11.0"/>
      <color rgb="FF000000"/>
      <name val="Arial"/>
    </font>
    <font>
      <sz val="9.0"/>
      <color rgb="FF616161"/>
      <name val="Inter"/>
    </font>
  </fonts>
  <fills count="9">
    <fill>
      <patternFill patternType="none"/>
    </fill>
    <fill>
      <patternFill patternType="lightGray"/>
    </fill>
    <fill>
      <patternFill patternType="solid">
        <fgColor rgb="FFE2EFDA"/>
        <bgColor rgb="FFE2EFDA"/>
      </patternFill>
    </fill>
    <fill>
      <patternFill patternType="solid">
        <fgColor rgb="FFB4C6E7"/>
        <bgColor rgb="FFB4C6E7"/>
      </patternFill>
    </fill>
    <fill>
      <patternFill patternType="solid">
        <fgColor rgb="FF000000"/>
        <bgColor rgb="FF000000"/>
      </patternFill>
    </fill>
    <fill>
      <patternFill patternType="solid">
        <fgColor rgb="FFFFFF00"/>
        <bgColor rgb="FFFFFF00"/>
      </patternFill>
    </fill>
    <fill>
      <patternFill patternType="solid">
        <fgColor rgb="FFFFF2CC"/>
        <bgColor rgb="FFFFF2CC"/>
      </patternFill>
    </fill>
    <fill>
      <patternFill patternType="solid">
        <fgColor rgb="FFFCE5CD"/>
        <bgColor rgb="FFFCE5CD"/>
      </patternFill>
    </fill>
    <fill>
      <patternFill patternType="solid">
        <fgColor rgb="FFFFFFFF"/>
        <bgColor rgb="FFFFFFFF"/>
      </patternFill>
    </fill>
  </fills>
  <borders count="7">
    <border/>
    <border>
      <left/>
      <right/>
      <top/>
      <bottom/>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2" fontId="1" numFmtId="0" xfId="0" applyAlignment="1" applyBorder="1" applyFill="1" applyFont="1">
      <alignment vertical="bottom"/>
    </xf>
    <xf borderId="1" fillId="3" fontId="1" numFmtId="0" xfId="0" applyAlignment="1" applyBorder="1" applyFill="1" applyFont="1">
      <alignment vertical="bottom"/>
    </xf>
    <xf borderId="0" fillId="3" fontId="1" numFmtId="0" xfId="0" applyAlignment="1" applyFont="1">
      <alignment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readingOrder="0" vertical="bottom"/>
    </xf>
    <xf borderId="1" fillId="2" fontId="1" numFmtId="0" xfId="0" applyBorder="1" applyFont="1"/>
    <xf borderId="1" fillId="3" fontId="1" numFmtId="0" xfId="0" applyBorder="1" applyFont="1"/>
    <xf borderId="1" fillId="3" fontId="1" numFmtId="0" xfId="0" applyBorder="1" applyFont="1"/>
    <xf borderId="0" fillId="0" fontId="3" numFmtId="0" xfId="0" applyFont="1"/>
    <xf borderId="0" fillId="3" fontId="4" numFmtId="0" xfId="0" applyAlignment="1" applyFont="1">
      <alignment readingOrder="0" shrinkToFit="0" vertical="bottom" wrapText="0"/>
    </xf>
    <xf borderId="0" fillId="4" fontId="1" numFmtId="0" xfId="0" applyFill="1" applyFont="1"/>
    <xf borderId="2" fillId="3" fontId="1" numFmtId="0" xfId="0" applyAlignment="1" applyBorder="1" applyFont="1">
      <alignment horizontal="center" readingOrder="0"/>
    </xf>
    <xf borderId="0" fillId="3" fontId="1" numFmtId="0" xfId="0" applyAlignment="1" applyFont="1">
      <alignment horizontal="center" readingOrder="0"/>
    </xf>
    <xf borderId="3" fillId="3" fontId="1" numFmtId="0" xfId="0" applyAlignment="1" applyBorder="1" applyFont="1">
      <alignment horizontal="center" readingOrder="0"/>
    </xf>
    <xf borderId="0" fillId="5" fontId="1" numFmtId="0" xfId="0" applyAlignment="1" applyFill="1" applyFont="1">
      <alignment horizontal="center" readingOrder="0"/>
    </xf>
    <xf borderId="0" fillId="4" fontId="3" numFmtId="0" xfId="0" applyFont="1"/>
    <xf borderId="0" fillId="0" fontId="3" numFmtId="0" xfId="0" applyAlignment="1" applyFont="1">
      <alignment horizontal="center" readingOrder="0"/>
    </xf>
    <xf borderId="0" fillId="0" fontId="3" numFmtId="0" xfId="0" applyAlignment="1" applyFont="1">
      <alignment horizontal="center"/>
    </xf>
    <xf borderId="0" fillId="5" fontId="3" numFmtId="0" xfId="0" applyFont="1"/>
    <xf borderId="0" fillId="0" fontId="3" numFmtId="0" xfId="0" applyAlignment="1" applyFont="1">
      <alignment readingOrder="0"/>
    </xf>
    <xf borderId="0" fillId="6" fontId="3" numFmtId="0" xfId="0" applyAlignment="1" applyFill="1" applyFont="1">
      <alignment horizontal="center" readingOrder="0"/>
    </xf>
    <xf borderId="0" fillId="7" fontId="3" numFmtId="0" xfId="0" applyAlignment="1" applyFill="1" applyFont="1">
      <alignment readingOrder="0"/>
    </xf>
    <xf borderId="0" fillId="0" fontId="3" numFmtId="0" xfId="0" applyAlignment="1" applyFont="1">
      <alignment horizontal="left" readingOrder="0"/>
    </xf>
    <xf borderId="0" fillId="8" fontId="5" numFmtId="0" xfId="0" applyAlignment="1" applyFill="1" applyFont="1">
      <alignment horizontal="left"/>
    </xf>
    <xf borderId="1" fillId="0" fontId="1" numFmtId="0" xfId="0" applyBorder="1" applyFont="1"/>
    <xf borderId="0" fillId="3" fontId="4" numFmtId="0" xfId="0" applyAlignment="1" applyFont="1">
      <alignment shrinkToFit="0" vertical="bottom" wrapText="0"/>
    </xf>
    <xf borderId="1" fillId="5" fontId="1" numFmtId="0" xfId="0" applyBorder="1" applyFont="1"/>
    <xf borderId="0" fillId="2" fontId="1" numFmtId="0" xfId="0" applyFont="1"/>
    <xf borderId="0" fillId="3" fontId="1" numFmtId="0" xfId="0" applyFont="1"/>
    <xf borderId="0" fillId="0" fontId="5" numFmtId="0" xfId="0" applyAlignment="1" applyFont="1">
      <alignment readingOrder="0" shrinkToFit="0" vertical="bottom" wrapText="0"/>
    </xf>
    <xf borderId="2" fillId="0" fontId="3" numFmtId="0" xfId="0" applyAlignment="1" applyBorder="1" applyFont="1">
      <alignment horizontal="center"/>
    </xf>
    <xf borderId="3" fillId="0" fontId="3" numFmtId="0" xfId="0" applyAlignment="1" applyBorder="1" applyFont="1">
      <alignment horizontal="center"/>
    </xf>
    <xf borderId="2" fillId="0" fontId="3" numFmtId="0" xfId="0" applyAlignment="1" applyBorder="1" applyFont="1">
      <alignment horizontal="center" readingOrder="0"/>
    </xf>
    <xf borderId="0" fillId="0" fontId="5" numFmtId="0" xfId="0" applyAlignment="1" applyFont="1">
      <alignment shrinkToFit="0" vertical="bottom" wrapText="0"/>
    </xf>
    <xf borderId="0" fillId="0" fontId="2" numFmtId="0" xfId="0" applyAlignment="1" applyFont="1">
      <alignment horizontal="center" vertical="bottom"/>
    </xf>
    <xf borderId="2" fillId="0" fontId="5" numFmtId="0" xfId="0" applyAlignment="1" applyBorder="1" applyFont="1">
      <alignment horizontal="center" readingOrder="0"/>
    </xf>
    <xf borderId="0" fillId="0" fontId="5" numFmtId="0" xfId="0" applyAlignment="1" applyFont="1">
      <alignment horizontal="left" readingOrder="0"/>
    </xf>
    <xf borderId="0" fillId="0" fontId="5" numFmtId="0" xfId="0" applyAlignment="1" applyFont="1">
      <alignment readingOrder="0"/>
    </xf>
    <xf borderId="2" fillId="0" fontId="3" numFmtId="0" xfId="0" applyAlignment="1" applyBorder="1" applyFont="1">
      <alignment readingOrder="0"/>
    </xf>
    <xf borderId="2" fillId="0" fontId="3" numFmtId="0" xfId="0" applyBorder="1" applyFont="1"/>
    <xf borderId="2" fillId="8" fontId="5" numFmtId="0" xfId="0" applyAlignment="1" applyBorder="1" applyFont="1">
      <alignment horizontal="center" readingOrder="0"/>
    </xf>
    <xf borderId="0" fillId="8" fontId="5" numFmtId="0" xfId="0" applyAlignment="1" applyFont="1">
      <alignment horizontal="center" readingOrder="0"/>
    </xf>
    <xf borderId="3" fillId="0" fontId="3" numFmtId="0" xfId="0" applyAlignment="1" applyBorder="1" applyFont="1">
      <alignment horizontal="center" readingOrder="0"/>
    </xf>
    <xf borderId="2" fillId="0" fontId="2" numFmtId="0" xfId="0" applyAlignment="1" applyBorder="1" applyFont="1">
      <alignment horizontal="center" vertical="bottom"/>
    </xf>
    <xf borderId="0" fillId="0" fontId="2" numFmtId="0" xfId="0" applyAlignment="1" applyFont="1">
      <alignment horizontal="center" readingOrder="0" vertical="bottom"/>
    </xf>
    <xf borderId="2" fillId="0" fontId="2" numFmtId="0" xfId="0" applyAlignment="1" applyBorder="1" applyFont="1">
      <alignment horizontal="center" readingOrder="0" vertical="bottom"/>
    </xf>
    <xf borderId="0" fillId="0" fontId="2" numFmtId="0" xfId="0" applyAlignment="1" applyFont="1">
      <alignment horizontal="center" vertical="bottom"/>
    </xf>
    <xf borderId="0" fillId="0" fontId="5" numFmtId="0" xfId="0" applyAlignment="1" applyFont="1">
      <alignment horizontal="center" readingOrder="0"/>
    </xf>
    <xf borderId="4" fillId="0" fontId="3" numFmtId="0" xfId="0" applyAlignment="1" applyBorder="1" applyFont="1">
      <alignment horizontal="center"/>
    </xf>
    <xf borderId="5" fillId="0" fontId="3" numFmtId="0" xfId="0" applyAlignment="1" applyBorder="1" applyFont="1">
      <alignment horizontal="center"/>
    </xf>
    <xf borderId="6" fillId="0" fontId="3" numFmtId="0" xfId="0" applyAlignment="1" applyBorder="1" applyFont="1">
      <alignment horizontal="center"/>
    </xf>
    <xf borderId="0" fillId="0" fontId="5" numFmtId="49" xfId="0" applyAlignment="1" applyFont="1" applyNumberFormat="1">
      <alignment readingOrder="0" shrinkToFit="0" vertical="bottom" wrapText="0"/>
    </xf>
    <xf borderId="0" fillId="8" fontId="6" numFmtId="0" xfId="0" applyAlignment="1" applyFont="1">
      <alignment readingOrder="0"/>
    </xf>
  </cellXfs>
  <cellStyles count="1">
    <cellStyle xfId="0" name="Normal" builtinId="0"/>
  </cellStyles>
  <dxfs count="1">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5" max="5" width="32.0"/>
    <col customWidth="1" min="6" max="6" width="46.38"/>
    <col customWidth="1" min="8" max="8" width="28.75"/>
    <col customWidth="1" min="9" max="9" width="25.75"/>
    <col customWidth="1" min="10" max="10" width="34.88"/>
    <col customWidth="1" min="13" max="13" width="42.63"/>
    <col customWidth="1" min="15" max="15" width="33.88"/>
    <col customWidth="1" min="16" max="16" width="31.13"/>
    <col customWidth="1" min="17" max="17" width="21.5"/>
    <col customWidth="1" min="19" max="19" width="21.63"/>
    <col customWidth="1" min="20" max="20" width="40.13"/>
    <col customWidth="1" min="21" max="21" width="43.38"/>
    <col customWidth="1" min="22" max="22" width="28.25"/>
    <col customWidth="1" min="23" max="23" width="30.38"/>
    <col customWidth="1" min="24" max="24" width="23.75"/>
    <col customWidth="1" min="25" max="25" width="22.63"/>
    <col customWidth="1" min="26" max="26" width="22.5"/>
  </cols>
  <sheetData>
    <row r="1">
      <c r="A1" s="1" t="s">
        <v>0</v>
      </c>
      <c r="B1" s="1" t="s">
        <v>1</v>
      </c>
      <c r="C1" s="1" t="s">
        <v>2</v>
      </c>
      <c r="D1" s="1"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3"/>
    </row>
    <row r="2">
      <c r="A2" s="4" t="s">
        <v>32</v>
      </c>
      <c r="B2" s="4" t="s">
        <v>33</v>
      </c>
      <c r="C2" s="4" t="s">
        <v>34</v>
      </c>
      <c r="D2" s="4" t="s">
        <v>35</v>
      </c>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c r="A3" s="4" t="s">
        <v>36</v>
      </c>
      <c r="B3" s="4" t="s">
        <v>37</v>
      </c>
      <c r="C3" s="4" t="s">
        <v>38</v>
      </c>
      <c r="D3" s="4" t="s">
        <v>39</v>
      </c>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c r="A4" s="4" t="s">
        <v>40</v>
      </c>
      <c r="B4" s="4" t="s">
        <v>41</v>
      </c>
      <c r="C4" s="4" t="s">
        <v>38</v>
      </c>
      <c r="D4" s="4" t="s">
        <v>39</v>
      </c>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c r="A5" s="4" t="s">
        <v>42</v>
      </c>
      <c r="B5" s="4" t="s">
        <v>43</v>
      </c>
      <c r="C5" s="4" t="s">
        <v>34</v>
      </c>
      <c r="D5" s="4" t="s">
        <v>44</v>
      </c>
      <c r="E5" s="4"/>
      <c r="F5" s="4"/>
      <c r="G5" s="4"/>
      <c r="H5" s="4"/>
      <c r="I5" s="4"/>
      <c r="J5" s="4"/>
      <c r="K5" s="4"/>
      <c r="L5" s="4"/>
      <c r="M5" s="4"/>
      <c r="N5" s="4"/>
      <c r="O5" s="4"/>
      <c r="P5" s="4"/>
      <c r="Q5" s="4"/>
      <c r="R5" s="4"/>
      <c r="S5" s="4"/>
      <c r="T5" s="4"/>
      <c r="U5" s="4"/>
      <c r="V5" s="4"/>
      <c r="W5" s="4"/>
      <c r="X5" s="4"/>
      <c r="Y5" s="4"/>
      <c r="Z5" s="4"/>
      <c r="AA5" s="4"/>
      <c r="AB5" s="4"/>
      <c r="AC5" s="4"/>
      <c r="AD5" s="4"/>
      <c r="AE5" s="4"/>
      <c r="AF5" s="4"/>
      <c r="AG5" s="4"/>
    </row>
    <row r="6">
      <c r="A6" s="4" t="s">
        <v>45</v>
      </c>
      <c r="B6" s="4" t="s">
        <v>46</v>
      </c>
      <c r="C6" s="4" t="s">
        <v>34</v>
      </c>
      <c r="D6" s="4" t="s">
        <v>47</v>
      </c>
      <c r="E6" s="4"/>
      <c r="F6" s="4"/>
      <c r="G6" s="4"/>
      <c r="H6" s="4"/>
      <c r="I6" s="4"/>
      <c r="J6" s="4"/>
      <c r="K6" s="4"/>
      <c r="L6" s="4"/>
      <c r="M6" s="4"/>
      <c r="N6" s="4"/>
      <c r="O6" s="4"/>
      <c r="P6" s="4"/>
      <c r="Q6" s="4"/>
      <c r="R6" s="4"/>
      <c r="S6" s="4"/>
      <c r="T6" s="4"/>
      <c r="U6" s="4"/>
      <c r="V6" s="4"/>
      <c r="W6" s="4"/>
      <c r="X6" s="4"/>
      <c r="Y6" s="4"/>
      <c r="Z6" s="4"/>
      <c r="AA6" s="4"/>
      <c r="AB6" s="4"/>
      <c r="AC6" s="4"/>
      <c r="AD6" s="4"/>
      <c r="AE6" s="4"/>
      <c r="AF6" s="4"/>
      <c r="AG6" s="4"/>
    </row>
    <row r="7">
      <c r="A7" s="4" t="s">
        <v>48</v>
      </c>
      <c r="B7" s="4" t="s">
        <v>49</v>
      </c>
      <c r="C7" s="4" t="s">
        <v>34</v>
      </c>
      <c r="D7" s="4" t="s">
        <v>47</v>
      </c>
      <c r="E7" s="4"/>
      <c r="F7" s="4"/>
      <c r="G7" s="4"/>
      <c r="H7" s="4"/>
      <c r="I7" s="4"/>
      <c r="J7" s="4"/>
      <c r="K7" s="4"/>
      <c r="L7" s="4"/>
      <c r="M7" s="4"/>
      <c r="N7" s="4"/>
      <c r="O7" s="4"/>
      <c r="P7" s="4"/>
      <c r="Q7" s="4"/>
      <c r="R7" s="4"/>
      <c r="S7" s="4"/>
      <c r="T7" s="4"/>
      <c r="U7" s="4"/>
      <c r="V7" s="4"/>
      <c r="W7" s="4"/>
      <c r="X7" s="4"/>
      <c r="Y7" s="4"/>
      <c r="Z7" s="4"/>
      <c r="AA7" s="4"/>
      <c r="AB7" s="4"/>
      <c r="AC7" s="4"/>
      <c r="AD7" s="4"/>
      <c r="AE7" s="4"/>
      <c r="AF7" s="4"/>
      <c r="AG7" s="4"/>
    </row>
    <row r="8">
      <c r="A8" s="4" t="s">
        <v>50</v>
      </c>
      <c r="B8" s="4" t="s">
        <v>51</v>
      </c>
      <c r="C8" s="4" t="s">
        <v>34</v>
      </c>
      <c r="D8" s="4" t="s">
        <v>52</v>
      </c>
      <c r="E8" s="4"/>
      <c r="F8" s="4"/>
      <c r="G8" s="4"/>
      <c r="H8" s="4"/>
      <c r="I8" s="4"/>
      <c r="J8" s="4"/>
      <c r="K8" s="4"/>
      <c r="L8" s="4"/>
      <c r="M8" s="4"/>
      <c r="N8" s="4"/>
      <c r="O8" s="4"/>
      <c r="P8" s="4"/>
      <c r="Q8" s="4"/>
      <c r="R8" s="4"/>
      <c r="S8" s="4"/>
      <c r="T8" s="4"/>
      <c r="U8" s="4"/>
      <c r="V8" s="4"/>
      <c r="W8" s="4"/>
      <c r="X8" s="4"/>
      <c r="Y8" s="4"/>
      <c r="Z8" s="4"/>
      <c r="AA8" s="4"/>
      <c r="AB8" s="4"/>
      <c r="AC8" s="4"/>
      <c r="AD8" s="4"/>
      <c r="AE8" s="4"/>
      <c r="AF8" s="4"/>
      <c r="AG8" s="4"/>
    </row>
    <row r="9">
      <c r="A9" s="4" t="s">
        <v>53</v>
      </c>
      <c r="B9" s="4" t="s">
        <v>54</v>
      </c>
      <c r="C9" s="4" t="s">
        <v>34</v>
      </c>
      <c r="D9" s="4" t="s">
        <v>39</v>
      </c>
      <c r="E9" s="4"/>
      <c r="F9" s="4"/>
      <c r="G9" s="4"/>
      <c r="H9" s="4"/>
      <c r="I9" s="4"/>
      <c r="J9" s="4"/>
      <c r="K9" s="4"/>
      <c r="L9" s="4"/>
      <c r="M9" s="4"/>
      <c r="N9" s="4"/>
      <c r="O9" s="4"/>
      <c r="P9" s="4"/>
      <c r="Q9" s="4"/>
      <c r="R9" s="4"/>
      <c r="S9" s="4"/>
      <c r="T9" s="4"/>
      <c r="U9" s="4"/>
      <c r="V9" s="4"/>
      <c r="W9" s="4"/>
      <c r="X9" s="4"/>
      <c r="Y9" s="4"/>
      <c r="Z9" s="4"/>
      <c r="AA9" s="4"/>
      <c r="AB9" s="4"/>
      <c r="AC9" s="4"/>
      <c r="AD9" s="4"/>
      <c r="AE9" s="4"/>
      <c r="AF9" s="4"/>
      <c r="AG9" s="4"/>
    </row>
    <row r="10">
      <c r="A10" s="4" t="s">
        <v>55</v>
      </c>
      <c r="B10" s="4" t="s">
        <v>56</v>
      </c>
      <c r="C10" s="4" t="s">
        <v>34</v>
      </c>
      <c r="D10" s="4" t="s">
        <v>39</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row>
    <row r="11">
      <c r="A11" s="4" t="s">
        <v>57</v>
      </c>
      <c r="B11" s="4" t="s">
        <v>58</v>
      </c>
      <c r="C11" s="4" t="s">
        <v>34</v>
      </c>
      <c r="D11" s="4" t="s">
        <v>39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row>
    <row r="12">
      <c r="A12" s="4" t="s">
        <v>59</v>
      </c>
      <c r="B12" s="4" t="s">
        <v>60</v>
      </c>
      <c r="C12" s="4" t="s">
        <v>34</v>
      </c>
      <c r="D12" s="4" t="s">
        <v>39</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row>
    <row r="13">
      <c r="A13" s="4" t="s">
        <v>61</v>
      </c>
      <c r="B13" s="4" t="s">
        <v>62</v>
      </c>
      <c r="C13" s="4" t="s">
        <v>38</v>
      </c>
      <c r="D13" s="4" t="s">
        <v>39</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row>
    <row r="14">
      <c r="A14" s="4" t="s">
        <v>63</v>
      </c>
      <c r="B14" s="4" t="s">
        <v>64</v>
      </c>
      <c r="C14" s="4" t="s">
        <v>34</v>
      </c>
      <c r="D14" s="4" t="s">
        <v>47</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row>
    <row r="15">
      <c r="A15" s="4" t="s">
        <v>65</v>
      </c>
      <c r="B15" s="4" t="s">
        <v>66</v>
      </c>
      <c r="C15" s="4" t="s">
        <v>34</v>
      </c>
      <c r="D15" s="4" t="s">
        <v>44</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row>
    <row r="16">
      <c r="A16" s="4" t="s">
        <v>67</v>
      </c>
      <c r="B16" s="4" t="s">
        <v>68</v>
      </c>
      <c r="C16" s="4" t="s">
        <v>34</v>
      </c>
      <c r="D16" s="4" t="s">
        <v>35</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row>
    <row r="17">
      <c r="A17" s="4" t="s">
        <v>69</v>
      </c>
      <c r="B17" s="4" t="s">
        <v>70</v>
      </c>
      <c r="C17" s="4" t="s">
        <v>34</v>
      </c>
      <c r="D17" s="4" t="s">
        <v>44</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row>
    <row r="18">
      <c r="A18" s="4" t="s">
        <v>71</v>
      </c>
      <c r="B18" s="4" t="s">
        <v>72</v>
      </c>
      <c r="C18" s="4" t="s">
        <v>34</v>
      </c>
      <c r="D18" s="4" t="s">
        <v>73</v>
      </c>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row>
    <row r="19">
      <c r="A19" s="4" t="s">
        <v>74</v>
      </c>
      <c r="B19" s="4" t="s">
        <v>75</v>
      </c>
      <c r="C19" s="4" t="s">
        <v>34</v>
      </c>
      <c r="D19" s="4" t="s">
        <v>39</v>
      </c>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row>
    <row r="20">
      <c r="A20" s="4" t="s">
        <v>76</v>
      </c>
      <c r="B20" s="4" t="s">
        <v>77</v>
      </c>
      <c r="C20" s="4" t="s">
        <v>78</v>
      </c>
      <c r="D20" s="4" t="s">
        <v>39</v>
      </c>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row>
    <row r="21">
      <c r="A21" s="4" t="s">
        <v>79</v>
      </c>
      <c r="B21" s="4" t="s">
        <v>80</v>
      </c>
      <c r="C21" s="4" t="s">
        <v>78</v>
      </c>
      <c r="D21" s="4" t="s">
        <v>39</v>
      </c>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row>
    <row r="22">
      <c r="A22" s="4" t="s">
        <v>81</v>
      </c>
      <c r="B22" s="4" t="s">
        <v>82</v>
      </c>
      <c r="C22" s="4" t="s">
        <v>78</v>
      </c>
      <c r="D22" s="4" t="s">
        <v>39</v>
      </c>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row>
    <row r="23">
      <c r="A23" s="4" t="s">
        <v>83</v>
      </c>
      <c r="B23" s="4" t="s">
        <v>84</v>
      </c>
      <c r="C23" s="4" t="s">
        <v>38</v>
      </c>
      <c r="D23" s="4" t="s">
        <v>39</v>
      </c>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row>
    <row r="24">
      <c r="A24" s="4" t="s">
        <v>85</v>
      </c>
      <c r="B24" s="4" t="s">
        <v>86</v>
      </c>
      <c r="C24" s="4" t="s">
        <v>38</v>
      </c>
      <c r="D24" s="4" t="s">
        <v>73</v>
      </c>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row>
    <row r="25">
      <c r="A25" s="4" t="s">
        <v>87</v>
      </c>
      <c r="B25" s="4" t="s">
        <v>88</v>
      </c>
      <c r="C25" s="4" t="s">
        <v>34</v>
      </c>
      <c r="D25" s="4" t="s">
        <v>39</v>
      </c>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row>
    <row r="26">
      <c r="A26" s="4" t="s">
        <v>89</v>
      </c>
      <c r="B26" s="4" t="s">
        <v>90</v>
      </c>
      <c r="C26" s="4" t="s">
        <v>34</v>
      </c>
      <c r="D26" s="4" t="s">
        <v>39</v>
      </c>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row>
    <row r="27">
      <c r="A27" s="4" t="s">
        <v>91</v>
      </c>
      <c r="B27" s="4" t="s">
        <v>92</v>
      </c>
      <c r="C27" s="4" t="s">
        <v>34</v>
      </c>
      <c r="D27" s="4" t="s">
        <v>39</v>
      </c>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row>
    <row r="28">
      <c r="A28" s="4" t="s">
        <v>93</v>
      </c>
      <c r="B28" s="4" t="s">
        <v>94</v>
      </c>
      <c r="C28" s="4" t="s">
        <v>34</v>
      </c>
      <c r="D28" s="4" t="s">
        <v>39</v>
      </c>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row>
    <row r="29">
      <c r="A29" s="4" t="s">
        <v>95</v>
      </c>
      <c r="B29" s="4" t="s">
        <v>96</v>
      </c>
      <c r="C29" s="4" t="s">
        <v>34</v>
      </c>
      <c r="D29" s="4" t="s">
        <v>39</v>
      </c>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row>
    <row r="30">
      <c r="A30" s="4" t="s">
        <v>97</v>
      </c>
      <c r="B30" s="4" t="s">
        <v>98</v>
      </c>
      <c r="C30" s="4" t="s">
        <v>34</v>
      </c>
      <c r="D30" s="4" t="s">
        <v>39</v>
      </c>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row>
    <row r="31">
      <c r="A31" s="4" t="s">
        <v>99</v>
      </c>
      <c r="B31" s="4" t="s">
        <v>100</v>
      </c>
      <c r="C31" s="4" t="s">
        <v>34</v>
      </c>
      <c r="D31" s="4" t="s">
        <v>39</v>
      </c>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row>
    <row r="32">
      <c r="A32" s="4" t="s">
        <v>101</v>
      </c>
      <c r="B32" s="4" t="s">
        <v>102</v>
      </c>
      <c r="C32" s="4" t="s">
        <v>38</v>
      </c>
      <c r="D32" s="4" t="s">
        <v>103</v>
      </c>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row>
    <row r="33">
      <c r="A33" s="4" t="s">
        <v>104</v>
      </c>
      <c r="B33" s="4" t="s">
        <v>105</v>
      </c>
      <c r="C33" s="4" t="s">
        <v>34</v>
      </c>
      <c r="D33" s="4" t="s">
        <v>73</v>
      </c>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row>
    <row r="34">
      <c r="A34" s="4" t="s">
        <v>106</v>
      </c>
      <c r="B34" s="4" t="s">
        <v>107</v>
      </c>
      <c r="C34" s="4" t="s">
        <v>34</v>
      </c>
      <c r="D34" s="4" t="s">
        <v>73</v>
      </c>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row>
    <row r="35">
      <c r="A35" s="4" t="s">
        <v>108</v>
      </c>
      <c r="B35" s="4" t="s">
        <v>109</v>
      </c>
      <c r="C35" s="4" t="s">
        <v>34</v>
      </c>
      <c r="D35" s="4" t="s">
        <v>73</v>
      </c>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row>
    <row r="36">
      <c r="A36" s="4" t="s">
        <v>110</v>
      </c>
      <c r="B36" s="4" t="s">
        <v>111</v>
      </c>
      <c r="C36" s="4" t="s">
        <v>34</v>
      </c>
      <c r="D36" s="4" t="s">
        <v>39</v>
      </c>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row>
    <row r="37">
      <c r="A37" s="4" t="s">
        <v>112</v>
      </c>
      <c r="B37" s="4" t="s">
        <v>113</v>
      </c>
      <c r="C37" s="4" t="s">
        <v>34</v>
      </c>
      <c r="D37" s="4" t="s">
        <v>39</v>
      </c>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row>
    <row r="38">
      <c r="A38" s="4" t="s">
        <v>114</v>
      </c>
      <c r="B38" s="4" t="s">
        <v>115</v>
      </c>
      <c r="C38" s="4" t="s">
        <v>34</v>
      </c>
      <c r="D38" s="4" t="s">
        <v>39</v>
      </c>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row>
    <row r="39">
      <c r="A39" s="4" t="s">
        <v>116</v>
      </c>
      <c r="B39" s="4" t="s">
        <v>117</v>
      </c>
      <c r="C39" s="4" t="s">
        <v>34</v>
      </c>
      <c r="D39" s="4" t="s">
        <v>39</v>
      </c>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row>
    <row r="40">
      <c r="A40" s="4" t="s">
        <v>118</v>
      </c>
      <c r="B40" s="4" t="s">
        <v>119</v>
      </c>
      <c r="C40" s="4" t="s">
        <v>34</v>
      </c>
      <c r="D40" s="4" t="s">
        <v>39</v>
      </c>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row>
    <row r="41">
      <c r="A41" s="4" t="s">
        <v>120</v>
      </c>
      <c r="B41" s="4" t="s">
        <v>121</v>
      </c>
      <c r="C41" s="4" t="s">
        <v>34</v>
      </c>
      <c r="D41" s="4" t="s">
        <v>44</v>
      </c>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row>
    <row r="42">
      <c r="A42" s="4" t="s">
        <v>122</v>
      </c>
      <c r="B42" s="4" t="s">
        <v>123</v>
      </c>
      <c r="C42" s="4" t="s">
        <v>34</v>
      </c>
      <c r="D42" s="4" t="s">
        <v>44</v>
      </c>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row>
    <row r="43">
      <c r="A43" s="4" t="s">
        <v>124</v>
      </c>
      <c r="B43" s="4" t="s">
        <v>125</v>
      </c>
      <c r="C43" s="4" t="s">
        <v>34</v>
      </c>
      <c r="D43" s="4" t="s">
        <v>44</v>
      </c>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row>
    <row r="44">
      <c r="A44" s="4" t="s">
        <v>126</v>
      </c>
      <c r="B44" s="4" t="s">
        <v>127</v>
      </c>
      <c r="C44" s="4" t="s">
        <v>34</v>
      </c>
      <c r="D44" s="4" t="s">
        <v>52</v>
      </c>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row>
    <row r="45">
      <c r="A45" s="4" t="s">
        <v>128</v>
      </c>
      <c r="B45" s="4" t="s">
        <v>129</v>
      </c>
      <c r="C45" s="4" t="s">
        <v>34</v>
      </c>
      <c r="D45" s="4" t="s">
        <v>52</v>
      </c>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row>
    <row r="46">
      <c r="A46" s="4" t="s">
        <v>130</v>
      </c>
      <c r="B46" s="4" t="s">
        <v>131</v>
      </c>
      <c r="C46" s="4" t="s">
        <v>38</v>
      </c>
      <c r="D46" s="4" t="s">
        <v>39</v>
      </c>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row>
    <row r="47">
      <c r="A47" s="4" t="s">
        <v>132</v>
      </c>
      <c r="B47" s="4" t="s">
        <v>133</v>
      </c>
      <c r="C47" s="4" t="s">
        <v>38</v>
      </c>
      <c r="D47" s="4" t="s">
        <v>39</v>
      </c>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row>
    <row r="48">
      <c r="A48" s="4" t="s">
        <v>134</v>
      </c>
      <c r="B48" s="4" t="s">
        <v>135</v>
      </c>
      <c r="C48" s="4" t="s">
        <v>38</v>
      </c>
      <c r="D48" s="4" t="s">
        <v>44</v>
      </c>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row>
    <row r="49">
      <c r="A49" s="4" t="s">
        <v>136</v>
      </c>
      <c r="B49" s="4" t="s">
        <v>137</v>
      </c>
      <c r="C49" s="4" t="s">
        <v>34</v>
      </c>
      <c r="D49" s="4" t="s">
        <v>44</v>
      </c>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row>
    <row r="50">
      <c r="A50" s="4" t="s">
        <v>138</v>
      </c>
      <c r="B50" s="4" t="s">
        <v>139</v>
      </c>
      <c r="C50" s="4" t="s">
        <v>34</v>
      </c>
      <c r="D50" s="4" t="s">
        <v>47</v>
      </c>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row>
    <row r="51">
      <c r="A51" s="4" t="s">
        <v>140</v>
      </c>
      <c r="B51" s="4" t="s">
        <v>141</v>
      </c>
      <c r="C51" s="4" t="s">
        <v>34</v>
      </c>
      <c r="D51" s="4" t="s">
        <v>47</v>
      </c>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row>
    <row r="52">
      <c r="A52" s="4" t="s">
        <v>142</v>
      </c>
      <c r="B52" s="4" t="s">
        <v>143</v>
      </c>
      <c r="C52" s="4" t="s">
        <v>38</v>
      </c>
      <c r="D52" s="4" t="s">
        <v>47</v>
      </c>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row>
    <row r="53">
      <c r="A53" s="4" t="s">
        <v>144</v>
      </c>
      <c r="B53" s="4" t="s">
        <v>145</v>
      </c>
      <c r="C53" s="4" t="s">
        <v>38</v>
      </c>
      <c r="D53" s="4" t="s">
        <v>44</v>
      </c>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row>
    <row r="54">
      <c r="A54" s="4" t="s">
        <v>146</v>
      </c>
      <c r="B54" s="4" t="s">
        <v>147</v>
      </c>
      <c r="C54" s="4" t="s">
        <v>34</v>
      </c>
      <c r="D54" s="4" t="s">
        <v>39</v>
      </c>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row>
    <row r="55">
      <c r="A55" s="4" t="s">
        <v>148</v>
      </c>
      <c r="B55" s="4" t="s">
        <v>149</v>
      </c>
      <c r="C55" s="4" t="s">
        <v>34</v>
      </c>
      <c r="D55" s="4" t="s">
        <v>39</v>
      </c>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row>
    <row r="56">
      <c r="A56" s="4" t="s">
        <v>150</v>
      </c>
      <c r="B56" s="4" t="s">
        <v>151</v>
      </c>
      <c r="C56" s="4" t="s">
        <v>38</v>
      </c>
      <c r="D56" s="4" t="s">
        <v>73</v>
      </c>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row>
    <row r="57">
      <c r="A57" s="4" t="s">
        <v>152</v>
      </c>
      <c r="B57" s="4" t="s">
        <v>153</v>
      </c>
      <c r="C57" s="4" t="s">
        <v>154</v>
      </c>
      <c r="D57" s="4" t="s">
        <v>155</v>
      </c>
      <c r="E57" s="4"/>
      <c r="F57" s="4"/>
      <c r="G57" s="4" t="s">
        <v>156</v>
      </c>
      <c r="H57" s="4"/>
      <c r="I57" s="4" t="s">
        <v>157</v>
      </c>
      <c r="J57" s="4"/>
      <c r="K57" s="4"/>
      <c r="L57" s="4"/>
      <c r="M57" s="4"/>
      <c r="N57" s="4" t="s">
        <v>158</v>
      </c>
      <c r="O57" s="4"/>
      <c r="P57" s="4"/>
      <c r="Q57" s="4"/>
      <c r="R57" s="4"/>
      <c r="S57" s="4"/>
      <c r="T57" s="4"/>
      <c r="U57" s="4"/>
      <c r="V57" s="4"/>
      <c r="W57" s="4"/>
      <c r="X57" s="4"/>
      <c r="Y57" s="4"/>
      <c r="Z57" s="4"/>
      <c r="AA57" s="4"/>
      <c r="AB57" s="4"/>
      <c r="AC57" s="4"/>
      <c r="AD57" s="4"/>
      <c r="AE57" s="4"/>
      <c r="AF57" s="4"/>
      <c r="AG57" s="4"/>
    </row>
    <row r="58">
      <c r="A58" s="4" t="s">
        <v>159</v>
      </c>
      <c r="B58" s="4" t="s">
        <v>160</v>
      </c>
      <c r="C58" s="4" t="s">
        <v>154</v>
      </c>
      <c r="D58" s="4" t="s">
        <v>155</v>
      </c>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row>
    <row r="59">
      <c r="A59" s="4" t="s">
        <v>161</v>
      </c>
      <c r="B59" s="4" t="s">
        <v>162</v>
      </c>
      <c r="C59" s="4" t="s">
        <v>154</v>
      </c>
      <c r="D59" s="4" t="s">
        <v>155</v>
      </c>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row>
    <row r="60">
      <c r="A60" s="4" t="s">
        <v>163</v>
      </c>
      <c r="B60" s="4" t="s">
        <v>164</v>
      </c>
      <c r="C60" s="4" t="s">
        <v>154</v>
      </c>
      <c r="D60" s="4" t="s">
        <v>165</v>
      </c>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row>
    <row r="61">
      <c r="A61" s="4" t="s">
        <v>166</v>
      </c>
      <c r="B61" s="4" t="s">
        <v>167</v>
      </c>
      <c r="C61" s="4" t="s">
        <v>154</v>
      </c>
      <c r="D61" s="4" t="s">
        <v>168</v>
      </c>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row>
    <row r="62">
      <c r="A62" s="4" t="s">
        <v>169</v>
      </c>
      <c r="B62" s="4" t="s">
        <v>170</v>
      </c>
      <c r="C62" s="4" t="s">
        <v>154</v>
      </c>
      <c r="D62" s="4" t="s">
        <v>168</v>
      </c>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row>
    <row r="63">
      <c r="A63" s="4" t="s">
        <v>171</v>
      </c>
      <c r="B63" s="4" t="s">
        <v>172</v>
      </c>
      <c r="C63" s="4" t="s">
        <v>154</v>
      </c>
      <c r="D63" s="4" t="s">
        <v>165</v>
      </c>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row>
    <row r="64">
      <c r="A64" s="4" t="s">
        <v>173</v>
      </c>
      <c r="B64" s="4" t="s">
        <v>174</v>
      </c>
      <c r="C64" s="4" t="s">
        <v>154</v>
      </c>
      <c r="D64" s="4" t="s">
        <v>165</v>
      </c>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row>
    <row r="65">
      <c r="A65" s="4" t="s">
        <v>175</v>
      </c>
      <c r="B65" s="4" t="s">
        <v>176</v>
      </c>
      <c r="C65" s="4" t="s">
        <v>154</v>
      </c>
      <c r="D65" s="4" t="s">
        <v>168</v>
      </c>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row>
    <row r="66">
      <c r="A66" s="4" t="s">
        <v>177</v>
      </c>
      <c r="B66" s="4" t="s">
        <v>178</v>
      </c>
      <c r="C66" s="4" t="s">
        <v>154</v>
      </c>
      <c r="D66" s="4" t="s">
        <v>179</v>
      </c>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row>
    <row r="67">
      <c r="A67" s="4" t="s">
        <v>180</v>
      </c>
      <c r="B67" s="4" t="s">
        <v>181</v>
      </c>
      <c r="C67" s="4" t="s">
        <v>38</v>
      </c>
      <c r="D67" s="4" t="s">
        <v>35</v>
      </c>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row>
    <row r="68">
      <c r="A68" s="4" t="s">
        <v>182</v>
      </c>
      <c r="B68" s="4" t="s">
        <v>183</v>
      </c>
      <c r="C68" s="4" t="s">
        <v>34</v>
      </c>
      <c r="D68" s="4" t="s">
        <v>73</v>
      </c>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row>
    <row r="69">
      <c r="A69" s="4" t="s">
        <v>184</v>
      </c>
      <c r="B69" s="4" t="s">
        <v>185</v>
      </c>
      <c r="C69" s="4" t="s">
        <v>38</v>
      </c>
      <c r="D69" s="4" t="s">
        <v>44</v>
      </c>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row>
    <row r="70">
      <c r="A70" s="4" t="s">
        <v>186</v>
      </c>
      <c r="B70" s="4" t="s">
        <v>187</v>
      </c>
      <c r="C70" s="4" t="s">
        <v>38</v>
      </c>
      <c r="D70" s="4" t="s">
        <v>39</v>
      </c>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row>
    <row r="71">
      <c r="A71" s="4" t="s">
        <v>188</v>
      </c>
      <c r="B71" s="4" t="s">
        <v>189</v>
      </c>
      <c r="C71" s="4" t="s">
        <v>38</v>
      </c>
      <c r="D71" s="4" t="s">
        <v>39</v>
      </c>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row>
    <row r="72">
      <c r="A72" s="4" t="s">
        <v>190</v>
      </c>
      <c r="B72" s="4" t="s">
        <v>191</v>
      </c>
      <c r="C72" s="4" t="s">
        <v>38</v>
      </c>
      <c r="D72" s="4" t="s">
        <v>44</v>
      </c>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row>
    <row r="73">
      <c r="A73" s="4" t="s">
        <v>192</v>
      </c>
      <c r="B73" s="4" t="s">
        <v>193</v>
      </c>
      <c r="C73" s="4" t="s">
        <v>38</v>
      </c>
      <c r="D73" s="4" t="s">
        <v>44</v>
      </c>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row>
    <row r="74">
      <c r="A74" s="4" t="s">
        <v>194</v>
      </c>
      <c r="B74" s="4" t="s">
        <v>195</v>
      </c>
      <c r="C74" s="4" t="s">
        <v>38</v>
      </c>
      <c r="D74" s="4" t="s">
        <v>73</v>
      </c>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row>
    <row r="75">
      <c r="A75" s="4" t="s">
        <v>196</v>
      </c>
      <c r="B75" s="4" t="s">
        <v>197</v>
      </c>
      <c r="C75" s="4" t="s">
        <v>38</v>
      </c>
      <c r="D75" s="4" t="s">
        <v>44</v>
      </c>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row>
    <row r="76">
      <c r="A76" s="4" t="s">
        <v>198</v>
      </c>
      <c r="B76" s="4" t="s">
        <v>199</v>
      </c>
      <c r="C76" s="4" t="s">
        <v>38</v>
      </c>
      <c r="D76" s="4" t="s">
        <v>44</v>
      </c>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row>
    <row r="77">
      <c r="A77" s="4" t="s">
        <v>200</v>
      </c>
      <c r="B77" s="4" t="s">
        <v>201</v>
      </c>
      <c r="C77" s="4" t="s">
        <v>34</v>
      </c>
      <c r="D77" s="4" t="s">
        <v>35</v>
      </c>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row>
    <row r="78">
      <c r="A78" s="4" t="s">
        <v>202</v>
      </c>
      <c r="B78" s="4" t="s">
        <v>203</v>
      </c>
      <c r="C78" s="4" t="s">
        <v>34</v>
      </c>
      <c r="D78" s="4" t="s">
        <v>35</v>
      </c>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row>
    <row r="79">
      <c r="A79" s="4" t="s">
        <v>204</v>
      </c>
      <c r="B79" s="4" t="s">
        <v>205</v>
      </c>
      <c r="C79" s="4" t="s">
        <v>34</v>
      </c>
      <c r="D79" s="4" t="s">
        <v>35</v>
      </c>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row>
    <row r="80">
      <c r="A80" s="4" t="s">
        <v>206</v>
      </c>
      <c r="B80" s="4" t="s">
        <v>207</v>
      </c>
      <c r="C80" s="4" t="s">
        <v>34</v>
      </c>
      <c r="D80" s="4" t="s">
        <v>35</v>
      </c>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row>
    <row r="82">
      <c r="A82" s="5" t="s">
        <v>208</v>
      </c>
      <c r="B82" s="4" t="s">
        <v>209</v>
      </c>
      <c r="C82" s="4" t="s">
        <v>210</v>
      </c>
      <c r="D82" s="4" t="s">
        <v>52</v>
      </c>
      <c r="E82" s="4" t="s">
        <v>211</v>
      </c>
      <c r="F82" s="4"/>
      <c r="G82" s="4"/>
      <c r="H82" s="4" t="s">
        <v>212</v>
      </c>
      <c r="I82" s="4" t="s">
        <v>213</v>
      </c>
      <c r="J82" s="4"/>
      <c r="K82" s="4"/>
      <c r="L82" s="4"/>
      <c r="M82" s="4" t="s">
        <v>214</v>
      </c>
      <c r="N82" s="4" t="s">
        <v>215</v>
      </c>
      <c r="O82" s="4" t="s">
        <v>216</v>
      </c>
      <c r="P82" s="4"/>
      <c r="Q82" s="4"/>
      <c r="R82" s="4"/>
      <c r="S82" s="4"/>
      <c r="T82" s="4" t="s">
        <v>217</v>
      </c>
      <c r="U82" s="4" t="s">
        <v>218</v>
      </c>
      <c r="V82" s="4"/>
      <c r="W82" s="4"/>
      <c r="X82" s="4" t="s">
        <v>219</v>
      </c>
      <c r="Y82" s="4"/>
      <c r="Z82" s="4"/>
      <c r="AA82" s="4"/>
      <c r="AB82" s="4" t="s">
        <v>220</v>
      </c>
      <c r="AC82" s="4" t="s">
        <v>221</v>
      </c>
      <c r="AD82" s="4"/>
      <c r="AE82" s="4"/>
      <c r="AF82" s="4"/>
      <c r="AG82" s="4"/>
    </row>
    <row r="83">
      <c r="A83" s="4" t="s">
        <v>222</v>
      </c>
      <c r="B83" s="4" t="s">
        <v>223</v>
      </c>
      <c r="C83" s="4" t="s">
        <v>210</v>
      </c>
      <c r="D83" s="4" t="s">
        <v>73</v>
      </c>
      <c r="E83" s="4" t="s">
        <v>224</v>
      </c>
      <c r="F83" s="4"/>
      <c r="G83" s="4"/>
      <c r="H83" s="4" t="s">
        <v>225</v>
      </c>
      <c r="I83" s="4" t="s">
        <v>226</v>
      </c>
      <c r="J83" s="4"/>
      <c r="K83" s="4"/>
      <c r="L83" s="4"/>
      <c r="M83" s="4"/>
      <c r="N83" s="4" t="s">
        <v>227</v>
      </c>
      <c r="O83" s="4" t="s">
        <v>228</v>
      </c>
      <c r="P83" s="4"/>
      <c r="Q83" s="4"/>
      <c r="R83" s="4"/>
      <c r="S83" s="4"/>
      <c r="T83" s="4" t="s">
        <v>217</v>
      </c>
      <c r="U83" s="4" t="s">
        <v>229</v>
      </c>
      <c r="V83" s="4"/>
      <c r="W83" s="4"/>
      <c r="X83" s="4"/>
      <c r="Y83" s="4"/>
      <c r="Z83" s="4"/>
      <c r="AA83" s="4"/>
      <c r="AB83" s="4"/>
      <c r="AC83" s="4"/>
      <c r="AD83" s="4"/>
      <c r="AE83" s="4"/>
      <c r="AF83" s="4"/>
      <c r="AG83" s="4"/>
    </row>
    <row r="84">
      <c r="A84" s="4" t="s">
        <v>230</v>
      </c>
      <c r="B84" s="4" t="s">
        <v>231</v>
      </c>
      <c r="C84" s="4" t="s">
        <v>210</v>
      </c>
      <c r="D84" s="4" t="s">
        <v>73</v>
      </c>
      <c r="E84" s="4" t="s">
        <v>232</v>
      </c>
      <c r="F84" s="4"/>
      <c r="G84" s="4"/>
      <c r="H84" s="4" t="s">
        <v>233</v>
      </c>
      <c r="I84" s="4" t="s">
        <v>234</v>
      </c>
      <c r="J84" s="4"/>
      <c r="K84" s="4"/>
      <c r="L84" s="4"/>
      <c r="M84" s="4"/>
      <c r="N84" s="4" t="s">
        <v>235</v>
      </c>
      <c r="O84" s="4" t="s">
        <v>236</v>
      </c>
      <c r="P84" s="4"/>
      <c r="Q84" s="4"/>
      <c r="R84" s="4"/>
      <c r="S84" s="4"/>
      <c r="T84" s="4" t="s">
        <v>217</v>
      </c>
      <c r="U84" s="4" t="s">
        <v>237</v>
      </c>
      <c r="V84" s="4"/>
      <c r="W84" s="4"/>
      <c r="X84" s="4"/>
      <c r="Y84" s="4"/>
      <c r="Z84" s="4"/>
      <c r="AA84" s="4"/>
      <c r="AB84" s="4"/>
      <c r="AC84" s="4"/>
      <c r="AD84" s="4"/>
      <c r="AE84" s="4"/>
      <c r="AF84" s="4"/>
      <c r="AG84" s="4"/>
    </row>
    <row r="85">
      <c r="A85" s="4" t="s">
        <v>238</v>
      </c>
      <c r="B85" s="4" t="s">
        <v>239</v>
      </c>
      <c r="C85" s="4" t="s">
        <v>38</v>
      </c>
      <c r="D85" s="4" t="s">
        <v>39</v>
      </c>
      <c r="E85" s="4"/>
      <c r="F85" s="4"/>
      <c r="G85" s="4"/>
      <c r="H85" s="4"/>
      <c r="I85" s="4" t="s">
        <v>240</v>
      </c>
      <c r="J85" s="4"/>
      <c r="K85" s="4"/>
      <c r="L85" s="4"/>
      <c r="M85" s="4" t="s">
        <v>241</v>
      </c>
      <c r="N85" s="4" t="s">
        <v>242</v>
      </c>
      <c r="O85" s="4"/>
      <c r="P85" s="4" t="s">
        <v>243</v>
      </c>
      <c r="Q85" s="4"/>
      <c r="R85" s="4"/>
      <c r="S85" s="4"/>
      <c r="T85" s="4"/>
      <c r="U85" s="4"/>
      <c r="V85" s="4"/>
      <c r="W85" s="4"/>
      <c r="X85" s="4"/>
      <c r="Y85" s="4"/>
      <c r="Z85" s="4"/>
      <c r="AA85" s="4"/>
      <c r="AB85" s="4"/>
      <c r="AC85" s="4"/>
      <c r="AD85" s="4"/>
      <c r="AE85" s="4"/>
      <c r="AF85" s="4"/>
      <c r="AG85" s="4"/>
    </row>
    <row r="86">
      <c r="A86" s="4" t="s">
        <v>244</v>
      </c>
      <c r="B86" s="4" t="s">
        <v>245</v>
      </c>
      <c r="C86" s="4" t="s">
        <v>38</v>
      </c>
      <c r="D86" s="4" t="s">
        <v>103</v>
      </c>
      <c r="E86" s="4"/>
      <c r="F86" s="4"/>
      <c r="G86" s="4"/>
      <c r="H86" s="4"/>
      <c r="I86" s="4" t="s">
        <v>246</v>
      </c>
      <c r="J86" s="4"/>
      <c r="K86" s="4"/>
      <c r="L86" s="4"/>
      <c r="M86" s="4"/>
      <c r="N86" s="4" t="s">
        <v>247</v>
      </c>
      <c r="O86" s="4"/>
      <c r="P86" s="4"/>
      <c r="Q86" s="4"/>
      <c r="R86" s="4"/>
      <c r="S86" s="4"/>
      <c r="T86" s="4"/>
      <c r="U86" s="4"/>
      <c r="V86" s="4"/>
      <c r="W86" s="4"/>
      <c r="X86" s="4"/>
      <c r="Y86" s="4"/>
      <c r="Z86" s="4"/>
      <c r="AA86" s="4"/>
      <c r="AB86" s="4"/>
      <c r="AC86" s="4"/>
      <c r="AD86" s="4"/>
      <c r="AE86" s="4"/>
      <c r="AF86" s="4"/>
      <c r="AG86" s="4"/>
    </row>
    <row r="87">
      <c r="A87" s="4" t="s">
        <v>248</v>
      </c>
      <c r="B87" s="4" t="s">
        <v>249</v>
      </c>
      <c r="C87" s="4" t="s">
        <v>38</v>
      </c>
      <c r="D87" s="4" t="s">
        <v>103</v>
      </c>
      <c r="E87" s="4"/>
      <c r="F87" s="4"/>
      <c r="G87" s="4"/>
      <c r="H87" s="4"/>
      <c r="I87" s="4" t="s">
        <v>250</v>
      </c>
      <c r="J87" s="4"/>
      <c r="K87" s="4"/>
      <c r="L87" s="4"/>
      <c r="M87" s="4"/>
      <c r="N87" s="4" t="s">
        <v>251</v>
      </c>
      <c r="O87" s="4" t="s">
        <v>252</v>
      </c>
      <c r="P87" s="4" t="s">
        <v>253</v>
      </c>
      <c r="Q87" s="4"/>
      <c r="R87" s="4"/>
      <c r="S87" s="4"/>
      <c r="T87" s="4"/>
      <c r="U87" s="4"/>
      <c r="V87" s="4"/>
      <c r="W87" s="4"/>
      <c r="X87" s="4" t="s">
        <v>254</v>
      </c>
      <c r="Y87" s="4"/>
      <c r="Z87" s="4"/>
      <c r="AA87" s="4"/>
      <c r="AB87" s="4"/>
      <c r="AC87" s="4"/>
      <c r="AD87" s="4"/>
      <c r="AE87" s="4"/>
      <c r="AF87" s="4"/>
      <c r="AG87" s="4"/>
    </row>
    <row r="88">
      <c r="A88" s="4" t="s">
        <v>255</v>
      </c>
      <c r="B88" s="4" t="s">
        <v>256</v>
      </c>
      <c r="C88" s="4" t="s">
        <v>78</v>
      </c>
      <c r="D88" s="4" t="s">
        <v>257</v>
      </c>
      <c r="E88" s="4" t="s">
        <v>258</v>
      </c>
      <c r="F88" s="4"/>
      <c r="G88" s="4" t="s">
        <v>259</v>
      </c>
      <c r="H88" s="4"/>
      <c r="I88" s="4" t="s">
        <v>260</v>
      </c>
      <c r="J88" s="4" t="s">
        <v>261</v>
      </c>
      <c r="K88" s="4" t="s">
        <v>262</v>
      </c>
      <c r="L88" s="4"/>
      <c r="M88" s="4" t="s">
        <v>263</v>
      </c>
      <c r="N88" s="4" t="s">
        <v>264</v>
      </c>
      <c r="O88" s="4" t="s">
        <v>265</v>
      </c>
      <c r="P88" s="4" t="s">
        <v>266</v>
      </c>
      <c r="Q88" s="4" t="s">
        <v>267</v>
      </c>
      <c r="R88" s="4" t="s">
        <v>268</v>
      </c>
      <c r="S88" s="4"/>
      <c r="T88" s="4" t="s">
        <v>269</v>
      </c>
      <c r="U88" s="4"/>
      <c r="V88" s="4" t="s">
        <v>270</v>
      </c>
      <c r="W88" s="6">
        <v>2.0</v>
      </c>
      <c r="X88" s="4" t="s">
        <v>271</v>
      </c>
      <c r="Y88" s="4" t="s">
        <v>272</v>
      </c>
      <c r="Z88" s="4"/>
      <c r="AA88" s="4"/>
      <c r="AB88" s="4" t="s">
        <v>273</v>
      </c>
      <c r="AC88" s="4" t="s">
        <v>274</v>
      </c>
      <c r="AD88" s="4"/>
      <c r="AE88" s="4"/>
      <c r="AF88" s="4"/>
      <c r="AG88" s="4"/>
    </row>
    <row r="89">
      <c r="A89" s="4" t="s">
        <v>275</v>
      </c>
      <c r="B89" s="4" t="s">
        <v>276</v>
      </c>
      <c r="C89" s="4" t="s">
        <v>38</v>
      </c>
      <c r="D89" s="4" t="s">
        <v>277</v>
      </c>
      <c r="E89" s="4"/>
      <c r="F89" s="4"/>
      <c r="G89" s="4" t="s">
        <v>278</v>
      </c>
      <c r="H89" s="4" t="s">
        <v>279</v>
      </c>
      <c r="I89" s="4" t="s">
        <v>280</v>
      </c>
      <c r="J89" s="4"/>
      <c r="K89" s="4"/>
      <c r="L89" s="4"/>
      <c r="M89" s="4" t="s">
        <v>241</v>
      </c>
      <c r="N89" s="4" t="s">
        <v>281</v>
      </c>
      <c r="O89" s="4"/>
      <c r="P89" s="4"/>
      <c r="Q89" s="4"/>
      <c r="R89" s="4"/>
      <c r="S89" s="4"/>
      <c r="T89" s="4"/>
      <c r="U89" s="4"/>
      <c r="V89" s="4"/>
      <c r="W89" s="4"/>
      <c r="X89" s="4"/>
      <c r="Y89" s="4"/>
      <c r="Z89" s="4"/>
      <c r="AA89" s="4"/>
      <c r="AB89" s="4"/>
      <c r="AC89" s="4"/>
      <c r="AD89" s="4"/>
      <c r="AE89" s="4"/>
      <c r="AF89" s="4"/>
      <c r="AG89" s="4"/>
    </row>
    <row r="90">
      <c r="A90" s="4" t="s">
        <v>282</v>
      </c>
      <c r="B90" s="4" t="s">
        <v>283</v>
      </c>
      <c r="C90" s="4" t="s">
        <v>38</v>
      </c>
      <c r="D90" s="4" t="s">
        <v>39</v>
      </c>
      <c r="E90" s="4"/>
      <c r="F90" s="4"/>
      <c r="G90" s="4"/>
      <c r="H90" s="4"/>
      <c r="I90" s="4" t="s">
        <v>284</v>
      </c>
      <c r="J90" s="4"/>
      <c r="K90" s="4"/>
      <c r="L90" s="4"/>
      <c r="M90" s="4" t="s">
        <v>285</v>
      </c>
      <c r="N90" s="4" t="s">
        <v>286</v>
      </c>
      <c r="O90" s="4"/>
      <c r="P90" s="4"/>
      <c r="Q90" s="4"/>
      <c r="R90" s="4"/>
      <c r="S90" s="4"/>
      <c r="T90" s="4"/>
      <c r="U90" s="4"/>
      <c r="V90" s="4" t="s">
        <v>287</v>
      </c>
      <c r="W90" s="6">
        <v>1.0</v>
      </c>
      <c r="X90" s="4"/>
      <c r="Y90" s="4"/>
      <c r="Z90" s="4"/>
      <c r="AA90" s="4"/>
      <c r="AB90" s="4" t="s">
        <v>288</v>
      </c>
      <c r="AC90" s="4" t="s">
        <v>289</v>
      </c>
      <c r="AD90" s="4"/>
      <c r="AE90" s="4"/>
      <c r="AF90" s="4"/>
      <c r="AG90" s="4"/>
    </row>
    <row r="91">
      <c r="A91" s="4" t="s">
        <v>290</v>
      </c>
      <c r="B91" s="4" t="s">
        <v>291</v>
      </c>
      <c r="C91" s="4" t="s">
        <v>38</v>
      </c>
      <c r="D91" s="4" t="s">
        <v>103</v>
      </c>
      <c r="E91" s="4"/>
      <c r="F91" s="4"/>
      <c r="G91" s="4"/>
      <c r="H91" s="4"/>
      <c r="I91" s="4" t="s">
        <v>292</v>
      </c>
      <c r="J91" s="4"/>
      <c r="K91" s="4"/>
      <c r="L91" s="4"/>
      <c r="M91" s="4"/>
      <c r="N91" s="4" t="s">
        <v>293</v>
      </c>
      <c r="O91" s="4"/>
      <c r="P91" s="4"/>
      <c r="Q91" s="4"/>
      <c r="R91" s="4"/>
      <c r="S91" s="4"/>
      <c r="T91" s="4"/>
      <c r="U91" s="4"/>
      <c r="V91" s="4"/>
      <c r="W91" s="4"/>
      <c r="X91" s="4"/>
      <c r="Y91" s="4"/>
      <c r="Z91" s="4"/>
      <c r="AA91" s="4"/>
      <c r="AB91" s="4"/>
      <c r="AC91" s="4"/>
      <c r="AD91" s="4"/>
      <c r="AE91" s="4"/>
      <c r="AF91" s="4"/>
      <c r="AG91" s="4"/>
    </row>
    <row r="92">
      <c r="A92" s="4" t="s">
        <v>294</v>
      </c>
      <c r="B92" s="4" t="s">
        <v>295</v>
      </c>
      <c r="C92" s="4" t="s">
        <v>38</v>
      </c>
      <c r="D92" s="4" t="s">
        <v>35</v>
      </c>
      <c r="E92" s="4"/>
      <c r="F92" s="4"/>
      <c r="G92" s="4" t="s">
        <v>296</v>
      </c>
      <c r="H92" s="4" t="s">
        <v>297</v>
      </c>
      <c r="I92" s="4" t="s">
        <v>298</v>
      </c>
      <c r="J92" s="4"/>
      <c r="K92" s="4"/>
      <c r="L92" s="4"/>
      <c r="M92" s="4" t="s">
        <v>299</v>
      </c>
      <c r="N92" s="4" t="s">
        <v>300</v>
      </c>
      <c r="O92" s="4"/>
      <c r="P92" s="4" t="s">
        <v>301</v>
      </c>
      <c r="Q92" s="4"/>
      <c r="R92" s="4"/>
      <c r="S92" s="4"/>
      <c r="T92" s="4" t="s">
        <v>302</v>
      </c>
      <c r="U92" s="4"/>
      <c r="V92" s="4"/>
      <c r="W92" s="4"/>
      <c r="X92" s="4"/>
      <c r="Y92" s="4"/>
      <c r="Z92" s="4"/>
      <c r="AA92" s="4"/>
      <c r="AB92" s="4"/>
      <c r="AC92" s="4"/>
      <c r="AD92" s="4"/>
      <c r="AE92" s="4"/>
      <c r="AF92" s="4"/>
      <c r="AG92" s="4"/>
    </row>
    <row r="93">
      <c r="A93" s="4" t="s">
        <v>296</v>
      </c>
      <c r="B93" s="4" t="s">
        <v>303</v>
      </c>
      <c r="C93" s="4" t="s">
        <v>38</v>
      </c>
      <c r="D93" s="4" t="s">
        <v>35</v>
      </c>
      <c r="E93" s="4"/>
      <c r="F93" s="4"/>
      <c r="G93" s="4" t="s">
        <v>294</v>
      </c>
      <c r="H93" s="4" t="s">
        <v>255</v>
      </c>
      <c r="I93" s="4" t="s">
        <v>298</v>
      </c>
      <c r="J93" s="4"/>
      <c r="K93" s="4"/>
      <c r="L93" s="4"/>
      <c r="M93" s="4" t="s">
        <v>299</v>
      </c>
      <c r="N93" s="4" t="s">
        <v>300</v>
      </c>
      <c r="O93" s="4"/>
      <c r="P93" s="4" t="s">
        <v>304</v>
      </c>
      <c r="Q93" s="4"/>
      <c r="R93" s="4"/>
      <c r="S93" s="4"/>
      <c r="T93" s="4"/>
      <c r="U93" s="4"/>
      <c r="V93" s="4"/>
      <c r="W93" s="4"/>
      <c r="X93" s="4"/>
      <c r="Y93" s="4"/>
      <c r="Z93" s="4"/>
      <c r="AA93" s="4"/>
      <c r="AB93" s="4"/>
      <c r="AC93" s="4"/>
      <c r="AD93" s="4"/>
      <c r="AE93" s="4"/>
      <c r="AF93" s="4"/>
      <c r="AG93" s="4"/>
    </row>
    <row r="94">
      <c r="A94" s="4" t="s">
        <v>305</v>
      </c>
      <c r="B94" s="4" t="s">
        <v>306</v>
      </c>
      <c r="C94" s="4" t="s">
        <v>78</v>
      </c>
      <c r="D94" s="4" t="s">
        <v>307</v>
      </c>
      <c r="E94" s="4" t="s">
        <v>308</v>
      </c>
      <c r="F94" s="4"/>
      <c r="G94" s="4" t="s">
        <v>309</v>
      </c>
      <c r="H94" s="4"/>
      <c r="I94" s="4" t="s">
        <v>310</v>
      </c>
      <c r="J94" s="4"/>
      <c r="K94" s="4"/>
      <c r="L94" s="4"/>
      <c r="M94" s="4" t="s">
        <v>311</v>
      </c>
      <c r="N94" s="4" t="s">
        <v>312</v>
      </c>
      <c r="O94" s="4" t="s">
        <v>313</v>
      </c>
      <c r="P94" s="4" t="s">
        <v>314</v>
      </c>
      <c r="Q94" s="4"/>
      <c r="R94" s="4"/>
      <c r="S94" s="4"/>
      <c r="T94" s="4"/>
      <c r="U94" s="4"/>
      <c r="V94" s="4" t="s">
        <v>287</v>
      </c>
      <c r="W94" s="6">
        <v>1.0</v>
      </c>
      <c r="X94" s="4"/>
      <c r="Y94" s="4"/>
      <c r="Z94" s="4"/>
      <c r="AA94" s="4"/>
      <c r="AB94" s="4" t="s">
        <v>288</v>
      </c>
      <c r="AC94" s="4" t="s">
        <v>315</v>
      </c>
      <c r="AD94" s="4"/>
      <c r="AE94" s="4"/>
      <c r="AF94" s="4"/>
      <c r="AG94" s="4"/>
    </row>
    <row r="95">
      <c r="A95" s="4" t="s">
        <v>316</v>
      </c>
      <c r="B95" s="4" t="s">
        <v>317</v>
      </c>
      <c r="C95" s="4" t="s">
        <v>78</v>
      </c>
      <c r="D95" s="4" t="s">
        <v>307</v>
      </c>
      <c r="E95" s="4"/>
      <c r="F95" s="4"/>
      <c r="G95" s="4" t="s">
        <v>318</v>
      </c>
      <c r="H95" s="4"/>
      <c r="I95" s="4" t="s">
        <v>310</v>
      </c>
      <c r="J95" s="4" t="s">
        <v>319</v>
      </c>
      <c r="K95" s="4" t="s">
        <v>320</v>
      </c>
      <c r="L95" s="4"/>
      <c r="M95" s="4" t="s">
        <v>311</v>
      </c>
      <c r="N95" s="4" t="s">
        <v>312</v>
      </c>
      <c r="O95" s="4" t="s">
        <v>313</v>
      </c>
      <c r="P95" s="4"/>
      <c r="Q95" s="4"/>
      <c r="R95" s="4"/>
      <c r="S95" s="4"/>
      <c r="T95" s="4"/>
      <c r="U95" s="4"/>
      <c r="V95" s="4" t="s">
        <v>287</v>
      </c>
      <c r="W95" s="6">
        <v>1.0</v>
      </c>
      <c r="X95" s="4"/>
      <c r="Y95" s="4"/>
      <c r="Z95" s="4"/>
      <c r="AA95" s="4"/>
      <c r="AB95" s="4" t="s">
        <v>288</v>
      </c>
      <c r="AC95" s="4" t="s">
        <v>321</v>
      </c>
      <c r="AD95" s="4"/>
      <c r="AE95" s="4"/>
      <c r="AF95" s="4"/>
      <c r="AG95" s="4"/>
    </row>
    <row r="96">
      <c r="A96" s="4" t="s">
        <v>322</v>
      </c>
      <c r="B96" s="4" t="s">
        <v>323</v>
      </c>
      <c r="C96" s="4" t="s">
        <v>38</v>
      </c>
      <c r="D96" s="4" t="s">
        <v>324</v>
      </c>
      <c r="E96" s="4"/>
      <c r="F96" s="4"/>
      <c r="G96" s="4"/>
      <c r="H96" s="4" t="s">
        <v>325</v>
      </c>
      <c r="I96" s="4" t="s">
        <v>326</v>
      </c>
      <c r="J96" s="4"/>
      <c r="K96" s="4"/>
      <c r="L96" s="4"/>
      <c r="M96" s="4"/>
      <c r="N96" s="4" t="s">
        <v>327</v>
      </c>
      <c r="O96" s="4"/>
      <c r="P96" s="4"/>
      <c r="Q96" s="4"/>
      <c r="R96" s="4"/>
      <c r="S96" s="4"/>
      <c r="T96" s="4"/>
      <c r="U96" s="4"/>
      <c r="V96" s="4"/>
      <c r="W96" s="4"/>
      <c r="X96" s="4"/>
      <c r="Y96" s="4"/>
      <c r="Z96" s="4"/>
      <c r="AA96" s="4"/>
      <c r="AB96" s="4"/>
      <c r="AC96" s="4"/>
      <c r="AD96" s="4"/>
      <c r="AE96" s="4"/>
      <c r="AF96" s="4"/>
      <c r="AG96" s="4"/>
    </row>
    <row r="97">
      <c r="A97" s="4" t="s">
        <v>328</v>
      </c>
      <c r="B97" s="4" t="s">
        <v>329</v>
      </c>
      <c r="C97" s="4" t="s">
        <v>38</v>
      </c>
      <c r="D97" s="4" t="s">
        <v>330</v>
      </c>
      <c r="E97" s="4" t="s">
        <v>331</v>
      </c>
      <c r="F97" s="4"/>
      <c r="G97" s="4" t="s">
        <v>332</v>
      </c>
      <c r="H97" s="4" t="s">
        <v>322</v>
      </c>
      <c r="I97" s="4" t="s">
        <v>333</v>
      </c>
      <c r="J97" s="4"/>
      <c r="K97" s="4"/>
      <c r="L97" s="4"/>
      <c r="M97" s="4"/>
      <c r="N97" s="4" t="s">
        <v>334</v>
      </c>
      <c r="O97" s="4"/>
      <c r="P97" s="4"/>
      <c r="Q97" s="4"/>
      <c r="R97" s="4"/>
      <c r="S97" s="4"/>
      <c r="T97" s="4"/>
      <c r="U97" s="4"/>
      <c r="V97" s="4"/>
      <c r="W97" s="4"/>
      <c r="X97" s="4"/>
      <c r="Y97" s="4"/>
      <c r="Z97" s="4"/>
      <c r="AA97" s="4"/>
      <c r="AB97" s="4"/>
      <c r="AC97" s="4"/>
      <c r="AD97" s="4"/>
      <c r="AE97" s="4"/>
      <c r="AF97" s="4"/>
      <c r="AG97" s="4"/>
    </row>
    <row r="98">
      <c r="A98" s="4" t="s">
        <v>332</v>
      </c>
      <c r="B98" s="4" t="s">
        <v>335</v>
      </c>
      <c r="C98" s="4" t="s">
        <v>38</v>
      </c>
      <c r="D98" s="4" t="s">
        <v>330</v>
      </c>
      <c r="E98" s="4"/>
      <c r="F98" s="4"/>
      <c r="G98" s="4" t="s">
        <v>328</v>
      </c>
      <c r="H98" s="4"/>
      <c r="I98" s="4" t="s">
        <v>333</v>
      </c>
      <c r="J98" s="4"/>
      <c r="K98" s="4"/>
      <c r="L98" s="4"/>
      <c r="M98" s="4"/>
      <c r="N98" s="4" t="s">
        <v>334</v>
      </c>
      <c r="O98" s="4"/>
      <c r="P98" s="4"/>
      <c r="Q98" s="4"/>
      <c r="R98" s="4"/>
      <c r="S98" s="4"/>
      <c r="T98" s="4"/>
      <c r="U98" s="4"/>
      <c r="V98" s="4"/>
      <c r="W98" s="4"/>
      <c r="X98" s="4"/>
      <c r="Y98" s="4"/>
      <c r="Z98" s="4"/>
      <c r="AA98" s="4"/>
      <c r="AB98" s="4"/>
      <c r="AC98" s="4"/>
      <c r="AD98" s="4"/>
      <c r="AE98" s="4"/>
      <c r="AF98" s="4"/>
      <c r="AG98" s="4"/>
    </row>
    <row r="99">
      <c r="A99" s="4" t="s">
        <v>336</v>
      </c>
      <c r="B99" s="4" t="s">
        <v>337</v>
      </c>
      <c r="C99" s="4" t="s">
        <v>38</v>
      </c>
      <c r="D99" s="4" t="s">
        <v>39</v>
      </c>
      <c r="E99" s="4"/>
      <c r="F99" s="4"/>
      <c r="G99" s="4"/>
      <c r="H99" s="4" t="s">
        <v>305</v>
      </c>
      <c r="I99" s="4" t="s">
        <v>338</v>
      </c>
      <c r="J99" s="4"/>
      <c r="K99" s="4"/>
      <c r="L99" s="4"/>
      <c r="M99" s="4" t="s">
        <v>285</v>
      </c>
      <c r="N99" s="4" t="s">
        <v>339</v>
      </c>
      <c r="O99" s="4" t="s">
        <v>340</v>
      </c>
      <c r="P99" s="4" t="s">
        <v>341</v>
      </c>
      <c r="Q99" s="4"/>
      <c r="R99" s="4"/>
      <c r="S99" s="4"/>
      <c r="T99" s="4"/>
      <c r="U99" s="4"/>
      <c r="V99" s="4"/>
      <c r="W99" s="4"/>
      <c r="X99" s="4"/>
      <c r="Y99" s="4"/>
      <c r="Z99" s="4"/>
      <c r="AA99" s="4"/>
      <c r="AB99" s="4"/>
      <c r="AC99" s="4"/>
      <c r="AD99" s="4"/>
      <c r="AE99" s="4"/>
      <c r="AF99" s="4"/>
      <c r="AG99" s="4"/>
    </row>
    <row r="100">
      <c r="A100" s="4" t="s">
        <v>342</v>
      </c>
      <c r="B100" s="4" t="s">
        <v>343</v>
      </c>
      <c r="C100" s="4" t="s">
        <v>38</v>
      </c>
      <c r="D100" s="4" t="s">
        <v>39</v>
      </c>
      <c r="E100" s="4"/>
      <c r="F100" s="4"/>
      <c r="G100" s="4" t="s">
        <v>344</v>
      </c>
      <c r="H100" s="4" t="s">
        <v>297</v>
      </c>
      <c r="I100" s="4" t="s">
        <v>345</v>
      </c>
      <c r="J100" s="4"/>
      <c r="K100" s="4"/>
      <c r="L100" s="4"/>
      <c r="M100" s="4" t="s">
        <v>346</v>
      </c>
      <c r="N100" s="4" t="s">
        <v>347</v>
      </c>
      <c r="O100" s="4" t="s">
        <v>348</v>
      </c>
      <c r="P100" s="4"/>
      <c r="Q100" s="4"/>
      <c r="R100" s="4"/>
      <c r="S100" s="4"/>
      <c r="T100" s="4"/>
      <c r="U100" s="4"/>
      <c r="V100" s="4"/>
      <c r="W100" s="4"/>
      <c r="X100" s="4"/>
      <c r="Y100" s="4"/>
      <c r="Z100" s="4"/>
      <c r="AA100" s="4"/>
      <c r="AB100" s="4"/>
      <c r="AC100" s="4"/>
      <c r="AD100" s="4"/>
      <c r="AE100" s="4"/>
      <c r="AF100" s="4"/>
      <c r="AG100" s="4"/>
    </row>
    <row r="101">
      <c r="A101" s="4" t="s">
        <v>325</v>
      </c>
      <c r="B101" s="4" t="s">
        <v>349</v>
      </c>
      <c r="C101" s="4" t="s">
        <v>38</v>
      </c>
      <c r="D101" s="4" t="s">
        <v>330</v>
      </c>
      <c r="E101" s="4"/>
      <c r="F101" s="4"/>
      <c r="G101" s="4" t="s">
        <v>350</v>
      </c>
      <c r="H101" s="4" t="s">
        <v>233</v>
      </c>
      <c r="I101" s="4" t="s">
        <v>351</v>
      </c>
      <c r="J101" s="4"/>
      <c r="K101" s="4"/>
      <c r="L101" s="4"/>
      <c r="M101" s="4" t="s">
        <v>299</v>
      </c>
      <c r="N101" s="4" t="s">
        <v>352</v>
      </c>
      <c r="O101" s="4" t="s">
        <v>353</v>
      </c>
      <c r="P101" s="4" t="s">
        <v>354</v>
      </c>
      <c r="Q101" s="4"/>
      <c r="R101" s="4"/>
      <c r="S101" s="4"/>
      <c r="T101" s="4" t="s">
        <v>302</v>
      </c>
      <c r="U101" s="4"/>
      <c r="V101" s="4"/>
      <c r="W101" s="4"/>
      <c r="X101" s="4"/>
      <c r="Y101" s="4"/>
      <c r="Z101" s="4"/>
      <c r="AA101" s="4"/>
      <c r="AB101" s="4"/>
      <c r="AC101" s="4"/>
      <c r="AD101" s="4"/>
      <c r="AE101" s="4"/>
      <c r="AF101" s="4"/>
      <c r="AG101" s="4"/>
    </row>
    <row r="102">
      <c r="A102" s="4" t="s">
        <v>350</v>
      </c>
      <c r="B102" s="4" t="s">
        <v>355</v>
      </c>
      <c r="C102" s="4" t="s">
        <v>38</v>
      </c>
      <c r="D102" s="4" t="s">
        <v>330</v>
      </c>
      <c r="E102" s="4"/>
      <c r="F102" s="4"/>
      <c r="G102" s="4" t="s">
        <v>325</v>
      </c>
      <c r="H102" s="4" t="s">
        <v>255</v>
      </c>
      <c r="I102" s="4" t="s">
        <v>351</v>
      </c>
      <c r="J102" s="4"/>
      <c r="K102" s="4"/>
      <c r="L102" s="4"/>
      <c r="M102" s="4" t="s">
        <v>299</v>
      </c>
      <c r="N102" s="4" t="s">
        <v>356</v>
      </c>
      <c r="O102" s="4" t="s">
        <v>353</v>
      </c>
      <c r="P102" s="4" t="s">
        <v>357</v>
      </c>
      <c r="Q102" s="4"/>
      <c r="R102" s="4"/>
      <c r="S102" s="4"/>
      <c r="T102" s="4" t="s">
        <v>302</v>
      </c>
      <c r="U102" s="4"/>
      <c r="V102" s="4"/>
      <c r="W102" s="4"/>
      <c r="X102" s="4" t="s">
        <v>358</v>
      </c>
      <c r="Y102" s="4"/>
      <c r="Z102" s="4"/>
      <c r="AA102" s="4"/>
      <c r="AB102" s="4"/>
      <c r="AC102" s="4"/>
      <c r="AD102" s="4"/>
      <c r="AE102" s="4"/>
      <c r="AF102" s="4"/>
      <c r="AG102" s="4"/>
    </row>
    <row r="103">
      <c r="A103" s="4" t="s">
        <v>359</v>
      </c>
      <c r="B103" s="4" t="s">
        <v>360</v>
      </c>
      <c r="C103" s="4" t="s">
        <v>78</v>
      </c>
      <c r="D103" s="4" t="s">
        <v>361</v>
      </c>
      <c r="E103" s="4" t="s">
        <v>362</v>
      </c>
      <c r="F103" s="4"/>
      <c r="G103" s="4" t="s">
        <v>363</v>
      </c>
      <c r="H103" s="4"/>
      <c r="I103" s="4" t="s">
        <v>364</v>
      </c>
      <c r="J103" s="4" t="s">
        <v>365</v>
      </c>
      <c r="K103" s="4" t="s">
        <v>365</v>
      </c>
      <c r="L103" s="4"/>
      <c r="M103" s="4"/>
      <c r="N103" s="4" t="s">
        <v>366</v>
      </c>
      <c r="O103" s="4"/>
      <c r="P103" s="4"/>
      <c r="Q103" s="4"/>
      <c r="R103" s="4"/>
      <c r="S103" s="4"/>
      <c r="T103" s="4"/>
      <c r="U103" s="4"/>
      <c r="V103" s="4"/>
      <c r="W103" s="4"/>
      <c r="X103" s="4" t="s">
        <v>367</v>
      </c>
      <c r="Y103" s="4" t="s">
        <v>368</v>
      </c>
      <c r="Z103" s="4"/>
      <c r="AA103" s="4"/>
      <c r="AB103" s="4" t="s">
        <v>220</v>
      </c>
      <c r="AC103" s="4" t="s">
        <v>369</v>
      </c>
      <c r="AD103" s="4"/>
      <c r="AE103" s="4"/>
      <c r="AF103" s="4"/>
      <c r="AG103" s="4"/>
    </row>
    <row r="104">
      <c r="A104" s="4" t="s">
        <v>363</v>
      </c>
      <c r="B104" s="4" t="s">
        <v>370</v>
      </c>
      <c r="C104" s="4" t="s">
        <v>78</v>
      </c>
      <c r="D104" s="4" t="s">
        <v>361</v>
      </c>
      <c r="E104" s="4" t="s">
        <v>371</v>
      </c>
      <c r="F104" s="4"/>
      <c r="G104" s="4" t="s">
        <v>359</v>
      </c>
      <c r="H104" s="4"/>
      <c r="I104" s="4" t="s">
        <v>372</v>
      </c>
      <c r="J104" s="4"/>
      <c r="K104" s="4"/>
      <c r="L104" s="4"/>
      <c r="M104" s="4"/>
      <c r="N104" s="4" t="s">
        <v>373</v>
      </c>
      <c r="O104" s="4"/>
      <c r="P104" s="4"/>
      <c r="Q104" s="4"/>
      <c r="R104" s="4"/>
      <c r="S104" s="4"/>
      <c r="T104" s="4"/>
      <c r="U104" s="4"/>
      <c r="V104" s="4"/>
      <c r="W104" s="4"/>
      <c r="X104" s="4"/>
      <c r="Y104" s="4"/>
      <c r="Z104" s="4"/>
      <c r="AA104" s="4"/>
      <c r="AB104" s="4" t="s">
        <v>220</v>
      </c>
      <c r="AC104" s="4" t="s">
        <v>374</v>
      </c>
      <c r="AD104" s="4"/>
      <c r="AE104" s="4"/>
      <c r="AF104" s="4"/>
      <c r="AG104" s="4"/>
    </row>
    <row r="105">
      <c r="A105" s="4" t="s">
        <v>375</v>
      </c>
      <c r="B105" s="4" t="s">
        <v>376</v>
      </c>
      <c r="C105" s="4" t="s">
        <v>38</v>
      </c>
      <c r="D105" s="4" t="s">
        <v>377</v>
      </c>
      <c r="E105" s="4"/>
      <c r="F105" s="4"/>
      <c r="G105" s="4"/>
      <c r="H105" s="4" t="s">
        <v>378</v>
      </c>
      <c r="I105" s="4" t="s">
        <v>379</v>
      </c>
      <c r="J105" s="4"/>
      <c r="K105" s="4"/>
      <c r="L105" s="4"/>
      <c r="M105" s="4" t="s">
        <v>380</v>
      </c>
      <c r="N105" s="4" t="s">
        <v>381</v>
      </c>
      <c r="O105" s="4" t="s">
        <v>382</v>
      </c>
      <c r="P105" s="4"/>
      <c r="Q105" s="4"/>
      <c r="R105" s="4"/>
      <c r="S105" s="4"/>
      <c r="T105" s="4" t="s">
        <v>383</v>
      </c>
      <c r="U105" s="4"/>
      <c r="V105" s="4"/>
      <c r="W105" s="4"/>
      <c r="X105" s="4" t="s">
        <v>384</v>
      </c>
      <c r="Y105" s="4"/>
      <c r="Z105" s="4"/>
      <c r="AA105" s="4"/>
      <c r="AB105" s="4" t="s">
        <v>220</v>
      </c>
      <c r="AC105" s="4" t="s">
        <v>385</v>
      </c>
      <c r="AD105" s="4"/>
      <c r="AE105" s="4"/>
      <c r="AF105" s="4"/>
      <c r="AG105" s="4"/>
    </row>
    <row r="106">
      <c r="A106" s="4" t="s">
        <v>386</v>
      </c>
      <c r="B106" s="4" t="s">
        <v>387</v>
      </c>
      <c r="C106" s="4" t="s">
        <v>78</v>
      </c>
      <c r="D106" s="4" t="s">
        <v>361</v>
      </c>
      <c r="E106" s="4" t="s">
        <v>388</v>
      </c>
      <c r="F106" s="4"/>
      <c r="G106" s="4" t="s">
        <v>389</v>
      </c>
      <c r="H106" s="4"/>
      <c r="I106" s="4" t="s">
        <v>390</v>
      </c>
      <c r="J106" s="4"/>
      <c r="K106" s="4"/>
      <c r="L106" s="4"/>
      <c r="M106" s="4"/>
      <c r="N106" s="4" t="s">
        <v>391</v>
      </c>
      <c r="O106" s="4"/>
      <c r="P106" s="4"/>
      <c r="Q106" s="4"/>
      <c r="R106" s="4"/>
      <c r="S106" s="4"/>
      <c r="T106" s="4"/>
      <c r="U106" s="4"/>
      <c r="V106" s="4"/>
      <c r="W106" s="4"/>
      <c r="X106" s="4"/>
      <c r="Y106" s="4"/>
      <c r="Z106" s="4"/>
      <c r="AA106" s="4"/>
      <c r="AB106" s="4" t="s">
        <v>220</v>
      </c>
      <c r="AC106" s="4" t="s">
        <v>392</v>
      </c>
      <c r="AD106" s="4"/>
      <c r="AE106" s="4"/>
      <c r="AF106" s="4"/>
      <c r="AG106" s="4"/>
    </row>
    <row r="107">
      <c r="A107" s="4" t="s">
        <v>393</v>
      </c>
      <c r="B107" s="4" t="s">
        <v>394</v>
      </c>
      <c r="C107" s="4" t="s">
        <v>78</v>
      </c>
      <c r="D107" s="4" t="s">
        <v>361</v>
      </c>
      <c r="E107" s="4" t="s">
        <v>395</v>
      </c>
      <c r="F107" s="4"/>
      <c r="G107" s="4" t="s">
        <v>396</v>
      </c>
      <c r="H107" s="4"/>
      <c r="I107" s="4" t="s">
        <v>390</v>
      </c>
      <c r="J107" s="4"/>
      <c r="K107" s="4"/>
      <c r="L107" s="4"/>
      <c r="M107" s="4"/>
      <c r="N107" s="4" t="s">
        <v>391</v>
      </c>
      <c r="O107" s="4"/>
      <c r="P107" s="4"/>
      <c r="Q107" s="4"/>
      <c r="R107" s="4"/>
      <c r="S107" s="4"/>
      <c r="T107" s="4"/>
      <c r="U107" s="4"/>
      <c r="V107" s="4"/>
      <c r="W107" s="4"/>
      <c r="X107" s="4"/>
      <c r="Y107" s="4"/>
      <c r="Z107" s="4"/>
      <c r="AA107" s="4"/>
      <c r="AB107" s="4" t="s">
        <v>220</v>
      </c>
      <c r="AC107" s="4" t="s">
        <v>397</v>
      </c>
      <c r="AD107" s="4"/>
      <c r="AE107" s="4"/>
      <c r="AF107" s="4"/>
      <c r="AG107" s="4"/>
    </row>
    <row r="108">
      <c r="A108" s="4" t="s">
        <v>398</v>
      </c>
      <c r="B108" s="4" t="s">
        <v>399</v>
      </c>
      <c r="C108" s="4" t="s">
        <v>78</v>
      </c>
      <c r="D108" s="4" t="s">
        <v>277</v>
      </c>
      <c r="E108" s="4" t="s">
        <v>400</v>
      </c>
      <c r="F108" s="4"/>
      <c r="G108" s="4" t="s">
        <v>401</v>
      </c>
      <c r="H108" s="4"/>
      <c r="I108" s="4" t="s">
        <v>402</v>
      </c>
      <c r="J108" s="4"/>
      <c r="K108" s="4"/>
      <c r="L108" s="4"/>
      <c r="M108" s="4" t="s">
        <v>263</v>
      </c>
      <c r="N108" s="4" t="s">
        <v>403</v>
      </c>
      <c r="O108" s="4" t="s">
        <v>404</v>
      </c>
      <c r="P108" s="4" t="s">
        <v>405</v>
      </c>
      <c r="Q108" s="4"/>
      <c r="R108" s="4"/>
      <c r="S108" s="4"/>
      <c r="T108" s="4"/>
      <c r="U108" s="4" t="s">
        <v>406</v>
      </c>
      <c r="V108" s="4"/>
      <c r="W108" s="4"/>
      <c r="X108" s="4"/>
      <c r="Y108" s="4"/>
      <c r="Z108" s="4"/>
      <c r="AA108" s="4"/>
      <c r="AB108" s="4" t="s">
        <v>220</v>
      </c>
      <c r="AC108" s="4" t="s">
        <v>407</v>
      </c>
      <c r="AD108" s="4"/>
      <c r="AE108" s="4"/>
      <c r="AF108" s="4"/>
      <c r="AG108" s="4"/>
    </row>
    <row r="109">
      <c r="A109" s="4" t="s">
        <v>408</v>
      </c>
      <c r="B109" s="4" t="s">
        <v>409</v>
      </c>
      <c r="C109" s="4" t="s">
        <v>78</v>
      </c>
      <c r="D109" s="4" t="s">
        <v>277</v>
      </c>
      <c r="E109" s="4" t="s">
        <v>410</v>
      </c>
      <c r="F109" s="4"/>
      <c r="G109" s="4" t="s">
        <v>411</v>
      </c>
      <c r="H109" s="4"/>
      <c r="I109" s="4" t="s">
        <v>402</v>
      </c>
      <c r="J109" s="4"/>
      <c r="K109" s="4"/>
      <c r="L109" s="4"/>
      <c r="M109" s="4" t="s">
        <v>263</v>
      </c>
      <c r="N109" s="4" t="s">
        <v>412</v>
      </c>
      <c r="O109" s="4" t="s">
        <v>404</v>
      </c>
      <c r="P109" s="4" t="s">
        <v>413</v>
      </c>
      <c r="Q109" s="4"/>
      <c r="R109" s="4"/>
      <c r="S109" s="4"/>
      <c r="T109" s="4"/>
      <c r="U109" s="4" t="s">
        <v>414</v>
      </c>
      <c r="V109" s="4"/>
      <c r="W109" s="4"/>
      <c r="X109" s="4"/>
      <c r="Y109" s="4"/>
      <c r="Z109" s="4"/>
      <c r="AA109" s="4"/>
      <c r="AB109" s="4" t="s">
        <v>220</v>
      </c>
      <c r="AC109" s="4" t="s">
        <v>415</v>
      </c>
      <c r="AD109" s="4"/>
      <c r="AE109" s="4"/>
      <c r="AF109" s="4"/>
      <c r="AG109" s="4"/>
    </row>
    <row r="110">
      <c r="A110" s="4" t="s">
        <v>416</v>
      </c>
      <c r="B110" s="4" t="s">
        <v>417</v>
      </c>
      <c r="C110" s="4" t="s">
        <v>34</v>
      </c>
      <c r="D110" s="4" t="s">
        <v>39</v>
      </c>
      <c r="E110" s="4" t="s">
        <v>418</v>
      </c>
      <c r="F110" s="4"/>
      <c r="G110" s="4"/>
      <c r="H110" s="4" t="s">
        <v>419</v>
      </c>
      <c r="I110" s="4" t="s">
        <v>420</v>
      </c>
      <c r="J110" s="4"/>
      <c r="K110" s="4"/>
      <c r="L110" s="4"/>
      <c r="M110" s="4" t="s">
        <v>241</v>
      </c>
      <c r="N110" s="4" t="s">
        <v>421</v>
      </c>
      <c r="O110" s="4" t="s">
        <v>422</v>
      </c>
      <c r="P110" s="4"/>
      <c r="Q110" s="4"/>
      <c r="R110" s="4"/>
      <c r="S110" s="4"/>
      <c r="T110" s="4" t="s">
        <v>217</v>
      </c>
      <c r="U110" s="4" t="s">
        <v>423</v>
      </c>
      <c r="V110" s="4"/>
      <c r="W110" s="4"/>
      <c r="X110" s="4"/>
      <c r="Y110" s="4"/>
      <c r="Z110" s="4"/>
      <c r="AA110" s="4"/>
      <c r="AB110" s="4"/>
      <c r="AC110" s="4"/>
      <c r="AD110" s="4"/>
      <c r="AE110" s="4"/>
      <c r="AF110" s="4"/>
      <c r="AG110" s="4"/>
    </row>
    <row r="111">
      <c r="A111" s="4" t="s">
        <v>424</v>
      </c>
      <c r="B111" s="4" t="s">
        <v>425</v>
      </c>
      <c r="C111" s="4" t="s">
        <v>78</v>
      </c>
      <c r="D111" s="4" t="s">
        <v>361</v>
      </c>
      <c r="E111" s="4"/>
      <c r="F111" s="4"/>
      <c r="G111" s="4" t="s">
        <v>426</v>
      </c>
      <c r="H111" s="4"/>
      <c r="I111" s="4" t="s">
        <v>390</v>
      </c>
      <c r="J111" s="4"/>
      <c r="K111" s="4"/>
      <c r="L111" s="4"/>
      <c r="M111" s="4"/>
      <c r="N111" s="4" t="s">
        <v>391</v>
      </c>
      <c r="O111" s="4"/>
      <c r="P111" s="4"/>
      <c r="Q111" s="4"/>
      <c r="R111" s="4"/>
      <c r="S111" s="4"/>
      <c r="T111" s="4"/>
      <c r="U111" s="4"/>
      <c r="V111" s="4"/>
      <c r="W111" s="4"/>
      <c r="X111" s="4"/>
      <c r="Y111" s="4"/>
      <c r="Z111" s="4"/>
      <c r="AA111" s="4"/>
      <c r="AB111" s="4" t="s">
        <v>220</v>
      </c>
      <c r="AC111" s="4" t="s">
        <v>427</v>
      </c>
      <c r="AD111" s="4"/>
      <c r="AE111" s="4"/>
      <c r="AF111" s="4"/>
      <c r="AG111" s="4"/>
    </row>
    <row r="112">
      <c r="A112" s="4" t="s">
        <v>428</v>
      </c>
      <c r="B112" s="4" t="s">
        <v>429</v>
      </c>
      <c r="C112" s="4" t="s">
        <v>38</v>
      </c>
      <c r="D112" s="4" t="s">
        <v>35</v>
      </c>
      <c r="E112" s="4" t="s">
        <v>430</v>
      </c>
      <c r="F112" s="4"/>
      <c r="G112" s="4" t="s">
        <v>431</v>
      </c>
      <c r="H112" s="4" t="s">
        <v>233</v>
      </c>
      <c r="I112" s="4" t="s">
        <v>432</v>
      </c>
      <c r="J112" s="4"/>
      <c r="K112" s="4"/>
      <c r="L112" s="4"/>
      <c r="M112" s="4" t="s">
        <v>299</v>
      </c>
      <c r="N112" s="4" t="s">
        <v>433</v>
      </c>
      <c r="O112" s="4" t="s">
        <v>434</v>
      </c>
      <c r="P112" s="4"/>
      <c r="Q112" s="4"/>
      <c r="R112" s="4"/>
      <c r="S112" s="4"/>
      <c r="T112" s="4" t="s">
        <v>435</v>
      </c>
      <c r="U112" s="4"/>
      <c r="V112" s="4"/>
      <c r="W112" s="4"/>
      <c r="X112" s="4" t="s">
        <v>436</v>
      </c>
      <c r="Y112" s="4" t="s">
        <v>437</v>
      </c>
      <c r="Z112" s="4"/>
      <c r="AA112" s="4"/>
      <c r="AB112" s="4" t="s">
        <v>220</v>
      </c>
      <c r="AC112" s="4" t="s">
        <v>438</v>
      </c>
      <c r="AD112" s="4"/>
      <c r="AE112" s="4"/>
      <c r="AF112" s="4"/>
      <c r="AG112" s="4"/>
    </row>
    <row r="113">
      <c r="A113" s="4" t="s">
        <v>439</v>
      </c>
      <c r="B113" s="4" t="s">
        <v>440</v>
      </c>
      <c r="C113" s="4" t="s">
        <v>78</v>
      </c>
      <c r="D113" s="4" t="s">
        <v>39</v>
      </c>
      <c r="E113" s="4" t="s">
        <v>441</v>
      </c>
      <c r="F113" s="4"/>
      <c r="G113" s="4" t="s">
        <v>442</v>
      </c>
      <c r="H113" s="4" t="s">
        <v>443</v>
      </c>
      <c r="I113" s="4" t="s">
        <v>444</v>
      </c>
      <c r="J113" s="4" t="s">
        <v>445</v>
      </c>
      <c r="K113" s="4"/>
      <c r="L113" s="4"/>
      <c r="M113" s="4" t="s">
        <v>241</v>
      </c>
      <c r="N113" s="4" t="s">
        <v>446</v>
      </c>
      <c r="O113" s="4" t="s">
        <v>447</v>
      </c>
      <c r="P113" s="4" t="s">
        <v>448</v>
      </c>
      <c r="Q113" s="4" t="s">
        <v>443</v>
      </c>
      <c r="R113" s="4"/>
      <c r="S113" s="4"/>
      <c r="T113" s="4" t="s">
        <v>449</v>
      </c>
      <c r="U113" s="4"/>
      <c r="V113" s="4"/>
      <c r="W113" s="4"/>
      <c r="X113" s="4" t="s">
        <v>450</v>
      </c>
      <c r="Y113" s="4" t="s">
        <v>272</v>
      </c>
      <c r="Z113" s="4"/>
      <c r="AA113" s="4"/>
      <c r="AB113" s="4" t="s">
        <v>220</v>
      </c>
      <c r="AC113" s="4" t="s">
        <v>451</v>
      </c>
      <c r="AD113" s="4"/>
      <c r="AE113" s="4"/>
      <c r="AF113" s="4"/>
      <c r="AG113" s="4"/>
    </row>
    <row r="114">
      <c r="A114" s="4" t="s">
        <v>452</v>
      </c>
      <c r="B114" s="4" t="s">
        <v>453</v>
      </c>
      <c r="C114" s="4" t="s">
        <v>78</v>
      </c>
      <c r="D114" s="4" t="s">
        <v>39</v>
      </c>
      <c r="E114" s="4" t="s">
        <v>454</v>
      </c>
      <c r="F114" s="4"/>
      <c r="G114" s="4" t="s">
        <v>455</v>
      </c>
      <c r="H114" s="4" t="s">
        <v>233</v>
      </c>
      <c r="I114" s="4" t="s">
        <v>444</v>
      </c>
      <c r="J114" s="4" t="s">
        <v>456</v>
      </c>
      <c r="K114" s="4" t="s">
        <v>457</v>
      </c>
      <c r="L114" s="4"/>
      <c r="M114" s="4" t="s">
        <v>241</v>
      </c>
      <c r="N114" s="4" t="s">
        <v>446</v>
      </c>
      <c r="O114" s="4" t="s">
        <v>447</v>
      </c>
      <c r="P114" s="4" t="s">
        <v>458</v>
      </c>
      <c r="Q114" s="4"/>
      <c r="R114" s="4"/>
      <c r="S114" s="4"/>
      <c r="T114" s="4" t="s">
        <v>459</v>
      </c>
      <c r="U114" s="4"/>
      <c r="V114" s="4"/>
      <c r="W114" s="4"/>
      <c r="X114" s="4" t="s">
        <v>450</v>
      </c>
      <c r="Y114" s="4" t="s">
        <v>272</v>
      </c>
      <c r="Z114" s="4"/>
      <c r="AA114" s="4"/>
      <c r="AB114" s="4" t="s">
        <v>220</v>
      </c>
      <c r="AC114" s="4" t="s">
        <v>460</v>
      </c>
      <c r="AD114" s="4"/>
      <c r="AE114" s="4"/>
      <c r="AF114" s="4"/>
      <c r="AG114" s="4"/>
    </row>
    <row r="115">
      <c r="A115" s="4" t="s">
        <v>461</v>
      </c>
      <c r="B115" s="4" t="s">
        <v>462</v>
      </c>
      <c r="C115" s="4" t="s">
        <v>34</v>
      </c>
      <c r="D115" s="4" t="s">
        <v>330</v>
      </c>
      <c r="E115" s="4" t="s">
        <v>463</v>
      </c>
      <c r="F115" s="4"/>
      <c r="G115" s="4"/>
      <c r="H115" s="4" t="s">
        <v>464</v>
      </c>
      <c r="I115" s="4" t="s">
        <v>465</v>
      </c>
      <c r="J115" s="4"/>
      <c r="K115" s="4"/>
      <c r="L115" s="4"/>
      <c r="M115" s="4" t="s">
        <v>299</v>
      </c>
      <c r="N115" s="4" t="s">
        <v>466</v>
      </c>
      <c r="O115" s="4" t="s">
        <v>467</v>
      </c>
      <c r="P115" s="4"/>
      <c r="Q115" s="4"/>
      <c r="R115" s="4"/>
      <c r="S115" s="4"/>
      <c r="T115" s="4" t="s">
        <v>468</v>
      </c>
      <c r="U115" s="4"/>
      <c r="V115" s="4" t="s">
        <v>469</v>
      </c>
      <c r="W115" s="6">
        <v>1.0</v>
      </c>
      <c r="X115" s="4" t="s">
        <v>470</v>
      </c>
      <c r="Y115" s="4" t="s">
        <v>471</v>
      </c>
      <c r="Z115" s="4"/>
      <c r="AA115" s="4"/>
      <c r="AB115" s="4" t="s">
        <v>472</v>
      </c>
      <c r="AC115" s="4" t="s">
        <v>473</v>
      </c>
      <c r="AD115" s="4"/>
      <c r="AE115" s="4"/>
      <c r="AF115" s="4"/>
      <c r="AG115" s="4"/>
    </row>
    <row r="116">
      <c r="A116" s="4" t="s">
        <v>474</v>
      </c>
      <c r="B116" s="4" t="s">
        <v>475</v>
      </c>
      <c r="C116" s="4" t="s">
        <v>78</v>
      </c>
      <c r="D116" s="4" t="s">
        <v>52</v>
      </c>
      <c r="E116" s="4" t="s">
        <v>476</v>
      </c>
      <c r="F116" s="4"/>
      <c r="G116" s="4"/>
      <c r="H116" s="4" t="s">
        <v>233</v>
      </c>
      <c r="I116" s="4" t="s">
        <v>477</v>
      </c>
      <c r="J116" s="4" t="s">
        <v>478</v>
      </c>
      <c r="K116" s="4" t="s">
        <v>479</v>
      </c>
      <c r="L116" s="4"/>
      <c r="M116" s="4" t="s">
        <v>480</v>
      </c>
      <c r="N116" s="4" t="s">
        <v>481</v>
      </c>
      <c r="O116" s="4" t="s">
        <v>482</v>
      </c>
      <c r="P116" s="4" t="s">
        <v>483</v>
      </c>
      <c r="Q116" s="4"/>
      <c r="R116" s="4"/>
      <c r="S116" s="4"/>
      <c r="T116" s="4" t="s">
        <v>484</v>
      </c>
      <c r="U116" s="4"/>
      <c r="V116" s="4"/>
      <c r="W116" s="4"/>
      <c r="X116" s="4" t="s">
        <v>485</v>
      </c>
      <c r="Y116" s="4" t="s">
        <v>272</v>
      </c>
      <c r="Z116" s="4"/>
      <c r="AA116" s="4"/>
      <c r="AB116" s="4" t="s">
        <v>220</v>
      </c>
      <c r="AC116" s="4" t="s">
        <v>486</v>
      </c>
      <c r="AD116" s="4"/>
      <c r="AE116" s="4"/>
      <c r="AF116" s="4"/>
      <c r="AG116" s="4"/>
    </row>
    <row r="117">
      <c r="A117" s="4" t="s">
        <v>487</v>
      </c>
      <c r="B117" s="4" t="s">
        <v>488</v>
      </c>
      <c r="C117" s="4" t="s">
        <v>78</v>
      </c>
      <c r="D117" s="4" t="s">
        <v>257</v>
      </c>
      <c r="E117" s="4" t="s">
        <v>489</v>
      </c>
      <c r="F117" s="4"/>
      <c r="G117" s="4" t="s">
        <v>490</v>
      </c>
      <c r="H117" s="4"/>
      <c r="I117" s="4" t="s">
        <v>491</v>
      </c>
      <c r="J117" s="4" t="s">
        <v>492</v>
      </c>
      <c r="K117" s="4" t="s">
        <v>493</v>
      </c>
      <c r="L117" s="4"/>
      <c r="M117" s="4" t="s">
        <v>263</v>
      </c>
      <c r="N117" s="4" t="s">
        <v>494</v>
      </c>
      <c r="O117" s="4" t="s">
        <v>265</v>
      </c>
      <c r="P117" s="4" t="s">
        <v>495</v>
      </c>
      <c r="Q117" s="4" t="s">
        <v>496</v>
      </c>
      <c r="R117" s="4" t="s">
        <v>497</v>
      </c>
      <c r="S117" s="4"/>
      <c r="T117" s="4" t="s">
        <v>269</v>
      </c>
      <c r="U117" s="4"/>
      <c r="V117" s="4"/>
      <c r="W117" s="4"/>
      <c r="X117" s="4" t="s">
        <v>498</v>
      </c>
      <c r="Y117" s="4" t="s">
        <v>272</v>
      </c>
      <c r="Z117" s="4"/>
      <c r="AA117" s="4"/>
      <c r="AB117" s="4" t="s">
        <v>220</v>
      </c>
      <c r="AC117" s="4" t="s">
        <v>499</v>
      </c>
      <c r="AD117" s="4"/>
      <c r="AE117" s="4"/>
      <c r="AF117" s="4"/>
      <c r="AG117" s="4"/>
    </row>
    <row r="118">
      <c r="A118" s="4" t="s">
        <v>500</v>
      </c>
      <c r="B118" s="4" t="s">
        <v>501</v>
      </c>
      <c r="C118" s="4" t="s">
        <v>78</v>
      </c>
      <c r="D118" s="4" t="s">
        <v>257</v>
      </c>
      <c r="E118" s="4" t="s">
        <v>502</v>
      </c>
      <c r="F118" s="4"/>
      <c r="G118" s="4" t="s">
        <v>503</v>
      </c>
      <c r="H118" s="4"/>
      <c r="I118" s="4" t="s">
        <v>504</v>
      </c>
      <c r="J118" s="4" t="s">
        <v>505</v>
      </c>
      <c r="K118" s="4" t="s">
        <v>506</v>
      </c>
      <c r="L118" s="4"/>
      <c r="M118" s="4" t="s">
        <v>263</v>
      </c>
      <c r="N118" s="4" t="s">
        <v>507</v>
      </c>
      <c r="O118" s="4" t="s">
        <v>265</v>
      </c>
      <c r="P118" s="4" t="s">
        <v>508</v>
      </c>
      <c r="Q118" s="4" t="s">
        <v>509</v>
      </c>
      <c r="R118" s="4" t="s">
        <v>510</v>
      </c>
      <c r="S118" s="4"/>
      <c r="T118" s="4" t="s">
        <v>269</v>
      </c>
      <c r="U118" s="4"/>
      <c r="V118" s="4"/>
      <c r="W118" s="4"/>
      <c r="X118" s="4" t="s">
        <v>511</v>
      </c>
      <c r="Y118" s="4" t="s">
        <v>272</v>
      </c>
      <c r="Z118" s="4"/>
      <c r="AA118" s="4"/>
      <c r="AB118" s="4" t="s">
        <v>220</v>
      </c>
      <c r="AC118" s="4" t="s">
        <v>512</v>
      </c>
      <c r="AD118" s="4"/>
      <c r="AE118" s="4"/>
      <c r="AF118" s="4"/>
      <c r="AG118" s="4"/>
    </row>
    <row r="119">
      <c r="A119" s="4" t="s">
        <v>513</v>
      </c>
      <c r="B119" s="4" t="s">
        <v>514</v>
      </c>
      <c r="C119" s="4" t="s">
        <v>38</v>
      </c>
      <c r="D119" s="4" t="s">
        <v>515</v>
      </c>
      <c r="E119" s="4" t="s">
        <v>516</v>
      </c>
      <c r="F119" s="4"/>
      <c r="G119" s="4"/>
      <c r="H119" s="4" t="s">
        <v>517</v>
      </c>
      <c r="I119" s="4" t="s">
        <v>518</v>
      </c>
      <c r="J119" s="4"/>
      <c r="K119" s="4"/>
      <c r="L119" s="4"/>
      <c r="M119" s="4" t="s">
        <v>519</v>
      </c>
      <c r="N119" s="4" t="s">
        <v>520</v>
      </c>
      <c r="O119" s="4"/>
      <c r="P119" s="4"/>
      <c r="Q119" s="4"/>
      <c r="R119" s="4"/>
      <c r="S119" s="4"/>
      <c r="T119" s="4"/>
      <c r="U119" s="4"/>
      <c r="V119" s="4"/>
      <c r="W119" s="4"/>
      <c r="X119" s="4" t="s">
        <v>521</v>
      </c>
      <c r="Y119" s="4" t="s">
        <v>437</v>
      </c>
      <c r="Z119" s="4"/>
      <c r="AA119" s="4"/>
      <c r="AB119" s="4" t="s">
        <v>220</v>
      </c>
      <c r="AC119" s="4" t="s">
        <v>522</v>
      </c>
      <c r="AD119" s="4"/>
      <c r="AE119" s="4"/>
      <c r="AF119" s="4"/>
      <c r="AG119" s="4"/>
    </row>
    <row r="120">
      <c r="A120" s="4" t="s">
        <v>523</v>
      </c>
      <c r="B120" s="4" t="s">
        <v>524</v>
      </c>
      <c r="C120" s="4" t="s">
        <v>38</v>
      </c>
      <c r="D120" s="4" t="s">
        <v>324</v>
      </c>
      <c r="E120" s="4" t="s">
        <v>525</v>
      </c>
      <c r="F120" s="4"/>
      <c r="G120" s="4" t="s">
        <v>526</v>
      </c>
      <c r="H120" s="4" t="s">
        <v>526</v>
      </c>
      <c r="I120" s="4" t="s">
        <v>527</v>
      </c>
      <c r="J120" s="4"/>
      <c r="K120" s="4"/>
      <c r="L120" s="4"/>
      <c r="M120" s="4"/>
      <c r="N120" s="4" t="s">
        <v>528</v>
      </c>
      <c r="O120" s="4" t="s">
        <v>529</v>
      </c>
      <c r="P120" s="4"/>
      <c r="Q120" s="4"/>
      <c r="R120" s="4"/>
      <c r="S120" s="4"/>
      <c r="T120" s="4" t="s">
        <v>435</v>
      </c>
      <c r="U120" s="4"/>
      <c r="V120" s="4"/>
      <c r="W120" s="4"/>
      <c r="X120" s="4" t="s">
        <v>530</v>
      </c>
      <c r="Y120" s="4" t="s">
        <v>437</v>
      </c>
      <c r="Z120" s="4"/>
      <c r="AA120" s="4"/>
      <c r="AB120" s="4" t="s">
        <v>220</v>
      </c>
      <c r="AC120" s="4" t="s">
        <v>531</v>
      </c>
      <c r="AD120" s="4"/>
      <c r="AE120" s="4"/>
      <c r="AF120" s="4"/>
      <c r="AG120" s="4"/>
    </row>
    <row r="121">
      <c r="A121" s="4" t="s">
        <v>532</v>
      </c>
      <c r="B121" s="4" t="s">
        <v>533</v>
      </c>
      <c r="C121" s="4" t="s">
        <v>34</v>
      </c>
      <c r="D121" s="4" t="s">
        <v>534</v>
      </c>
      <c r="E121" s="4" t="s">
        <v>535</v>
      </c>
      <c r="F121" s="4"/>
      <c r="G121" s="4" t="s">
        <v>536</v>
      </c>
      <c r="H121" s="4" t="s">
        <v>537</v>
      </c>
      <c r="I121" s="4" t="s">
        <v>538</v>
      </c>
      <c r="J121" s="4"/>
      <c r="K121" s="4"/>
      <c r="L121" s="4"/>
      <c r="M121" s="4" t="s">
        <v>299</v>
      </c>
      <c r="N121" s="4" t="s">
        <v>539</v>
      </c>
      <c r="O121" s="4" t="s">
        <v>540</v>
      </c>
      <c r="P121" s="4"/>
      <c r="Q121" s="4"/>
      <c r="R121" s="4"/>
      <c r="S121" s="4"/>
      <c r="T121" s="4" t="s">
        <v>459</v>
      </c>
      <c r="U121" s="4"/>
      <c r="V121" s="4"/>
      <c r="W121" s="4"/>
      <c r="X121" s="4" t="s">
        <v>541</v>
      </c>
      <c r="Y121" s="4" t="s">
        <v>368</v>
      </c>
      <c r="Z121" s="4"/>
      <c r="AA121" s="4"/>
      <c r="AB121" s="4" t="s">
        <v>220</v>
      </c>
      <c r="AC121" s="4" t="s">
        <v>542</v>
      </c>
      <c r="AD121" s="4"/>
      <c r="AE121" s="4"/>
      <c r="AF121" s="4"/>
      <c r="AG121" s="4"/>
    </row>
    <row r="122">
      <c r="A122" s="4" t="s">
        <v>543</v>
      </c>
      <c r="B122" s="4" t="s">
        <v>544</v>
      </c>
      <c r="C122" s="4" t="s">
        <v>34</v>
      </c>
      <c r="D122" s="4" t="s">
        <v>257</v>
      </c>
      <c r="E122" s="4" t="s">
        <v>545</v>
      </c>
      <c r="F122" s="4"/>
      <c r="G122" s="4" t="s">
        <v>546</v>
      </c>
      <c r="H122" s="4" t="s">
        <v>547</v>
      </c>
      <c r="I122" s="4" t="s">
        <v>548</v>
      </c>
      <c r="J122" s="4"/>
      <c r="K122" s="4"/>
      <c r="L122" s="4"/>
      <c r="M122" s="4" t="s">
        <v>263</v>
      </c>
      <c r="N122" s="4" t="s">
        <v>549</v>
      </c>
      <c r="O122" s="4" t="s">
        <v>550</v>
      </c>
      <c r="P122" s="4"/>
      <c r="Q122" s="4"/>
      <c r="R122" s="4"/>
      <c r="S122" s="4"/>
      <c r="T122" s="4" t="s">
        <v>551</v>
      </c>
      <c r="U122" s="4"/>
      <c r="V122" s="4"/>
      <c r="W122" s="4"/>
      <c r="X122" s="4" t="s">
        <v>552</v>
      </c>
      <c r="Y122" s="4" t="s">
        <v>553</v>
      </c>
      <c r="Z122" s="4"/>
      <c r="AA122" s="4"/>
      <c r="AB122" s="4" t="s">
        <v>220</v>
      </c>
      <c r="AC122" s="4" t="s">
        <v>554</v>
      </c>
      <c r="AD122" s="4"/>
      <c r="AE122" s="4"/>
      <c r="AF122" s="4"/>
      <c r="AG122" s="4"/>
    </row>
    <row r="123">
      <c r="A123" s="4" t="s">
        <v>555</v>
      </c>
      <c r="B123" s="4" t="s">
        <v>556</v>
      </c>
      <c r="C123" s="4" t="s">
        <v>34</v>
      </c>
      <c r="D123" s="4" t="s">
        <v>73</v>
      </c>
      <c r="E123" s="4" t="s">
        <v>557</v>
      </c>
      <c r="F123" s="4"/>
      <c r="G123" s="4"/>
      <c r="H123" s="4" t="s">
        <v>558</v>
      </c>
      <c r="I123" s="4" t="s">
        <v>559</v>
      </c>
      <c r="J123" s="4"/>
      <c r="K123" s="4"/>
      <c r="L123" s="4"/>
      <c r="M123" s="4" t="s">
        <v>560</v>
      </c>
      <c r="N123" s="4" t="s">
        <v>561</v>
      </c>
      <c r="O123" s="4" t="s">
        <v>562</v>
      </c>
      <c r="P123" s="4"/>
      <c r="Q123" s="4"/>
      <c r="R123" s="4"/>
      <c r="S123" s="4"/>
      <c r="T123" s="4" t="s">
        <v>468</v>
      </c>
      <c r="U123" s="4"/>
      <c r="V123" s="4"/>
      <c r="W123" s="4"/>
      <c r="X123" s="4" t="s">
        <v>563</v>
      </c>
      <c r="Y123" s="4" t="s">
        <v>368</v>
      </c>
      <c r="Z123" s="4"/>
      <c r="AA123" s="4"/>
      <c r="AB123" s="4" t="s">
        <v>220</v>
      </c>
      <c r="AC123" s="4" t="s">
        <v>564</v>
      </c>
      <c r="AD123" s="4"/>
      <c r="AE123" s="4"/>
      <c r="AF123" s="4"/>
      <c r="AG123" s="4"/>
    </row>
    <row r="124">
      <c r="A124" s="4" t="s">
        <v>565</v>
      </c>
      <c r="B124" s="4" t="s">
        <v>566</v>
      </c>
      <c r="C124" s="4" t="s">
        <v>78</v>
      </c>
      <c r="D124" s="4" t="s">
        <v>73</v>
      </c>
      <c r="E124" s="4" t="s">
        <v>567</v>
      </c>
      <c r="F124" s="4"/>
      <c r="G124" s="4" t="s">
        <v>568</v>
      </c>
      <c r="H124" s="4"/>
      <c r="I124" s="4" t="s">
        <v>569</v>
      </c>
      <c r="J124" s="4" t="s">
        <v>570</v>
      </c>
      <c r="K124" s="4" t="s">
        <v>571</v>
      </c>
      <c r="L124" s="4"/>
      <c r="M124" s="4" t="s">
        <v>560</v>
      </c>
      <c r="N124" s="4" t="s">
        <v>572</v>
      </c>
      <c r="O124" s="4" t="s">
        <v>573</v>
      </c>
      <c r="P124" s="4" t="s">
        <v>574</v>
      </c>
      <c r="Q124" s="4" t="s">
        <v>575</v>
      </c>
      <c r="R124" s="4" t="s">
        <v>233</v>
      </c>
      <c r="S124" s="4"/>
      <c r="T124" s="4" t="s">
        <v>576</v>
      </c>
      <c r="U124" s="4"/>
      <c r="V124" s="4"/>
      <c r="W124" s="4"/>
      <c r="X124" s="4" t="s">
        <v>577</v>
      </c>
      <c r="Y124" s="4" t="s">
        <v>272</v>
      </c>
      <c r="Z124" s="4"/>
      <c r="AA124" s="4"/>
      <c r="AB124" s="4" t="s">
        <v>220</v>
      </c>
      <c r="AC124" s="4" t="s">
        <v>578</v>
      </c>
      <c r="AD124" s="4"/>
      <c r="AE124" s="4"/>
      <c r="AF124" s="4"/>
      <c r="AG124" s="4"/>
    </row>
    <row r="125">
      <c r="A125" s="4" t="s">
        <v>579</v>
      </c>
      <c r="B125" s="4" t="s">
        <v>580</v>
      </c>
      <c r="C125" s="4" t="s">
        <v>38</v>
      </c>
      <c r="D125" s="4" t="s">
        <v>534</v>
      </c>
      <c r="E125" s="4" t="s">
        <v>581</v>
      </c>
      <c r="F125" s="4"/>
      <c r="G125" s="4"/>
      <c r="H125" s="4" t="s">
        <v>297</v>
      </c>
      <c r="I125" s="4" t="s">
        <v>582</v>
      </c>
      <c r="J125" s="4"/>
      <c r="K125" s="4"/>
      <c r="L125" s="4"/>
      <c r="M125" s="4" t="s">
        <v>299</v>
      </c>
      <c r="N125" s="4" t="s">
        <v>583</v>
      </c>
      <c r="O125" s="4" t="s">
        <v>584</v>
      </c>
      <c r="P125" s="4"/>
      <c r="Q125" s="4"/>
      <c r="R125" s="4"/>
      <c r="S125" s="4"/>
      <c r="T125" s="4" t="s">
        <v>435</v>
      </c>
      <c r="U125" s="4"/>
      <c r="V125" s="4"/>
      <c r="W125" s="4"/>
      <c r="X125" s="4" t="s">
        <v>585</v>
      </c>
      <c r="Y125" s="4" t="s">
        <v>437</v>
      </c>
      <c r="Z125" s="4"/>
      <c r="AA125" s="4"/>
      <c r="AB125" s="4" t="s">
        <v>220</v>
      </c>
      <c r="AC125" s="4" t="s">
        <v>586</v>
      </c>
      <c r="AD125" s="4"/>
      <c r="AE125" s="4"/>
      <c r="AF125" s="4"/>
      <c r="AG125" s="4"/>
    </row>
    <row r="126">
      <c r="A126" s="5" t="s">
        <v>587</v>
      </c>
      <c r="B126" s="5" t="s">
        <v>588</v>
      </c>
      <c r="C126" s="5" t="s">
        <v>38</v>
      </c>
      <c r="D126" s="5" t="s">
        <v>73</v>
      </c>
      <c r="E126" s="4" t="s">
        <v>589</v>
      </c>
      <c r="F126" s="4"/>
      <c r="G126" s="4"/>
      <c r="H126" s="5" t="s">
        <v>297</v>
      </c>
      <c r="I126" s="5" t="s">
        <v>590</v>
      </c>
      <c r="J126" s="4"/>
      <c r="K126" s="4"/>
      <c r="L126" s="4"/>
      <c r="M126" s="5" t="s">
        <v>560</v>
      </c>
      <c r="N126" s="5" t="s">
        <v>591</v>
      </c>
      <c r="O126" s="4" t="s">
        <v>592</v>
      </c>
      <c r="P126" s="5"/>
      <c r="Q126" s="4"/>
      <c r="R126" s="4"/>
      <c r="S126" s="4"/>
      <c r="T126" s="4" t="s">
        <v>435</v>
      </c>
      <c r="U126" s="4"/>
      <c r="V126" s="4"/>
      <c r="W126" s="4"/>
      <c r="X126" s="4" t="s">
        <v>577</v>
      </c>
      <c r="Y126" s="4" t="s">
        <v>437</v>
      </c>
      <c r="Z126" s="4"/>
      <c r="AA126" s="4"/>
      <c r="AB126" s="4" t="s">
        <v>220</v>
      </c>
      <c r="AC126" s="4" t="s">
        <v>593</v>
      </c>
      <c r="AD126" s="4"/>
      <c r="AE126" s="4"/>
      <c r="AF126" s="4"/>
      <c r="AG126" s="4"/>
    </row>
    <row r="127">
      <c r="A127" s="5" t="s">
        <v>594</v>
      </c>
      <c r="B127" s="5" t="s">
        <v>595</v>
      </c>
      <c r="C127" s="5" t="s">
        <v>38</v>
      </c>
      <c r="D127" s="5" t="s">
        <v>73</v>
      </c>
      <c r="E127" s="4" t="s">
        <v>596</v>
      </c>
      <c r="F127" s="4"/>
      <c r="G127" s="5" t="s">
        <v>597</v>
      </c>
      <c r="H127" s="4" t="s">
        <v>233</v>
      </c>
      <c r="I127" s="5" t="s">
        <v>598</v>
      </c>
      <c r="J127" s="4"/>
      <c r="K127" s="4"/>
      <c r="L127" s="4"/>
      <c r="M127" s="5" t="s">
        <v>560</v>
      </c>
      <c r="N127" s="5" t="s">
        <v>599</v>
      </c>
      <c r="O127" s="5" t="s">
        <v>600</v>
      </c>
      <c r="P127" s="5"/>
      <c r="Q127" s="4"/>
      <c r="R127" s="4"/>
      <c r="S127" s="4"/>
      <c r="T127" s="4" t="s">
        <v>435</v>
      </c>
      <c r="U127" s="4"/>
      <c r="V127" s="4"/>
      <c r="W127" s="4"/>
      <c r="X127" s="4" t="s">
        <v>601</v>
      </c>
      <c r="Y127" s="4" t="s">
        <v>437</v>
      </c>
      <c r="Z127" s="4"/>
      <c r="AA127" s="4"/>
      <c r="AB127" s="4" t="s">
        <v>220</v>
      </c>
      <c r="AC127" s="4" t="s">
        <v>602</v>
      </c>
      <c r="AD127" s="4"/>
      <c r="AE127" s="4"/>
      <c r="AF127" s="4"/>
      <c r="AG127" s="4"/>
    </row>
    <row r="128">
      <c r="A128" s="5" t="s">
        <v>597</v>
      </c>
      <c r="B128" s="5" t="s">
        <v>603</v>
      </c>
      <c r="C128" s="5" t="s">
        <v>38</v>
      </c>
      <c r="D128" s="5" t="s">
        <v>73</v>
      </c>
      <c r="E128" s="4" t="s">
        <v>604</v>
      </c>
      <c r="F128" s="4"/>
      <c r="G128" s="5" t="s">
        <v>594</v>
      </c>
      <c r="H128" s="5" t="s">
        <v>233</v>
      </c>
      <c r="I128" s="5" t="s">
        <v>598</v>
      </c>
      <c r="J128" s="4"/>
      <c r="K128" s="4"/>
      <c r="L128" s="4"/>
      <c r="M128" s="5" t="s">
        <v>560</v>
      </c>
      <c r="N128" s="5" t="s">
        <v>599</v>
      </c>
      <c r="O128" s="5" t="s">
        <v>600</v>
      </c>
      <c r="P128" s="5"/>
      <c r="Q128" s="4"/>
      <c r="R128" s="4"/>
      <c r="S128" s="4"/>
      <c r="T128" s="4" t="s">
        <v>435</v>
      </c>
      <c r="U128" s="4"/>
      <c r="V128" s="4"/>
      <c r="W128" s="4"/>
      <c r="X128" s="4" t="s">
        <v>601</v>
      </c>
      <c r="Y128" s="4" t="s">
        <v>437</v>
      </c>
      <c r="Z128" s="4"/>
      <c r="AA128" s="4"/>
      <c r="AB128" s="4" t="s">
        <v>220</v>
      </c>
      <c r="AC128" s="4" t="s">
        <v>605</v>
      </c>
      <c r="AD128" s="4"/>
      <c r="AE128" s="4"/>
      <c r="AF128" s="4"/>
      <c r="AG128" s="4"/>
    </row>
    <row r="129">
      <c r="A129" s="5" t="s">
        <v>606</v>
      </c>
      <c r="B129" s="5" t="s">
        <v>607</v>
      </c>
      <c r="C129" s="5" t="s">
        <v>38</v>
      </c>
      <c r="D129" s="5" t="s">
        <v>73</v>
      </c>
      <c r="E129" s="4" t="s">
        <v>608</v>
      </c>
      <c r="F129" s="4"/>
      <c r="G129" s="5" t="s">
        <v>609</v>
      </c>
      <c r="H129" s="5" t="s">
        <v>233</v>
      </c>
      <c r="I129" s="5" t="s">
        <v>610</v>
      </c>
      <c r="J129" s="4"/>
      <c r="K129" s="4"/>
      <c r="L129" s="4"/>
      <c r="M129" s="5" t="s">
        <v>560</v>
      </c>
      <c r="N129" s="5" t="s">
        <v>611</v>
      </c>
      <c r="O129" s="5" t="s">
        <v>612</v>
      </c>
      <c r="P129" s="5"/>
      <c r="Q129" s="4"/>
      <c r="R129" s="4"/>
      <c r="S129" s="4"/>
      <c r="T129" s="4" t="s">
        <v>435</v>
      </c>
      <c r="U129" s="4"/>
      <c r="V129" s="4" t="s">
        <v>469</v>
      </c>
      <c r="W129" s="6">
        <v>1.0</v>
      </c>
      <c r="X129" s="4" t="s">
        <v>613</v>
      </c>
      <c r="Y129" s="4" t="s">
        <v>437</v>
      </c>
      <c r="Z129" s="4"/>
      <c r="AA129" s="4"/>
      <c r="AB129" s="4" t="s">
        <v>472</v>
      </c>
      <c r="AC129" s="4" t="s">
        <v>614</v>
      </c>
      <c r="AD129" s="4"/>
      <c r="AE129" s="4"/>
      <c r="AF129" s="4"/>
      <c r="AG129" s="4"/>
    </row>
    <row r="130">
      <c r="A130" s="5" t="s">
        <v>609</v>
      </c>
      <c r="B130" s="5" t="s">
        <v>615</v>
      </c>
      <c r="C130" s="5" t="s">
        <v>38</v>
      </c>
      <c r="D130" s="5" t="s">
        <v>73</v>
      </c>
      <c r="E130" s="4" t="s">
        <v>616</v>
      </c>
      <c r="F130" s="4"/>
      <c r="G130" s="5" t="s">
        <v>606</v>
      </c>
      <c r="H130" s="4" t="s">
        <v>297</v>
      </c>
      <c r="I130" s="5" t="s">
        <v>610</v>
      </c>
      <c r="J130" s="4"/>
      <c r="K130" s="4"/>
      <c r="L130" s="4"/>
      <c r="M130" s="5" t="s">
        <v>560</v>
      </c>
      <c r="N130" s="5" t="s">
        <v>611</v>
      </c>
      <c r="O130" s="5" t="s">
        <v>612</v>
      </c>
      <c r="P130" s="4"/>
      <c r="Q130" s="4"/>
      <c r="R130" s="4"/>
      <c r="S130" s="4"/>
      <c r="T130" s="4" t="s">
        <v>435</v>
      </c>
      <c r="U130" s="4"/>
      <c r="V130" s="4" t="s">
        <v>287</v>
      </c>
      <c r="W130" s="6">
        <v>1.0</v>
      </c>
      <c r="X130" s="4" t="s">
        <v>613</v>
      </c>
      <c r="Y130" s="4" t="s">
        <v>437</v>
      </c>
      <c r="Z130" s="4"/>
      <c r="AA130" s="4"/>
      <c r="AB130" s="4" t="s">
        <v>288</v>
      </c>
      <c r="AC130" s="4" t="s">
        <v>617</v>
      </c>
      <c r="AD130" s="4"/>
      <c r="AE130" s="4"/>
      <c r="AF130" s="4"/>
      <c r="AG130" s="4"/>
    </row>
    <row r="131">
      <c r="A131" s="5" t="s">
        <v>618</v>
      </c>
      <c r="B131" s="5" t="s">
        <v>619</v>
      </c>
      <c r="C131" s="5" t="s">
        <v>34</v>
      </c>
      <c r="D131" s="5" t="s">
        <v>361</v>
      </c>
      <c r="E131" s="4" t="s">
        <v>620</v>
      </c>
      <c r="F131" s="4"/>
      <c r="G131" s="5" t="s">
        <v>621</v>
      </c>
      <c r="H131" s="4" t="s">
        <v>622</v>
      </c>
      <c r="I131" s="5" t="s">
        <v>623</v>
      </c>
      <c r="J131" s="5"/>
      <c r="K131" s="5"/>
      <c r="L131" s="4"/>
      <c r="M131" s="5"/>
      <c r="N131" s="5" t="s">
        <v>624</v>
      </c>
      <c r="O131" s="5"/>
      <c r="P131" s="5"/>
      <c r="Q131" s="4"/>
      <c r="R131" s="5"/>
      <c r="S131" s="4"/>
      <c r="T131" s="4"/>
      <c r="U131" s="4"/>
      <c r="V131" s="4"/>
      <c r="W131" s="4"/>
      <c r="X131" s="4" t="s">
        <v>625</v>
      </c>
      <c r="Y131" s="4"/>
      <c r="Z131" s="4"/>
      <c r="AA131" s="4"/>
      <c r="AB131" s="5" t="s">
        <v>220</v>
      </c>
      <c r="AC131" s="5" t="s">
        <v>626</v>
      </c>
      <c r="AD131" s="4"/>
      <c r="AE131" s="4"/>
      <c r="AF131" s="4"/>
      <c r="AG131" s="4"/>
    </row>
    <row r="132">
      <c r="A132" s="5" t="s">
        <v>627</v>
      </c>
      <c r="B132" s="5" t="s">
        <v>628</v>
      </c>
      <c r="C132" s="5" t="s">
        <v>34</v>
      </c>
      <c r="D132" s="5" t="s">
        <v>257</v>
      </c>
      <c r="E132" s="4" t="s">
        <v>629</v>
      </c>
      <c r="F132" s="4"/>
      <c r="G132" s="5" t="s">
        <v>630</v>
      </c>
      <c r="H132" s="5" t="s">
        <v>631</v>
      </c>
      <c r="I132" s="5" t="s">
        <v>632</v>
      </c>
      <c r="J132" s="4"/>
      <c r="K132" s="4"/>
      <c r="L132" s="4"/>
      <c r="M132" s="5" t="s">
        <v>263</v>
      </c>
      <c r="N132" s="5" t="s">
        <v>633</v>
      </c>
      <c r="O132" s="5" t="s">
        <v>634</v>
      </c>
      <c r="P132" s="4"/>
      <c r="Q132" s="4"/>
      <c r="R132" s="4"/>
      <c r="S132" s="4"/>
      <c r="T132" s="4" t="s">
        <v>551</v>
      </c>
      <c r="U132" s="4"/>
      <c r="V132" s="4"/>
      <c r="W132" s="4"/>
      <c r="X132" s="4" t="s">
        <v>635</v>
      </c>
      <c r="Y132" s="4" t="s">
        <v>368</v>
      </c>
      <c r="Z132" s="4"/>
      <c r="AA132" s="4"/>
      <c r="AB132" s="4" t="s">
        <v>220</v>
      </c>
      <c r="AC132" s="4" t="s">
        <v>636</v>
      </c>
      <c r="AD132" s="4"/>
      <c r="AE132" s="4"/>
      <c r="AF132" s="4"/>
      <c r="AG132" s="4"/>
    </row>
    <row r="133">
      <c r="A133" s="5" t="s">
        <v>637</v>
      </c>
      <c r="B133" s="5" t="s">
        <v>638</v>
      </c>
      <c r="C133" s="5" t="s">
        <v>38</v>
      </c>
      <c r="D133" s="5" t="s">
        <v>307</v>
      </c>
      <c r="E133" s="4" t="s">
        <v>639</v>
      </c>
      <c r="F133" s="4"/>
      <c r="G133" s="4"/>
      <c r="H133" s="4"/>
      <c r="I133" s="4" t="s">
        <v>640</v>
      </c>
      <c r="J133" s="4"/>
      <c r="K133" s="4" t="s">
        <v>641</v>
      </c>
      <c r="L133" s="4"/>
      <c r="M133" s="4" t="s">
        <v>642</v>
      </c>
      <c r="N133" s="4" t="s">
        <v>643</v>
      </c>
      <c r="O133" s="4" t="s">
        <v>644</v>
      </c>
      <c r="P133" s="4" t="s">
        <v>645</v>
      </c>
      <c r="Q133" s="4"/>
      <c r="R133" s="4"/>
      <c r="S133" s="4"/>
      <c r="T133" s="4" t="s">
        <v>646</v>
      </c>
      <c r="U133" s="4"/>
      <c r="V133" s="4"/>
      <c r="W133" s="4"/>
      <c r="X133" s="4" t="s">
        <v>647</v>
      </c>
      <c r="Y133" s="4" t="s">
        <v>437</v>
      </c>
      <c r="Z133" s="4"/>
      <c r="AA133" s="4"/>
      <c r="AB133" s="4" t="s">
        <v>220</v>
      </c>
      <c r="AC133" s="4" t="s">
        <v>648</v>
      </c>
      <c r="AD133" s="4"/>
      <c r="AE133" s="4"/>
      <c r="AF133" s="4"/>
      <c r="AG133" s="4"/>
    </row>
    <row r="134">
      <c r="A134" s="5" t="s">
        <v>649</v>
      </c>
      <c r="B134" s="5" t="s">
        <v>650</v>
      </c>
      <c r="C134" s="5" t="s">
        <v>34</v>
      </c>
      <c r="D134" s="5" t="s">
        <v>257</v>
      </c>
      <c r="E134" s="4" t="s">
        <v>651</v>
      </c>
      <c r="F134" s="4"/>
      <c r="G134" s="5" t="s">
        <v>652</v>
      </c>
      <c r="H134" s="4"/>
      <c r="I134" s="5" t="s">
        <v>653</v>
      </c>
      <c r="J134" s="4"/>
      <c r="K134" s="4"/>
      <c r="L134" s="4"/>
      <c r="M134" s="5" t="s">
        <v>263</v>
      </c>
      <c r="N134" s="5" t="s">
        <v>654</v>
      </c>
      <c r="O134" s="4" t="s">
        <v>655</v>
      </c>
      <c r="P134" s="4"/>
      <c r="Q134" s="4"/>
      <c r="R134" s="4"/>
      <c r="S134" s="4"/>
      <c r="T134" s="4"/>
      <c r="U134" s="4"/>
      <c r="V134" s="4"/>
      <c r="W134" s="4"/>
      <c r="X134" s="4" t="s">
        <v>656</v>
      </c>
      <c r="Y134" s="4" t="s">
        <v>368</v>
      </c>
      <c r="Z134" s="4"/>
      <c r="AA134" s="4"/>
      <c r="AB134" s="4" t="s">
        <v>220</v>
      </c>
      <c r="AC134" s="4" t="s">
        <v>657</v>
      </c>
      <c r="AD134" s="4"/>
      <c r="AE134" s="4"/>
      <c r="AF134" s="4"/>
      <c r="AG134" s="4"/>
    </row>
    <row r="135">
      <c r="A135" s="5" t="s">
        <v>652</v>
      </c>
      <c r="B135" s="5" t="s">
        <v>658</v>
      </c>
      <c r="C135" s="5" t="s">
        <v>34</v>
      </c>
      <c r="D135" s="5" t="s">
        <v>257</v>
      </c>
      <c r="E135" s="4" t="s">
        <v>659</v>
      </c>
      <c r="F135" s="4"/>
      <c r="G135" s="5" t="s">
        <v>649</v>
      </c>
      <c r="H135" s="4"/>
      <c r="I135" s="4" t="s">
        <v>660</v>
      </c>
      <c r="J135" s="4"/>
      <c r="K135" s="4"/>
      <c r="L135" s="4"/>
      <c r="M135" s="5" t="s">
        <v>263</v>
      </c>
      <c r="N135" s="4" t="s">
        <v>661</v>
      </c>
      <c r="O135" s="5" t="s">
        <v>655</v>
      </c>
      <c r="P135" s="4"/>
      <c r="Q135" s="4"/>
      <c r="R135" s="4"/>
      <c r="S135" s="4"/>
      <c r="T135" s="4"/>
      <c r="U135" s="4"/>
      <c r="V135" s="4" t="s">
        <v>469</v>
      </c>
      <c r="W135" s="6">
        <v>1.0</v>
      </c>
      <c r="X135" s="4" t="s">
        <v>662</v>
      </c>
      <c r="Y135" s="4" t="s">
        <v>368</v>
      </c>
      <c r="Z135" s="4"/>
      <c r="AA135" s="4"/>
      <c r="AB135" s="4" t="s">
        <v>472</v>
      </c>
      <c r="AC135" s="4" t="s">
        <v>663</v>
      </c>
      <c r="AD135" s="4"/>
      <c r="AE135" s="4"/>
      <c r="AF135" s="4"/>
      <c r="AG135" s="4"/>
    </row>
    <row r="136">
      <c r="A136" s="5" t="s">
        <v>664</v>
      </c>
      <c r="B136" s="5" t="s">
        <v>665</v>
      </c>
      <c r="C136" s="5" t="s">
        <v>34</v>
      </c>
      <c r="D136" s="5" t="s">
        <v>52</v>
      </c>
      <c r="E136" s="4" t="s">
        <v>666</v>
      </c>
      <c r="F136" s="4"/>
      <c r="G136" s="4"/>
      <c r="H136" s="4"/>
      <c r="I136" s="5" t="s">
        <v>667</v>
      </c>
      <c r="J136" s="4" t="s">
        <v>668</v>
      </c>
      <c r="K136" s="4" t="s">
        <v>669</v>
      </c>
      <c r="L136" s="4"/>
      <c r="M136" s="5" t="s">
        <v>214</v>
      </c>
      <c r="N136" s="5" t="s">
        <v>670</v>
      </c>
      <c r="O136" s="4" t="s">
        <v>671</v>
      </c>
      <c r="P136" s="4" t="s">
        <v>672</v>
      </c>
      <c r="Q136" s="4" t="s">
        <v>673</v>
      </c>
      <c r="R136" s="4" t="s">
        <v>674</v>
      </c>
      <c r="S136" s="4"/>
      <c r="T136" s="4"/>
      <c r="U136" s="4"/>
      <c r="V136" s="4"/>
      <c r="W136" s="4"/>
      <c r="X136" s="4" t="s">
        <v>675</v>
      </c>
      <c r="Y136" s="4" t="s">
        <v>272</v>
      </c>
      <c r="Z136" s="4"/>
      <c r="AA136" s="4"/>
      <c r="AB136" s="4" t="s">
        <v>220</v>
      </c>
      <c r="AC136" s="4" t="s">
        <v>676</v>
      </c>
      <c r="AD136" s="5"/>
      <c r="AE136" s="5"/>
      <c r="AF136" s="4"/>
      <c r="AG136" s="4"/>
    </row>
    <row r="137">
      <c r="A137" s="5" t="s">
        <v>677</v>
      </c>
      <c r="B137" s="5" t="s">
        <v>678</v>
      </c>
      <c r="C137" s="5" t="s">
        <v>34</v>
      </c>
      <c r="D137" s="5" t="s">
        <v>52</v>
      </c>
      <c r="E137" s="4" t="s">
        <v>679</v>
      </c>
      <c r="F137" s="4"/>
      <c r="G137" s="5"/>
      <c r="H137" s="4"/>
      <c r="I137" s="5" t="s">
        <v>680</v>
      </c>
      <c r="J137" s="4" t="s">
        <v>681</v>
      </c>
      <c r="K137" s="4" t="s">
        <v>682</v>
      </c>
      <c r="L137" s="4"/>
      <c r="M137" s="5"/>
      <c r="N137" s="5" t="s">
        <v>683</v>
      </c>
      <c r="O137" s="5" t="s">
        <v>684</v>
      </c>
      <c r="P137" s="5" t="s">
        <v>685</v>
      </c>
      <c r="Q137" s="4" t="s">
        <v>686</v>
      </c>
      <c r="R137" s="4"/>
      <c r="S137" s="4"/>
      <c r="T137" s="4" t="s">
        <v>687</v>
      </c>
      <c r="U137" s="4"/>
      <c r="V137" s="4"/>
      <c r="W137" s="4"/>
      <c r="X137" s="4" t="s">
        <v>675</v>
      </c>
      <c r="Y137" s="4" t="s">
        <v>368</v>
      </c>
      <c r="Z137" s="4"/>
      <c r="AA137" s="4"/>
      <c r="AB137" s="4" t="s">
        <v>220</v>
      </c>
      <c r="AC137" s="4" t="s">
        <v>688</v>
      </c>
      <c r="AD137" s="4"/>
      <c r="AE137" s="4"/>
      <c r="AF137" s="4"/>
      <c r="AG137" s="4"/>
    </row>
    <row r="138">
      <c r="A138" s="5" t="s">
        <v>689</v>
      </c>
      <c r="B138" s="5" t="s">
        <v>690</v>
      </c>
      <c r="C138" s="5" t="s">
        <v>34</v>
      </c>
      <c r="D138" s="5" t="s">
        <v>691</v>
      </c>
      <c r="E138" s="4" t="s">
        <v>692</v>
      </c>
      <c r="F138" s="4"/>
      <c r="G138" s="4"/>
      <c r="H138" s="4" t="s">
        <v>693</v>
      </c>
      <c r="I138" s="5" t="s">
        <v>694</v>
      </c>
      <c r="J138" s="4"/>
      <c r="K138" s="4"/>
      <c r="L138" s="4"/>
      <c r="M138" s="5" t="s">
        <v>695</v>
      </c>
      <c r="N138" s="5" t="s">
        <v>696</v>
      </c>
      <c r="O138" s="4" t="s">
        <v>697</v>
      </c>
      <c r="P138" s="4"/>
      <c r="Q138" s="4"/>
      <c r="R138" s="4"/>
      <c r="S138" s="4"/>
      <c r="T138" s="4" t="s">
        <v>698</v>
      </c>
      <c r="U138" s="4"/>
      <c r="V138" s="4"/>
      <c r="W138" s="4"/>
      <c r="X138" s="4" t="s">
        <v>699</v>
      </c>
      <c r="Y138" s="4" t="s">
        <v>700</v>
      </c>
      <c r="Z138" s="4"/>
      <c r="AA138" s="4"/>
      <c r="AB138" s="4" t="s">
        <v>220</v>
      </c>
      <c r="AC138" s="4" t="s">
        <v>701</v>
      </c>
      <c r="AD138" s="4"/>
      <c r="AE138" s="4"/>
      <c r="AF138" s="4"/>
      <c r="AG138" s="4"/>
    </row>
    <row r="139">
      <c r="A139" s="5" t="s">
        <v>702</v>
      </c>
      <c r="B139" s="5" t="s">
        <v>703</v>
      </c>
      <c r="C139" s="5" t="s">
        <v>34</v>
      </c>
      <c r="D139" s="5" t="s">
        <v>691</v>
      </c>
      <c r="E139" s="4" t="s">
        <v>704</v>
      </c>
      <c r="F139" s="4"/>
      <c r="G139" s="5" t="s">
        <v>705</v>
      </c>
      <c r="H139" s="4" t="s">
        <v>706</v>
      </c>
      <c r="I139" s="5" t="s">
        <v>707</v>
      </c>
      <c r="J139" s="5"/>
      <c r="K139" s="5"/>
      <c r="L139" s="4"/>
      <c r="M139" s="5" t="s">
        <v>642</v>
      </c>
      <c r="N139" s="5" t="s">
        <v>708</v>
      </c>
      <c r="O139" s="5" t="s">
        <v>709</v>
      </c>
      <c r="P139" s="5" t="s">
        <v>710</v>
      </c>
      <c r="Q139" s="5"/>
      <c r="R139" s="5"/>
      <c r="S139" s="4"/>
      <c r="T139" s="4" t="s">
        <v>551</v>
      </c>
      <c r="U139" s="4"/>
      <c r="V139" s="4"/>
      <c r="W139" s="4"/>
      <c r="X139" s="4" t="s">
        <v>711</v>
      </c>
      <c r="Y139" s="4" t="s">
        <v>700</v>
      </c>
      <c r="Z139" s="4"/>
      <c r="AA139" s="4"/>
      <c r="AB139" s="4" t="s">
        <v>220</v>
      </c>
      <c r="AC139" s="4" t="s">
        <v>712</v>
      </c>
      <c r="AD139" s="4"/>
      <c r="AE139" s="4"/>
      <c r="AF139" s="4"/>
      <c r="AG139" s="4"/>
    </row>
    <row r="140">
      <c r="A140" s="5" t="s">
        <v>713</v>
      </c>
      <c r="B140" s="5" t="s">
        <v>714</v>
      </c>
      <c r="C140" s="5" t="s">
        <v>38</v>
      </c>
      <c r="D140" s="5" t="s">
        <v>73</v>
      </c>
      <c r="E140" s="4" t="s">
        <v>715</v>
      </c>
      <c r="F140" s="4"/>
      <c r="G140" s="4" t="s">
        <v>716</v>
      </c>
      <c r="H140" s="4" t="s">
        <v>716</v>
      </c>
      <c r="I140" s="5" t="s">
        <v>717</v>
      </c>
      <c r="J140" s="4"/>
      <c r="K140" s="4"/>
      <c r="L140" s="4"/>
      <c r="M140" s="5" t="s">
        <v>560</v>
      </c>
      <c r="N140" s="5" t="s">
        <v>718</v>
      </c>
      <c r="O140" s="4" t="s">
        <v>719</v>
      </c>
      <c r="P140" s="4"/>
      <c r="Q140" s="4"/>
      <c r="R140" s="4"/>
      <c r="S140" s="4"/>
      <c r="T140" s="4" t="s">
        <v>435</v>
      </c>
      <c r="U140" s="4"/>
      <c r="V140" s="4"/>
      <c r="W140" s="4"/>
      <c r="X140" s="4" t="s">
        <v>601</v>
      </c>
      <c r="Y140" s="4" t="s">
        <v>437</v>
      </c>
      <c r="Z140" s="4"/>
      <c r="AA140" s="4"/>
      <c r="AB140" s="4" t="s">
        <v>220</v>
      </c>
      <c r="AC140" s="4" t="s">
        <v>720</v>
      </c>
      <c r="AD140" s="4"/>
      <c r="AE140" s="4"/>
      <c r="AF140" s="4"/>
      <c r="AG140" s="4"/>
    </row>
    <row r="141">
      <c r="A141" s="5" t="s">
        <v>721</v>
      </c>
      <c r="B141" s="5" t="s">
        <v>722</v>
      </c>
      <c r="C141" s="5" t="s">
        <v>34</v>
      </c>
      <c r="D141" s="5" t="s">
        <v>39</v>
      </c>
      <c r="E141" s="4" t="s">
        <v>723</v>
      </c>
      <c r="F141" s="4"/>
      <c r="G141" s="4" t="s">
        <v>724</v>
      </c>
      <c r="H141" s="4" t="s">
        <v>725</v>
      </c>
      <c r="I141" s="5" t="s">
        <v>726</v>
      </c>
      <c r="J141" s="4"/>
      <c r="K141" s="4"/>
      <c r="L141" s="4"/>
      <c r="M141" s="5" t="s">
        <v>241</v>
      </c>
      <c r="N141" s="5" t="s">
        <v>727</v>
      </c>
      <c r="O141" s="4" t="s">
        <v>728</v>
      </c>
      <c r="P141" s="4"/>
      <c r="Q141" s="4"/>
      <c r="R141" s="4"/>
      <c r="S141" s="4"/>
      <c r="T141" s="4" t="s">
        <v>468</v>
      </c>
      <c r="U141" s="4"/>
      <c r="V141" s="4"/>
      <c r="W141" s="4"/>
      <c r="X141" s="4" t="s">
        <v>729</v>
      </c>
      <c r="Y141" s="4" t="s">
        <v>368</v>
      </c>
      <c r="Z141" s="4"/>
      <c r="AA141" s="4"/>
      <c r="AB141" s="4" t="s">
        <v>220</v>
      </c>
      <c r="AC141" s="4" t="s">
        <v>730</v>
      </c>
      <c r="AD141" s="4"/>
      <c r="AE141" s="4"/>
      <c r="AF141" s="4"/>
      <c r="AG141" s="4"/>
    </row>
    <row r="142">
      <c r="A142" s="5" t="s">
        <v>731</v>
      </c>
      <c r="B142" s="5" t="s">
        <v>732</v>
      </c>
      <c r="C142" s="5" t="s">
        <v>34</v>
      </c>
      <c r="D142" s="5" t="s">
        <v>39</v>
      </c>
      <c r="E142" s="4" t="s">
        <v>733</v>
      </c>
      <c r="F142" s="4"/>
      <c r="G142" s="5" t="s">
        <v>734</v>
      </c>
      <c r="H142" s="5" t="s">
        <v>558</v>
      </c>
      <c r="I142" s="5" t="s">
        <v>726</v>
      </c>
      <c r="J142" s="4"/>
      <c r="K142" s="4"/>
      <c r="L142" s="4"/>
      <c r="M142" s="5" t="s">
        <v>241</v>
      </c>
      <c r="N142" s="5" t="s">
        <v>727</v>
      </c>
      <c r="O142" s="5" t="s">
        <v>728</v>
      </c>
      <c r="P142" s="5"/>
      <c r="Q142" s="4"/>
      <c r="R142" s="4"/>
      <c r="S142" s="4"/>
      <c r="T142" s="4" t="s">
        <v>468</v>
      </c>
      <c r="U142" s="4"/>
      <c r="V142" s="4"/>
      <c r="W142" s="4"/>
      <c r="X142" s="4" t="s">
        <v>729</v>
      </c>
      <c r="Y142" s="4" t="s">
        <v>368</v>
      </c>
      <c r="Z142" s="4"/>
      <c r="AA142" s="4"/>
      <c r="AB142" s="4" t="s">
        <v>220</v>
      </c>
      <c r="AC142" s="4" t="s">
        <v>735</v>
      </c>
      <c r="AD142" s="4"/>
      <c r="AE142" s="4"/>
      <c r="AF142" s="4"/>
      <c r="AG142" s="4"/>
    </row>
    <row r="143">
      <c r="A143" s="5" t="s">
        <v>736</v>
      </c>
      <c r="B143" s="5" t="s">
        <v>737</v>
      </c>
      <c r="C143" s="5" t="s">
        <v>78</v>
      </c>
      <c r="D143" s="5" t="s">
        <v>515</v>
      </c>
      <c r="E143" s="4" t="s">
        <v>738</v>
      </c>
      <c r="F143" s="4"/>
      <c r="G143" s="5" t="s">
        <v>739</v>
      </c>
      <c r="H143" s="5"/>
      <c r="I143" s="5" t="s">
        <v>740</v>
      </c>
      <c r="J143" s="4" t="s">
        <v>741</v>
      </c>
      <c r="K143" s="4" t="s">
        <v>742</v>
      </c>
      <c r="L143" s="4"/>
      <c r="M143" s="5" t="s">
        <v>560</v>
      </c>
      <c r="N143" s="5" t="s">
        <v>743</v>
      </c>
      <c r="O143" s="4" t="s">
        <v>744</v>
      </c>
      <c r="P143" s="5"/>
      <c r="Q143" s="4" t="s">
        <v>745</v>
      </c>
      <c r="R143" s="4" t="s">
        <v>746</v>
      </c>
      <c r="S143" s="4"/>
      <c r="T143" s="4"/>
      <c r="U143" s="4"/>
      <c r="V143" s="4"/>
      <c r="W143" s="4"/>
      <c r="X143" s="4" t="s">
        <v>747</v>
      </c>
      <c r="Y143" s="4" t="s">
        <v>272</v>
      </c>
      <c r="Z143" s="4"/>
      <c r="AA143" s="4"/>
      <c r="AB143" s="4" t="s">
        <v>220</v>
      </c>
      <c r="AC143" s="4" t="s">
        <v>748</v>
      </c>
      <c r="AD143" s="4"/>
      <c r="AE143" s="4"/>
      <c r="AF143" s="4"/>
      <c r="AG143" s="4"/>
    </row>
    <row r="144">
      <c r="A144" s="5" t="s">
        <v>749</v>
      </c>
      <c r="B144" s="5" t="s">
        <v>750</v>
      </c>
      <c r="C144" s="5" t="s">
        <v>78</v>
      </c>
      <c r="D144" s="5" t="s">
        <v>515</v>
      </c>
      <c r="E144" s="4" t="s">
        <v>751</v>
      </c>
      <c r="F144" s="4"/>
      <c r="G144" s="5" t="s">
        <v>752</v>
      </c>
      <c r="H144" s="4"/>
      <c r="I144" s="5" t="s">
        <v>740</v>
      </c>
      <c r="J144" s="4" t="s">
        <v>753</v>
      </c>
      <c r="K144" s="4" t="s">
        <v>754</v>
      </c>
      <c r="L144" s="4"/>
      <c r="M144" s="5" t="s">
        <v>560</v>
      </c>
      <c r="N144" s="5" t="s">
        <v>743</v>
      </c>
      <c r="O144" s="5" t="s">
        <v>744</v>
      </c>
      <c r="P144" s="4"/>
      <c r="Q144" s="4" t="s">
        <v>755</v>
      </c>
      <c r="R144" s="4" t="s">
        <v>756</v>
      </c>
      <c r="S144" s="4"/>
      <c r="T144" s="4"/>
      <c r="U144" s="4"/>
      <c r="V144" s="4"/>
      <c r="W144" s="4"/>
      <c r="X144" s="4" t="s">
        <v>747</v>
      </c>
      <c r="Y144" s="4" t="s">
        <v>272</v>
      </c>
      <c r="Z144" s="4"/>
      <c r="AA144" s="4"/>
      <c r="AB144" s="4" t="s">
        <v>220</v>
      </c>
      <c r="AC144" s="4" t="s">
        <v>757</v>
      </c>
      <c r="AD144" s="4"/>
      <c r="AE144" s="4"/>
      <c r="AF144" s="4"/>
      <c r="AG144" s="4"/>
    </row>
    <row r="145">
      <c r="A145" s="5" t="s">
        <v>758</v>
      </c>
      <c r="B145" s="5" t="s">
        <v>759</v>
      </c>
      <c r="C145" s="5" t="s">
        <v>78</v>
      </c>
      <c r="D145" s="5" t="s">
        <v>515</v>
      </c>
      <c r="E145" s="4" t="s">
        <v>760</v>
      </c>
      <c r="F145" s="4"/>
      <c r="G145" s="5" t="s">
        <v>761</v>
      </c>
      <c r="H145" s="5"/>
      <c r="I145" s="5" t="s">
        <v>740</v>
      </c>
      <c r="J145" s="4" t="s">
        <v>762</v>
      </c>
      <c r="K145" s="4" t="s">
        <v>763</v>
      </c>
      <c r="L145" s="4"/>
      <c r="M145" s="5" t="s">
        <v>560</v>
      </c>
      <c r="N145" s="5" t="s">
        <v>743</v>
      </c>
      <c r="O145" s="5" t="s">
        <v>744</v>
      </c>
      <c r="P145" s="5"/>
      <c r="Q145" s="4" t="s">
        <v>764</v>
      </c>
      <c r="R145" s="4" t="s">
        <v>765</v>
      </c>
      <c r="S145" s="4"/>
      <c r="T145" s="4"/>
      <c r="U145" s="4"/>
      <c r="V145" s="4"/>
      <c r="W145" s="4"/>
      <c r="X145" s="4" t="s">
        <v>747</v>
      </c>
      <c r="Y145" s="4" t="s">
        <v>272</v>
      </c>
      <c r="Z145" s="4"/>
      <c r="AA145" s="4"/>
      <c r="AB145" s="4" t="s">
        <v>220</v>
      </c>
      <c r="AC145" s="4" t="s">
        <v>757</v>
      </c>
      <c r="AD145" s="4"/>
      <c r="AE145" s="5"/>
      <c r="AF145" s="4"/>
      <c r="AG145" s="4"/>
    </row>
    <row r="146">
      <c r="A146" s="5" t="s">
        <v>766</v>
      </c>
      <c r="B146" s="5" t="s">
        <v>767</v>
      </c>
      <c r="C146" s="5" t="s">
        <v>38</v>
      </c>
      <c r="D146" s="5" t="s">
        <v>35</v>
      </c>
      <c r="E146" s="4" t="s">
        <v>768</v>
      </c>
      <c r="F146" s="4"/>
      <c r="G146" s="5" t="s">
        <v>769</v>
      </c>
      <c r="H146" s="4" t="s">
        <v>233</v>
      </c>
      <c r="I146" s="5" t="s">
        <v>770</v>
      </c>
      <c r="J146" s="4"/>
      <c r="K146" s="4"/>
      <c r="L146" s="4"/>
      <c r="M146" s="5" t="s">
        <v>299</v>
      </c>
      <c r="N146" s="5" t="s">
        <v>771</v>
      </c>
      <c r="O146" s="5" t="s">
        <v>772</v>
      </c>
      <c r="P146" s="4"/>
      <c r="Q146" s="4"/>
      <c r="R146" s="4"/>
      <c r="S146" s="4"/>
      <c r="T146" s="4" t="s">
        <v>435</v>
      </c>
      <c r="U146" s="4"/>
      <c r="V146" s="4"/>
      <c r="W146" s="4"/>
      <c r="X146" s="4" t="s">
        <v>773</v>
      </c>
      <c r="Y146" s="4" t="s">
        <v>437</v>
      </c>
      <c r="Z146" s="4"/>
      <c r="AA146" s="4"/>
      <c r="AB146" s="4" t="s">
        <v>220</v>
      </c>
      <c r="AC146" s="4" t="s">
        <v>774</v>
      </c>
      <c r="AD146" s="4"/>
      <c r="AE146" s="4"/>
      <c r="AF146" s="4"/>
      <c r="AG146" s="4"/>
    </row>
    <row r="147">
      <c r="A147" s="5" t="s">
        <v>775</v>
      </c>
      <c r="B147" s="5" t="s">
        <v>776</v>
      </c>
      <c r="C147" s="5" t="s">
        <v>38</v>
      </c>
      <c r="D147" s="5" t="s">
        <v>35</v>
      </c>
      <c r="E147" s="4" t="s">
        <v>777</v>
      </c>
      <c r="F147" s="4"/>
      <c r="G147" s="5" t="s">
        <v>778</v>
      </c>
      <c r="H147" s="4" t="s">
        <v>233</v>
      </c>
      <c r="I147" s="5" t="s">
        <v>779</v>
      </c>
      <c r="J147" s="4"/>
      <c r="K147" s="4"/>
      <c r="L147" s="4"/>
      <c r="M147" s="5" t="s">
        <v>299</v>
      </c>
      <c r="N147" s="5" t="s">
        <v>771</v>
      </c>
      <c r="O147" s="5" t="s">
        <v>772</v>
      </c>
      <c r="P147" s="4"/>
      <c r="Q147" s="4"/>
      <c r="R147" s="4"/>
      <c r="S147" s="4"/>
      <c r="T147" s="4" t="s">
        <v>435</v>
      </c>
      <c r="U147" s="4"/>
      <c r="V147" s="4"/>
      <c r="W147" s="4"/>
      <c r="X147" s="4" t="s">
        <v>773</v>
      </c>
      <c r="Y147" s="4" t="s">
        <v>437</v>
      </c>
      <c r="Z147" s="4"/>
      <c r="AA147" s="4"/>
      <c r="AB147" s="4" t="s">
        <v>220</v>
      </c>
      <c r="AC147" s="4" t="s">
        <v>780</v>
      </c>
      <c r="AD147" s="4"/>
      <c r="AE147" s="4"/>
      <c r="AF147" s="4"/>
      <c r="AG147" s="4"/>
    </row>
    <row r="148">
      <c r="A148" s="5" t="s">
        <v>781</v>
      </c>
      <c r="B148" s="5" t="s">
        <v>782</v>
      </c>
      <c r="C148" s="5" t="s">
        <v>34</v>
      </c>
      <c r="D148" s="5" t="s">
        <v>39</v>
      </c>
      <c r="E148" s="4" t="s">
        <v>783</v>
      </c>
      <c r="F148" s="4"/>
      <c r="G148" s="5" t="s">
        <v>784</v>
      </c>
      <c r="H148" s="4" t="s">
        <v>785</v>
      </c>
      <c r="I148" s="5" t="s">
        <v>786</v>
      </c>
      <c r="J148" s="5"/>
      <c r="K148" s="5"/>
      <c r="L148" s="4"/>
      <c r="M148" s="5" t="s">
        <v>241</v>
      </c>
      <c r="N148" s="5" t="s">
        <v>787</v>
      </c>
      <c r="O148" s="5" t="s">
        <v>788</v>
      </c>
      <c r="P148" s="5"/>
      <c r="Q148" s="5"/>
      <c r="R148" s="5"/>
      <c r="S148" s="4"/>
      <c r="T148" s="5" t="s">
        <v>468</v>
      </c>
      <c r="U148" s="4"/>
      <c r="V148" s="4"/>
      <c r="W148" s="4"/>
      <c r="X148" s="5" t="s">
        <v>789</v>
      </c>
      <c r="Y148" s="4" t="s">
        <v>471</v>
      </c>
      <c r="Z148" s="4"/>
      <c r="AA148" s="4"/>
      <c r="AB148" s="4" t="s">
        <v>220</v>
      </c>
      <c r="AC148" s="4" t="s">
        <v>790</v>
      </c>
      <c r="AD148" s="4"/>
      <c r="AE148" s="4"/>
      <c r="AF148" s="4"/>
      <c r="AG148" s="4"/>
    </row>
    <row r="149">
      <c r="A149" s="5" t="s">
        <v>791</v>
      </c>
      <c r="B149" s="5" t="s">
        <v>792</v>
      </c>
      <c r="C149" s="5" t="s">
        <v>34</v>
      </c>
      <c r="D149" s="5" t="s">
        <v>39</v>
      </c>
      <c r="E149" s="4" t="s">
        <v>793</v>
      </c>
      <c r="F149" s="4"/>
      <c r="G149" s="5" t="s">
        <v>794</v>
      </c>
      <c r="H149" s="5" t="s">
        <v>795</v>
      </c>
      <c r="I149" s="5" t="s">
        <v>786</v>
      </c>
      <c r="J149" s="5"/>
      <c r="K149" s="5"/>
      <c r="L149" s="4"/>
      <c r="M149" s="5" t="s">
        <v>241</v>
      </c>
      <c r="N149" s="5" t="s">
        <v>787</v>
      </c>
      <c r="O149" s="5" t="s">
        <v>788</v>
      </c>
      <c r="P149" s="4"/>
      <c r="Q149" s="5"/>
      <c r="R149" s="5"/>
      <c r="S149" s="4"/>
      <c r="T149" s="4" t="s">
        <v>468</v>
      </c>
      <c r="U149" s="4"/>
      <c r="V149" s="4"/>
      <c r="W149" s="4"/>
      <c r="X149" s="4" t="s">
        <v>789</v>
      </c>
      <c r="Y149" s="4" t="s">
        <v>471</v>
      </c>
      <c r="Z149" s="4"/>
      <c r="AA149" s="4"/>
      <c r="AB149" s="4" t="s">
        <v>220</v>
      </c>
      <c r="AC149" s="4" t="s">
        <v>796</v>
      </c>
      <c r="AD149" s="4"/>
      <c r="AE149" s="4"/>
      <c r="AF149" s="4"/>
      <c r="AG149" s="4"/>
    </row>
    <row r="150">
      <c r="A150" s="5" t="s">
        <v>797</v>
      </c>
      <c r="B150" s="5" t="s">
        <v>798</v>
      </c>
      <c r="C150" s="5" t="s">
        <v>34</v>
      </c>
      <c r="D150" s="5" t="s">
        <v>39</v>
      </c>
      <c r="E150" s="4" t="s">
        <v>799</v>
      </c>
      <c r="F150" s="4"/>
      <c r="G150" s="4" t="s">
        <v>800</v>
      </c>
      <c r="H150" s="5" t="s">
        <v>801</v>
      </c>
      <c r="I150" s="5" t="s">
        <v>786</v>
      </c>
      <c r="J150" s="5"/>
      <c r="K150" s="5"/>
      <c r="L150" s="4"/>
      <c r="M150" s="5" t="s">
        <v>241</v>
      </c>
      <c r="N150" s="5" t="s">
        <v>787</v>
      </c>
      <c r="O150" s="5" t="s">
        <v>788</v>
      </c>
      <c r="P150" s="4"/>
      <c r="Q150" s="5"/>
      <c r="R150" s="5"/>
      <c r="S150" s="4"/>
      <c r="T150" s="4" t="s">
        <v>468</v>
      </c>
      <c r="U150" s="4"/>
      <c r="V150" s="4"/>
      <c r="W150" s="4"/>
      <c r="X150" s="4" t="s">
        <v>789</v>
      </c>
      <c r="Y150" s="4" t="s">
        <v>471</v>
      </c>
      <c r="Z150" s="4"/>
      <c r="AA150" s="4"/>
      <c r="AB150" s="4" t="s">
        <v>220</v>
      </c>
      <c r="AC150" s="4" t="s">
        <v>802</v>
      </c>
      <c r="AD150" s="4"/>
      <c r="AE150" s="4"/>
      <c r="AF150" s="4"/>
      <c r="AG150" s="4"/>
    </row>
    <row r="151">
      <c r="A151" s="5" t="s">
        <v>803</v>
      </c>
      <c r="B151" s="5" t="s">
        <v>804</v>
      </c>
      <c r="C151" s="5" t="s">
        <v>34</v>
      </c>
      <c r="D151" s="5" t="s">
        <v>39</v>
      </c>
      <c r="E151" s="4" t="s">
        <v>805</v>
      </c>
      <c r="F151" s="4"/>
      <c r="G151" s="5" t="s">
        <v>806</v>
      </c>
      <c r="H151" s="4" t="s">
        <v>725</v>
      </c>
      <c r="I151" s="5" t="s">
        <v>786</v>
      </c>
      <c r="J151" s="4"/>
      <c r="K151" s="4"/>
      <c r="L151" s="4"/>
      <c r="M151" s="5" t="s">
        <v>241</v>
      </c>
      <c r="N151" s="5" t="s">
        <v>787</v>
      </c>
      <c r="O151" s="5" t="s">
        <v>788</v>
      </c>
      <c r="P151" s="4"/>
      <c r="Q151" s="4"/>
      <c r="R151" s="4"/>
      <c r="S151" s="4"/>
      <c r="T151" s="4" t="s">
        <v>468</v>
      </c>
      <c r="U151" s="4"/>
      <c r="V151" s="4"/>
      <c r="W151" s="4"/>
      <c r="X151" s="4" t="s">
        <v>789</v>
      </c>
      <c r="Y151" s="4" t="s">
        <v>471</v>
      </c>
      <c r="Z151" s="4"/>
      <c r="AA151" s="4"/>
      <c r="AB151" s="4" t="s">
        <v>220</v>
      </c>
      <c r="AC151" s="4" t="s">
        <v>807</v>
      </c>
      <c r="AD151" s="4"/>
      <c r="AE151" s="4"/>
      <c r="AF151" s="4"/>
      <c r="AG151" s="4"/>
    </row>
    <row r="152">
      <c r="A152" s="5" t="s">
        <v>808</v>
      </c>
      <c r="B152" s="5" t="s">
        <v>809</v>
      </c>
      <c r="C152" s="5" t="s">
        <v>34</v>
      </c>
      <c r="D152" s="5" t="s">
        <v>39</v>
      </c>
      <c r="E152" s="4" t="s">
        <v>810</v>
      </c>
      <c r="F152" s="4"/>
      <c r="G152" s="5" t="s">
        <v>811</v>
      </c>
      <c r="H152" s="5" t="s">
        <v>795</v>
      </c>
      <c r="I152" s="5" t="s">
        <v>786</v>
      </c>
      <c r="J152" s="4"/>
      <c r="K152" s="4"/>
      <c r="L152" s="4"/>
      <c r="M152" s="5" t="s">
        <v>241</v>
      </c>
      <c r="N152" s="5" t="s">
        <v>787</v>
      </c>
      <c r="O152" s="5" t="s">
        <v>788</v>
      </c>
      <c r="P152" s="4"/>
      <c r="Q152" s="4"/>
      <c r="R152" s="4"/>
      <c r="S152" s="4"/>
      <c r="T152" s="4" t="s">
        <v>468</v>
      </c>
      <c r="U152" s="4"/>
      <c r="V152" s="4"/>
      <c r="W152" s="4"/>
      <c r="X152" s="4" t="s">
        <v>789</v>
      </c>
      <c r="Y152" s="4" t="s">
        <v>471</v>
      </c>
      <c r="Z152" s="4"/>
      <c r="AA152" s="4"/>
      <c r="AB152" s="4" t="s">
        <v>220</v>
      </c>
      <c r="AC152" s="4" t="s">
        <v>812</v>
      </c>
      <c r="AD152" s="4"/>
      <c r="AE152" s="4"/>
      <c r="AF152" s="4"/>
      <c r="AG152" s="4"/>
    </row>
    <row r="153">
      <c r="A153" s="5" t="s">
        <v>813</v>
      </c>
      <c r="B153" s="5" t="s">
        <v>814</v>
      </c>
      <c r="C153" s="5" t="s">
        <v>34</v>
      </c>
      <c r="D153" s="5" t="s">
        <v>39</v>
      </c>
      <c r="E153" s="4" t="s">
        <v>815</v>
      </c>
      <c r="F153" s="4"/>
      <c r="G153" s="5" t="s">
        <v>816</v>
      </c>
      <c r="H153" s="5" t="s">
        <v>725</v>
      </c>
      <c r="I153" s="5" t="s">
        <v>786</v>
      </c>
      <c r="J153" s="4"/>
      <c r="K153" s="4"/>
      <c r="L153" s="4"/>
      <c r="M153" s="5" t="s">
        <v>241</v>
      </c>
      <c r="N153" s="5" t="s">
        <v>787</v>
      </c>
      <c r="O153" s="4" t="s">
        <v>788</v>
      </c>
      <c r="P153" s="4"/>
      <c r="Q153" s="4"/>
      <c r="R153" s="4"/>
      <c r="S153" s="4"/>
      <c r="T153" s="4" t="s">
        <v>468</v>
      </c>
      <c r="U153" s="4"/>
      <c r="V153" s="4"/>
      <c r="W153" s="4"/>
      <c r="X153" s="4" t="s">
        <v>789</v>
      </c>
      <c r="Y153" s="4" t="s">
        <v>471</v>
      </c>
      <c r="Z153" s="4"/>
      <c r="AA153" s="4"/>
      <c r="AB153" s="4" t="s">
        <v>220</v>
      </c>
      <c r="AC153" s="4" t="s">
        <v>817</v>
      </c>
      <c r="AD153" s="4"/>
      <c r="AE153" s="4"/>
      <c r="AF153" s="4"/>
      <c r="AG153" s="4"/>
    </row>
    <row r="154">
      <c r="A154" s="5" t="s">
        <v>818</v>
      </c>
      <c r="B154" s="5" t="s">
        <v>819</v>
      </c>
      <c r="C154" s="5" t="s">
        <v>34</v>
      </c>
      <c r="D154" s="5" t="s">
        <v>35</v>
      </c>
      <c r="E154" s="4" t="s">
        <v>820</v>
      </c>
      <c r="F154" s="4"/>
      <c r="G154" s="4" t="s">
        <v>821</v>
      </c>
      <c r="H154" s="4" t="s">
        <v>233</v>
      </c>
      <c r="I154" s="4" t="s">
        <v>822</v>
      </c>
      <c r="J154" s="4"/>
      <c r="K154" s="4"/>
      <c r="L154" s="4"/>
      <c r="M154" s="4" t="s">
        <v>299</v>
      </c>
      <c r="N154" s="4" t="s">
        <v>823</v>
      </c>
      <c r="O154" s="4" t="s">
        <v>824</v>
      </c>
      <c r="P154" s="4"/>
      <c r="Q154" s="4"/>
      <c r="R154" s="4"/>
      <c r="S154" s="4"/>
      <c r="T154" s="4" t="s">
        <v>459</v>
      </c>
      <c r="U154" s="4"/>
      <c r="V154" s="4"/>
      <c r="W154" s="4"/>
      <c r="X154" s="4" t="s">
        <v>825</v>
      </c>
      <c r="Y154" s="4" t="s">
        <v>368</v>
      </c>
      <c r="Z154" s="4"/>
      <c r="AA154" s="4"/>
      <c r="AB154" s="4" t="s">
        <v>220</v>
      </c>
      <c r="AC154" s="4" t="s">
        <v>826</v>
      </c>
      <c r="AD154" s="4"/>
      <c r="AE154" s="4"/>
      <c r="AF154" s="4"/>
      <c r="AG154" s="4"/>
    </row>
    <row r="155">
      <c r="A155" s="5" t="s">
        <v>821</v>
      </c>
      <c r="B155" s="5" t="s">
        <v>827</v>
      </c>
      <c r="C155" s="5" t="s">
        <v>34</v>
      </c>
      <c r="D155" s="5" t="s">
        <v>35</v>
      </c>
      <c r="E155" s="4" t="s">
        <v>828</v>
      </c>
      <c r="F155" s="4"/>
      <c r="G155" s="5" t="s">
        <v>818</v>
      </c>
      <c r="H155" s="4" t="s">
        <v>543</v>
      </c>
      <c r="I155" s="5" t="s">
        <v>822</v>
      </c>
      <c r="J155" s="4"/>
      <c r="K155" s="4"/>
      <c r="L155" s="4"/>
      <c r="M155" s="5" t="s">
        <v>299</v>
      </c>
      <c r="N155" s="5" t="s">
        <v>829</v>
      </c>
      <c r="O155" s="5" t="s">
        <v>824</v>
      </c>
      <c r="P155" s="4"/>
      <c r="Q155" s="4"/>
      <c r="R155" s="4"/>
      <c r="S155" s="4"/>
      <c r="T155" s="4" t="s">
        <v>459</v>
      </c>
      <c r="U155" s="4"/>
      <c r="V155" s="4"/>
      <c r="W155" s="4"/>
      <c r="X155" s="4" t="s">
        <v>825</v>
      </c>
      <c r="Y155" s="4" t="s">
        <v>368</v>
      </c>
      <c r="Z155" s="4"/>
      <c r="AA155" s="4"/>
      <c r="AB155" s="4" t="s">
        <v>220</v>
      </c>
      <c r="AC155" s="4" t="s">
        <v>830</v>
      </c>
      <c r="AD155" s="4"/>
      <c r="AE155" s="4"/>
      <c r="AF155" s="4"/>
      <c r="AG155" s="4"/>
    </row>
    <row r="156">
      <c r="A156" s="5" t="s">
        <v>831</v>
      </c>
      <c r="B156" s="5" t="s">
        <v>832</v>
      </c>
      <c r="C156" s="5" t="s">
        <v>34</v>
      </c>
      <c r="D156" s="5" t="s">
        <v>39</v>
      </c>
      <c r="E156" s="4" t="s">
        <v>833</v>
      </c>
      <c r="F156" s="4"/>
      <c r="G156" s="5" t="s">
        <v>834</v>
      </c>
      <c r="H156" s="4" t="s">
        <v>835</v>
      </c>
      <c r="I156" s="5" t="s">
        <v>836</v>
      </c>
      <c r="J156" s="4"/>
      <c r="K156" s="4"/>
      <c r="L156" s="4"/>
      <c r="M156" s="5" t="s">
        <v>346</v>
      </c>
      <c r="N156" s="5" t="s">
        <v>837</v>
      </c>
      <c r="O156" s="5" t="s">
        <v>838</v>
      </c>
      <c r="P156" s="4"/>
      <c r="Q156" s="4"/>
      <c r="R156" s="4"/>
      <c r="S156" s="4"/>
      <c r="T156" s="4" t="s">
        <v>698</v>
      </c>
      <c r="U156" s="4"/>
      <c r="V156" s="4"/>
      <c r="W156" s="4"/>
      <c r="X156" s="4" t="s">
        <v>839</v>
      </c>
      <c r="Y156" s="4" t="s">
        <v>368</v>
      </c>
      <c r="Z156" s="4"/>
      <c r="AA156" s="4"/>
      <c r="AB156" s="4" t="s">
        <v>220</v>
      </c>
      <c r="AC156" s="4" t="s">
        <v>840</v>
      </c>
      <c r="AD156" s="4"/>
      <c r="AE156" s="4"/>
      <c r="AF156" s="4"/>
      <c r="AG156" s="4"/>
    </row>
    <row r="157">
      <c r="A157" s="5" t="s">
        <v>841</v>
      </c>
      <c r="B157" s="5" t="s">
        <v>842</v>
      </c>
      <c r="C157" s="5" t="s">
        <v>34</v>
      </c>
      <c r="D157" s="5" t="s">
        <v>39</v>
      </c>
      <c r="E157" s="4" t="s">
        <v>843</v>
      </c>
      <c r="F157" s="4"/>
      <c r="G157" s="5" t="s">
        <v>844</v>
      </c>
      <c r="H157" s="4" t="s">
        <v>845</v>
      </c>
      <c r="I157" s="5" t="s">
        <v>836</v>
      </c>
      <c r="J157" s="4"/>
      <c r="K157" s="4"/>
      <c r="L157" s="4"/>
      <c r="M157" s="5" t="s">
        <v>346</v>
      </c>
      <c r="N157" s="5" t="s">
        <v>846</v>
      </c>
      <c r="O157" s="5" t="s">
        <v>838</v>
      </c>
      <c r="P157" s="4"/>
      <c r="Q157" s="4"/>
      <c r="R157" s="4"/>
      <c r="S157" s="4"/>
      <c r="T157" s="4"/>
      <c r="U157" s="4"/>
      <c r="V157" s="4"/>
      <c r="W157" s="4"/>
      <c r="X157" s="4" t="s">
        <v>839</v>
      </c>
      <c r="Y157" s="4" t="s">
        <v>368</v>
      </c>
      <c r="Z157" s="4"/>
      <c r="AA157" s="4"/>
      <c r="AB157" s="4" t="s">
        <v>220</v>
      </c>
      <c r="AC157" s="4" t="s">
        <v>847</v>
      </c>
      <c r="AD157" s="4"/>
      <c r="AE157" s="4"/>
      <c r="AF157" s="4"/>
      <c r="AG157" s="4"/>
    </row>
    <row r="158">
      <c r="A158" s="5" t="s">
        <v>848</v>
      </c>
      <c r="B158" s="5" t="s">
        <v>849</v>
      </c>
      <c r="C158" s="5" t="s">
        <v>34</v>
      </c>
      <c r="D158" s="5" t="s">
        <v>39</v>
      </c>
      <c r="E158" s="4" t="s">
        <v>850</v>
      </c>
      <c r="F158" s="4"/>
      <c r="G158" s="5" t="s">
        <v>851</v>
      </c>
      <c r="H158" s="4" t="s">
        <v>852</v>
      </c>
      <c r="I158" s="5" t="s">
        <v>836</v>
      </c>
      <c r="J158" s="4"/>
      <c r="K158" s="4"/>
      <c r="L158" s="4"/>
      <c r="M158" s="5" t="s">
        <v>346</v>
      </c>
      <c r="N158" s="5" t="s">
        <v>846</v>
      </c>
      <c r="O158" s="5" t="s">
        <v>838</v>
      </c>
      <c r="P158" s="5"/>
      <c r="Q158" s="4"/>
      <c r="R158" s="4"/>
      <c r="S158" s="4"/>
      <c r="T158" s="4" t="s">
        <v>698</v>
      </c>
      <c r="U158" s="4"/>
      <c r="V158" s="4"/>
      <c r="W158" s="4"/>
      <c r="X158" s="4" t="s">
        <v>839</v>
      </c>
      <c r="Y158" s="4" t="s">
        <v>368</v>
      </c>
      <c r="Z158" s="4"/>
      <c r="AA158" s="4"/>
      <c r="AB158" s="4" t="s">
        <v>220</v>
      </c>
      <c r="AC158" s="4" t="s">
        <v>853</v>
      </c>
      <c r="AD158" s="4"/>
      <c r="AE158" s="4"/>
      <c r="AF158" s="4"/>
      <c r="AG158" s="4"/>
    </row>
    <row r="159">
      <c r="A159" s="5" t="s">
        <v>547</v>
      </c>
      <c r="B159" s="5" t="s">
        <v>854</v>
      </c>
      <c r="C159" s="5" t="s">
        <v>34</v>
      </c>
      <c r="D159" s="5" t="s">
        <v>35</v>
      </c>
      <c r="E159" s="4" t="s">
        <v>855</v>
      </c>
      <c r="F159" s="4"/>
      <c r="G159" s="5"/>
      <c r="H159" s="4" t="s">
        <v>543</v>
      </c>
      <c r="I159" s="5" t="s">
        <v>856</v>
      </c>
      <c r="J159" s="4"/>
      <c r="K159" s="4"/>
      <c r="L159" s="4"/>
      <c r="M159" s="5" t="s">
        <v>299</v>
      </c>
      <c r="N159" s="5" t="s">
        <v>857</v>
      </c>
      <c r="O159" s="5" t="s">
        <v>858</v>
      </c>
      <c r="P159" s="4"/>
      <c r="Q159" s="4"/>
      <c r="R159" s="4"/>
      <c r="S159" s="4"/>
      <c r="T159" s="4" t="s">
        <v>859</v>
      </c>
      <c r="U159" s="4"/>
      <c r="V159" s="4"/>
      <c r="W159" s="4"/>
      <c r="X159" s="4" t="s">
        <v>825</v>
      </c>
      <c r="Y159" s="4" t="s">
        <v>368</v>
      </c>
      <c r="Z159" s="4"/>
      <c r="AA159" s="4"/>
      <c r="AB159" s="4" t="s">
        <v>220</v>
      </c>
      <c r="AC159" s="4" t="s">
        <v>860</v>
      </c>
      <c r="AD159" s="4"/>
      <c r="AE159" s="4"/>
      <c r="AF159" s="4"/>
      <c r="AG159" s="4"/>
    </row>
    <row r="160">
      <c r="A160" s="5" t="s">
        <v>861</v>
      </c>
      <c r="B160" s="5" t="s">
        <v>862</v>
      </c>
      <c r="C160" s="5" t="s">
        <v>78</v>
      </c>
      <c r="D160" s="5" t="s">
        <v>257</v>
      </c>
      <c r="E160" s="4" t="s">
        <v>863</v>
      </c>
      <c r="F160" s="4"/>
      <c r="G160" s="5" t="s">
        <v>864</v>
      </c>
      <c r="H160" s="4"/>
      <c r="I160" s="5" t="s">
        <v>865</v>
      </c>
      <c r="J160" s="4" t="s">
        <v>866</v>
      </c>
      <c r="K160" s="4" t="s">
        <v>867</v>
      </c>
      <c r="L160" s="4"/>
      <c r="M160" s="5" t="s">
        <v>263</v>
      </c>
      <c r="N160" s="5" t="s">
        <v>868</v>
      </c>
      <c r="O160" s="5" t="s">
        <v>404</v>
      </c>
      <c r="P160" s="4"/>
      <c r="Q160" s="4" t="s">
        <v>869</v>
      </c>
      <c r="R160" s="4" t="s">
        <v>870</v>
      </c>
      <c r="S160" s="4"/>
      <c r="T160" s="4" t="s">
        <v>871</v>
      </c>
      <c r="U160" s="4"/>
      <c r="V160" s="4" t="s">
        <v>287</v>
      </c>
      <c r="W160" s="6">
        <v>2.0</v>
      </c>
      <c r="X160" s="4" t="s">
        <v>872</v>
      </c>
      <c r="Y160" s="4" t="s">
        <v>272</v>
      </c>
      <c r="Z160" s="4"/>
      <c r="AA160" s="4"/>
      <c r="AB160" s="4" t="s">
        <v>873</v>
      </c>
      <c r="AC160" s="4" t="s">
        <v>874</v>
      </c>
      <c r="AD160" s="4"/>
      <c r="AE160" s="4"/>
      <c r="AF160" s="4"/>
      <c r="AG160" s="4"/>
    </row>
    <row r="161">
      <c r="A161" s="5" t="s">
        <v>875</v>
      </c>
      <c r="B161" s="5" t="s">
        <v>876</v>
      </c>
      <c r="C161" s="5" t="s">
        <v>38</v>
      </c>
      <c r="D161" s="5" t="s">
        <v>73</v>
      </c>
      <c r="E161" s="4" t="s">
        <v>877</v>
      </c>
      <c r="F161" s="4"/>
      <c r="G161" s="5" t="s">
        <v>878</v>
      </c>
      <c r="H161" s="4" t="s">
        <v>637</v>
      </c>
      <c r="I161" s="5" t="s">
        <v>879</v>
      </c>
      <c r="J161" s="4"/>
      <c r="K161" s="4"/>
      <c r="L161" s="4"/>
      <c r="M161" s="5" t="s">
        <v>560</v>
      </c>
      <c r="N161" s="5" t="s">
        <v>880</v>
      </c>
      <c r="O161" s="5" t="s">
        <v>881</v>
      </c>
      <c r="P161" s="5"/>
      <c r="Q161" s="4"/>
      <c r="R161" s="4"/>
      <c r="S161" s="4"/>
      <c r="T161" s="4" t="s">
        <v>435</v>
      </c>
      <c r="U161" s="4"/>
      <c r="V161" s="4"/>
      <c r="W161" s="4"/>
      <c r="X161" s="4" t="s">
        <v>747</v>
      </c>
      <c r="Y161" s="4" t="s">
        <v>437</v>
      </c>
      <c r="Z161" s="4"/>
      <c r="AA161" s="4"/>
      <c r="AB161" s="4" t="s">
        <v>220</v>
      </c>
      <c r="AC161" s="4" t="s">
        <v>882</v>
      </c>
      <c r="AD161" s="4"/>
      <c r="AE161" s="4"/>
      <c r="AF161" s="4"/>
      <c r="AG161" s="4"/>
    </row>
    <row r="162">
      <c r="A162" s="5" t="s">
        <v>883</v>
      </c>
      <c r="B162" s="5" t="s">
        <v>884</v>
      </c>
      <c r="C162" s="5" t="s">
        <v>34</v>
      </c>
      <c r="D162" s="5" t="s">
        <v>73</v>
      </c>
      <c r="E162" s="4" t="s">
        <v>885</v>
      </c>
      <c r="F162" s="4"/>
      <c r="G162" s="5" t="s">
        <v>886</v>
      </c>
      <c r="H162" s="5" t="s">
        <v>464</v>
      </c>
      <c r="I162" s="5" t="s">
        <v>887</v>
      </c>
      <c r="J162" s="4"/>
      <c r="K162" s="4"/>
      <c r="L162" s="4"/>
      <c r="M162" s="5" t="s">
        <v>560</v>
      </c>
      <c r="N162" s="5" t="s">
        <v>888</v>
      </c>
      <c r="O162" s="5" t="s">
        <v>889</v>
      </c>
      <c r="P162" s="5"/>
      <c r="Q162" s="4"/>
      <c r="R162" s="4"/>
      <c r="S162" s="4"/>
      <c r="T162" s="4" t="s">
        <v>468</v>
      </c>
      <c r="U162" s="4"/>
      <c r="V162" s="4"/>
      <c r="W162" s="4"/>
      <c r="X162" s="4" t="s">
        <v>890</v>
      </c>
      <c r="Y162" s="4" t="s">
        <v>471</v>
      </c>
      <c r="Z162" s="4"/>
      <c r="AA162" s="4"/>
      <c r="AB162" s="4" t="s">
        <v>220</v>
      </c>
      <c r="AC162" s="4" t="s">
        <v>891</v>
      </c>
      <c r="AD162" s="4"/>
      <c r="AE162" s="4"/>
      <c r="AF162" s="4"/>
      <c r="AG162" s="4"/>
    </row>
    <row r="163">
      <c r="A163" s="5" t="s">
        <v>886</v>
      </c>
      <c r="B163" s="5" t="s">
        <v>892</v>
      </c>
      <c r="C163" s="5" t="s">
        <v>34</v>
      </c>
      <c r="D163" s="5" t="s">
        <v>73</v>
      </c>
      <c r="E163" s="4" t="s">
        <v>893</v>
      </c>
      <c r="F163" s="4"/>
      <c r="G163" s="4" t="s">
        <v>883</v>
      </c>
      <c r="H163" s="5" t="s">
        <v>558</v>
      </c>
      <c r="I163" s="5" t="s">
        <v>887</v>
      </c>
      <c r="J163" s="4"/>
      <c r="K163" s="4"/>
      <c r="L163" s="4"/>
      <c r="M163" s="5" t="s">
        <v>560</v>
      </c>
      <c r="N163" s="5" t="s">
        <v>888</v>
      </c>
      <c r="O163" s="5" t="s">
        <v>889</v>
      </c>
      <c r="P163" s="4"/>
      <c r="Q163" s="4"/>
      <c r="R163" s="4"/>
      <c r="S163" s="4"/>
      <c r="T163" s="4" t="s">
        <v>468</v>
      </c>
      <c r="U163" s="4"/>
      <c r="V163" s="4"/>
      <c r="W163" s="4"/>
      <c r="X163" s="4" t="s">
        <v>890</v>
      </c>
      <c r="Y163" s="4" t="s">
        <v>471</v>
      </c>
      <c r="Z163" s="4"/>
      <c r="AA163" s="4"/>
      <c r="AB163" s="4" t="s">
        <v>220</v>
      </c>
      <c r="AC163" s="4" t="s">
        <v>894</v>
      </c>
      <c r="AD163" s="4"/>
      <c r="AE163" s="4"/>
      <c r="AF163" s="4"/>
      <c r="AG163" s="4"/>
    </row>
    <row r="164">
      <c r="A164" s="5" t="s">
        <v>895</v>
      </c>
      <c r="B164" s="5" t="s">
        <v>896</v>
      </c>
      <c r="C164" s="5" t="s">
        <v>34</v>
      </c>
      <c r="D164" s="5" t="s">
        <v>73</v>
      </c>
      <c r="E164" s="4" t="s">
        <v>897</v>
      </c>
      <c r="F164" s="4"/>
      <c r="G164" s="5"/>
      <c r="H164" s="4" t="s">
        <v>255</v>
      </c>
      <c r="I164" s="5" t="s">
        <v>898</v>
      </c>
      <c r="J164" s="5"/>
      <c r="K164" s="5"/>
      <c r="L164" s="4"/>
      <c r="M164" s="5" t="s">
        <v>560</v>
      </c>
      <c r="N164" s="5" t="s">
        <v>899</v>
      </c>
      <c r="O164" s="5" t="s">
        <v>900</v>
      </c>
      <c r="P164" s="4"/>
      <c r="Q164" s="5"/>
      <c r="R164" s="5"/>
      <c r="S164" s="4"/>
      <c r="T164" s="4" t="s">
        <v>859</v>
      </c>
      <c r="U164" s="4"/>
      <c r="V164" s="4"/>
      <c r="W164" s="4"/>
      <c r="X164" s="4" t="s">
        <v>901</v>
      </c>
      <c r="Y164" s="4" t="s">
        <v>368</v>
      </c>
      <c r="Z164" s="4"/>
      <c r="AA164" s="4"/>
      <c r="AB164" s="4" t="s">
        <v>220</v>
      </c>
      <c r="AC164" s="4" t="s">
        <v>902</v>
      </c>
      <c r="AD164" s="4"/>
      <c r="AE164" s="4"/>
      <c r="AF164" s="4"/>
      <c r="AG164" s="4"/>
    </row>
    <row r="165">
      <c r="A165" s="5" t="s">
        <v>903</v>
      </c>
      <c r="B165" s="5" t="s">
        <v>904</v>
      </c>
      <c r="C165" s="5" t="s">
        <v>34</v>
      </c>
      <c r="D165" s="5" t="s">
        <v>39</v>
      </c>
      <c r="E165" s="4" t="s">
        <v>905</v>
      </c>
      <c r="F165" s="4"/>
      <c r="G165" s="5" t="s">
        <v>906</v>
      </c>
      <c r="H165" s="5" t="s">
        <v>845</v>
      </c>
      <c r="I165" s="5" t="s">
        <v>907</v>
      </c>
      <c r="J165" s="4"/>
      <c r="K165" s="4"/>
      <c r="L165" s="4"/>
      <c r="M165" s="5" t="s">
        <v>241</v>
      </c>
      <c r="N165" s="5" t="s">
        <v>908</v>
      </c>
      <c r="O165" s="5" t="s">
        <v>909</v>
      </c>
      <c r="P165" s="5"/>
      <c r="Q165" s="4"/>
      <c r="R165" s="4"/>
      <c r="S165" s="4"/>
      <c r="T165" s="4" t="s">
        <v>698</v>
      </c>
      <c r="U165" s="4"/>
      <c r="V165" s="4"/>
      <c r="W165" s="4"/>
      <c r="X165" s="4" t="s">
        <v>910</v>
      </c>
      <c r="Y165" s="4" t="s">
        <v>368</v>
      </c>
      <c r="Z165" s="4"/>
      <c r="AA165" s="4"/>
      <c r="AB165" s="4" t="s">
        <v>220</v>
      </c>
      <c r="AC165" s="4" t="s">
        <v>911</v>
      </c>
      <c r="AD165" s="4"/>
      <c r="AE165" s="4"/>
      <c r="AF165" s="4"/>
      <c r="AG165" s="4"/>
    </row>
    <row r="166">
      <c r="A166" s="5" t="s">
        <v>906</v>
      </c>
      <c r="B166" s="5" t="s">
        <v>912</v>
      </c>
      <c r="C166" s="5" t="s">
        <v>34</v>
      </c>
      <c r="D166" s="5" t="s">
        <v>39</v>
      </c>
      <c r="E166" s="4" t="s">
        <v>913</v>
      </c>
      <c r="F166" s="4"/>
      <c r="G166" s="5" t="s">
        <v>903</v>
      </c>
      <c r="H166" s="4" t="s">
        <v>914</v>
      </c>
      <c r="I166" s="4" t="s">
        <v>915</v>
      </c>
      <c r="J166" s="5"/>
      <c r="K166" s="5"/>
      <c r="L166" s="4"/>
      <c r="M166" s="5" t="s">
        <v>916</v>
      </c>
      <c r="N166" s="5" t="s">
        <v>917</v>
      </c>
      <c r="O166" s="4" t="s">
        <v>909</v>
      </c>
      <c r="P166" s="4"/>
      <c r="Q166" s="5"/>
      <c r="R166" s="5"/>
      <c r="S166" s="4"/>
      <c r="T166" s="4" t="s">
        <v>859</v>
      </c>
      <c r="U166" s="4"/>
      <c r="V166" s="4" t="s">
        <v>287</v>
      </c>
      <c r="W166" s="6">
        <v>1.0</v>
      </c>
      <c r="X166" s="4" t="s">
        <v>918</v>
      </c>
      <c r="Y166" s="4" t="s">
        <v>368</v>
      </c>
      <c r="Z166" s="4"/>
      <c r="AA166" s="4"/>
      <c r="AB166" s="4" t="s">
        <v>288</v>
      </c>
      <c r="AC166" s="4" t="s">
        <v>919</v>
      </c>
      <c r="AD166" s="4"/>
      <c r="AE166" s="4"/>
      <c r="AF166" s="4"/>
      <c r="AG166" s="4"/>
    </row>
    <row r="167">
      <c r="A167" s="5" t="s">
        <v>920</v>
      </c>
      <c r="B167" s="5" t="s">
        <v>921</v>
      </c>
      <c r="C167" s="5" t="s">
        <v>78</v>
      </c>
      <c r="D167" s="5" t="s">
        <v>515</v>
      </c>
      <c r="E167" s="4" t="s">
        <v>922</v>
      </c>
      <c r="F167" s="4"/>
      <c r="G167" s="5" t="s">
        <v>923</v>
      </c>
      <c r="H167" s="4"/>
      <c r="I167" s="4" t="s">
        <v>924</v>
      </c>
      <c r="J167" s="5" t="s">
        <v>925</v>
      </c>
      <c r="K167" s="5" t="s">
        <v>926</v>
      </c>
      <c r="L167" s="4"/>
      <c r="M167" s="5" t="s">
        <v>560</v>
      </c>
      <c r="N167" s="5" t="s">
        <v>927</v>
      </c>
      <c r="O167" s="4" t="s">
        <v>928</v>
      </c>
      <c r="P167" s="4"/>
      <c r="Q167" s="5" t="s">
        <v>929</v>
      </c>
      <c r="R167" s="5" t="s">
        <v>930</v>
      </c>
      <c r="S167" s="4"/>
      <c r="T167" s="4"/>
      <c r="U167" s="4"/>
      <c r="V167" s="4"/>
      <c r="W167" s="4"/>
      <c r="X167" s="4" t="s">
        <v>747</v>
      </c>
      <c r="Y167" s="4" t="s">
        <v>272</v>
      </c>
      <c r="Z167" s="4"/>
      <c r="AA167" s="4"/>
      <c r="AB167" s="4" t="s">
        <v>220</v>
      </c>
      <c r="AC167" s="4" t="s">
        <v>931</v>
      </c>
      <c r="AD167" s="4"/>
      <c r="AE167" s="4"/>
      <c r="AF167" s="4"/>
      <c r="AG167" s="4"/>
    </row>
    <row r="168">
      <c r="A168" s="5" t="s">
        <v>932</v>
      </c>
      <c r="B168" s="5" t="s">
        <v>933</v>
      </c>
      <c r="C168" s="5" t="s">
        <v>78</v>
      </c>
      <c r="D168" s="5" t="s">
        <v>515</v>
      </c>
      <c r="E168" s="4" t="s">
        <v>934</v>
      </c>
      <c r="F168" s="4"/>
      <c r="G168" s="5" t="s">
        <v>935</v>
      </c>
      <c r="H168" s="4"/>
      <c r="I168" s="4" t="s">
        <v>924</v>
      </c>
      <c r="J168" s="5" t="s">
        <v>936</v>
      </c>
      <c r="K168" s="5" t="s">
        <v>937</v>
      </c>
      <c r="L168" s="4"/>
      <c r="M168" s="5" t="s">
        <v>560</v>
      </c>
      <c r="N168" s="5" t="s">
        <v>927</v>
      </c>
      <c r="O168" s="4" t="s">
        <v>928</v>
      </c>
      <c r="P168" s="4" t="s">
        <v>938</v>
      </c>
      <c r="Q168" s="4" t="s">
        <v>939</v>
      </c>
      <c r="R168" s="5" t="s">
        <v>940</v>
      </c>
      <c r="S168" s="4"/>
      <c r="T168" s="4"/>
      <c r="U168" s="4"/>
      <c r="V168" s="4"/>
      <c r="W168" s="4"/>
      <c r="X168" s="4" t="s">
        <v>747</v>
      </c>
      <c r="Y168" s="4" t="s">
        <v>272</v>
      </c>
      <c r="Z168" s="4"/>
      <c r="AA168" s="4"/>
      <c r="AB168" s="4" t="s">
        <v>220</v>
      </c>
      <c r="AC168" s="4" t="s">
        <v>941</v>
      </c>
      <c r="AD168" s="4"/>
      <c r="AE168" s="4"/>
      <c r="AF168" s="4"/>
      <c r="AG168" s="4"/>
    </row>
    <row r="169">
      <c r="A169" s="5" t="s">
        <v>942</v>
      </c>
      <c r="B169" s="5" t="s">
        <v>943</v>
      </c>
      <c r="C169" s="5" t="s">
        <v>78</v>
      </c>
      <c r="D169" s="5" t="s">
        <v>515</v>
      </c>
      <c r="E169" s="4" t="s">
        <v>944</v>
      </c>
      <c r="F169" s="4"/>
      <c r="G169" s="5" t="s">
        <v>945</v>
      </c>
      <c r="H169" s="5"/>
      <c r="I169" s="4" t="s">
        <v>924</v>
      </c>
      <c r="J169" s="5" t="s">
        <v>946</v>
      </c>
      <c r="K169" s="5" t="s">
        <v>947</v>
      </c>
      <c r="L169" s="4"/>
      <c r="M169" s="5" t="s">
        <v>560</v>
      </c>
      <c r="N169" s="5" t="s">
        <v>927</v>
      </c>
      <c r="O169" s="4" t="s">
        <v>928</v>
      </c>
      <c r="P169" s="4" t="s">
        <v>948</v>
      </c>
      <c r="Q169" s="5" t="s">
        <v>949</v>
      </c>
      <c r="R169" s="4" t="s">
        <v>950</v>
      </c>
      <c r="S169" s="4"/>
      <c r="T169" s="4"/>
      <c r="U169" s="4"/>
      <c r="V169" s="4"/>
      <c r="W169" s="4"/>
      <c r="X169" s="4" t="s">
        <v>747</v>
      </c>
      <c r="Y169" s="4" t="s">
        <v>272</v>
      </c>
      <c r="Z169" s="4"/>
      <c r="AA169" s="4"/>
      <c r="AB169" s="4" t="s">
        <v>220</v>
      </c>
      <c r="AC169" s="4" t="s">
        <v>951</v>
      </c>
      <c r="AD169" s="4"/>
      <c r="AE169" s="4"/>
      <c r="AF169" s="4"/>
      <c r="AG169" s="4"/>
    </row>
    <row r="170">
      <c r="A170" s="5" t="s">
        <v>952</v>
      </c>
      <c r="B170" s="5" t="s">
        <v>953</v>
      </c>
      <c r="C170" s="5" t="s">
        <v>38</v>
      </c>
      <c r="D170" s="5" t="s">
        <v>534</v>
      </c>
      <c r="E170" s="4" t="s">
        <v>954</v>
      </c>
      <c r="F170" s="4"/>
      <c r="G170" s="5" t="s">
        <v>955</v>
      </c>
      <c r="H170" s="5" t="s">
        <v>487</v>
      </c>
      <c r="I170" s="4" t="s">
        <v>956</v>
      </c>
      <c r="J170" s="5"/>
      <c r="K170" s="5"/>
      <c r="L170" s="4"/>
      <c r="M170" s="5" t="s">
        <v>299</v>
      </c>
      <c r="N170" s="5" t="s">
        <v>957</v>
      </c>
      <c r="O170" s="4" t="s">
        <v>958</v>
      </c>
      <c r="P170" s="4"/>
      <c r="Q170" s="5"/>
      <c r="R170" s="5"/>
      <c r="S170" s="4"/>
      <c r="T170" s="4" t="s">
        <v>435</v>
      </c>
      <c r="U170" s="4"/>
      <c r="V170" s="4"/>
      <c r="W170" s="4"/>
      <c r="X170" s="4" t="s">
        <v>959</v>
      </c>
      <c r="Y170" s="4" t="s">
        <v>437</v>
      </c>
      <c r="Z170" s="4"/>
      <c r="AA170" s="4"/>
      <c r="AB170" s="4" t="s">
        <v>220</v>
      </c>
      <c r="AC170" s="4" t="s">
        <v>960</v>
      </c>
      <c r="AD170" s="4"/>
      <c r="AE170" s="4"/>
      <c r="AF170" s="4"/>
      <c r="AG170" s="4"/>
    </row>
    <row r="171">
      <c r="A171" s="5" t="s">
        <v>961</v>
      </c>
      <c r="B171" s="5" t="s">
        <v>962</v>
      </c>
      <c r="C171" s="5" t="s">
        <v>38</v>
      </c>
      <c r="D171" s="5" t="s">
        <v>39</v>
      </c>
      <c r="E171" s="4" t="s">
        <v>963</v>
      </c>
      <c r="F171" s="4"/>
      <c r="G171" s="5"/>
      <c r="H171" s="5" t="s">
        <v>297</v>
      </c>
      <c r="I171" s="5" t="s">
        <v>964</v>
      </c>
      <c r="J171" s="5"/>
      <c r="K171" s="5"/>
      <c r="L171" s="4"/>
      <c r="M171" s="5" t="s">
        <v>263</v>
      </c>
      <c r="N171" s="5" t="s">
        <v>965</v>
      </c>
      <c r="O171" s="5" t="s">
        <v>966</v>
      </c>
      <c r="P171" s="5"/>
      <c r="Q171" s="5"/>
      <c r="R171" s="5"/>
      <c r="S171" s="4"/>
      <c r="T171" s="4" t="s">
        <v>435</v>
      </c>
      <c r="U171" s="4"/>
      <c r="V171" s="4"/>
      <c r="W171" s="4"/>
      <c r="X171" s="4" t="s">
        <v>967</v>
      </c>
      <c r="Y171" s="4" t="s">
        <v>437</v>
      </c>
      <c r="Z171" s="4"/>
      <c r="AA171" s="4"/>
      <c r="AB171" s="4" t="s">
        <v>220</v>
      </c>
      <c r="AC171" s="4" t="s">
        <v>968</v>
      </c>
      <c r="AD171" s="4"/>
      <c r="AE171" s="4"/>
      <c r="AF171" s="4"/>
      <c r="AG171" s="4"/>
    </row>
    <row r="172">
      <c r="A172" s="5" t="s">
        <v>716</v>
      </c>
      <c r="B172" s="5" t="s">
        <v>969</v>
      </c>
      <c r="C172" s="5" t="s">
        <v>38</v>
      </c>
      <c r="D172" s="5" t="s">
        <v>73</v>
      </c>
      <c r="E172" s="4" t="s">
        <v>970</v>
      </c>
      <c r="F172" s="4"/>
      <c r="G172" s="5" t="s">
        <v>713</v>
      </c>
      <c r="H172" s="4" t="s">
        <v>233</v>
      </c>
      <c r="I172" s="5" t="s">
        <v>971</v>
      </c>
      <c r="J172" s="4"/>
      <c r="K172" s="4"/>
      <c r="L172" s="4"/>
      <c r="M172" s="5" t="s">
        <v>560</v>
      </c>
      <c r="N172" s="5" t="s">
        <v>972</v>
      </c>
      <c r="O172" s="5" t="s">
        <v>973</v>
      </c>
      <c r="P172" s="4"/>
      <c r="Q172" s="4"/>
      <c r="R172" s="4"/>
      <c r="S172" s="4"/>
      <c r="T172" s="4" t="s">
        <v>435</v>
      </c>
      <c r="U172" s="4"/>
      <c r="V172" s="4"/>
      <c r="W172" s="4"/>
      <c r="X172" s="4" t="s">
        <v>601</v>
      </c>
      <c r="Y172" s="4" t="s">
        <v>437</v>
      </c>
      <c r="Z172" s="4"/>
      <c r="AA172" s="4"/>
      <c r="AB172" s="4" t="s">
        <v>220</v>
      </c>
      <c r="AC172" s="4" t="s">
        <v>974</v>
      </c>
      <c r="AD172" s="4"/>
      <c r="AE172" s="4"/>
      <c r="AF172" s="4"/>
      <c r="AG172" s="4"/>
    </row>
    <row r="173">
      <c r="A173" s="5" t="s">
        <v>975</v>
      </c>
      <c r="B173" s="5" t="s">
        <v>976</v>
      </c>
      <c r="C173" s="5" t="s">
        <v>34</v>
      </c>
      <c r="D173" s="5" t="s">
        <v>257</v>
      </c>
      <c r="E173" s="4" t="s">
        <v>977</v>
      </c>
      <c r="F173" s="4"/>
      <c r="G173" s="5" t="s">
        <v>978</v>
      </c>
      <c r="H173" s="5"/>
      <c r="I173" s="5" t="s">
        <v>979</v>
      </c>
      <c r="J173" s="4"/>
      <c r="K173" s="4"/>
      <c r="L173" s="4"/>
      <c r="M173" s="5" t="s">
        <v>263</v>
      </c>
      <c r="N173" s="5" t="s">
        <v>980</v>
      </c>
      <c r="O173" s="5" t="s">
        <v>981</v>
      </c>
      <c r="P173" s="4" t="s">
        <v>982</v>
      </c>
      <c r="Q173" s="4"/>
      <c r="R173" s="4"/>
      <c r="S173" s="4"/>
      <c r="T173" s="4"/>
      <c r="U173" s="4"/>
      <c r="V173" s="4"/>
      <c r="W173" s="4"/>
      <c r="X173" s="4" t="s">
        <v>656</v>
      </c>
      <c r="Y173" s="4" t="s">
        <v>471</v>
      </c>
      <c r="Z173" s="4"/>
      <c r="AA173" s="4"/>
      <c r="AB173" s="5" t="s">
        <v>220</v>
      </c>
      <c r="AC173" s="5" t="s">
        <v>983</v>
      </c>
      <c r="AD173" s="4"/>
      <c r="AE173" s="4"/>
      <c r="AF173" s="4"/>
      <c r="AG173" s="4"/>
    </row>
    <row r="174">
      <c r="A174" s="5" t="s">
        <v>984</v>
      </c>
      <c r="B174" s="5" t="s">
        <v>985</v>
      </c>
      <c r="C174" s="5" t="s">
        <v>34</v>
      </c>
      <c r="D174" s="5" t="s">
        <v>257</v>
      </c>
      <c r="E174" s="4" t="s">
        <v>986</v>
      </c>
      <c r="F174" s="4"/>
      <c r="G174" s="5" t="s">
        <v>987</v>
      </c>
      <c r="H174" s="5"/>
      <c r="I174" s="5" t="s">
        <v>988</v>
      </c>
      <c r="J174" s="4"/>
      <c r="K174" s="4"/>
      <c r="L174" s="4"/>
      <c r="M174" s="5" t="s">
        <v>263</v>
      </c>
      <c r="N174" s="5" t="s">
        <v>989</v>
      </c>
      <c r="O174" s="5" t="s">
        <v>981</v>
      </c>
      <c r="P174" s="4" t="s">
        <v>990</v>
      </c>
      <c r="Q174" s="4"/>
      <c r="R174" s="4"/>
      <c r="S174" s="4"/>
      <c r="T174" s="4"/>
      <c r="U174" s="4"/>
      <c r="V174" s="4"/>
      <c r="W174" s="4"/>
      <c r="X174" s="4" t="s">
        <v>662</v>
      </c>
      <c r="Y174" s="4" t="s">
        <v>471</v>
      </c>
      <c r="Z174" s="4"/>
      <c r="AA174" s="4"/>
      <c r="AB174" s="4" t="s">
        <v>220</v>
      </c>
      <c r="AC174" s="4" t="s">
        <v>991</v>
      </c>
      <c r="AD174" s="4"/>
      <c r="AE174" s="4"/>
      <c r="AF174" s="4"/>
      <c r="AG174" s="4"/>
    </row>
    <row r="175">
      <c r="A175" s="5" t="s">
        <v>992</v>
      </c>
      <c r="B175" s="5" t="s">
        <v>993</v>
      </c>
      <c r="C175" s="5" t="s">
        <v>34</v>
      </c>
      <c r="D175" s="5" t="s">
        <v>257</v>
      </c>
      <c r="E175" s="4" t="s">
        <v>994</v>
      </c>
      <c r="F175" s="4"/>
      <c r="G175" s="5" t="s">
        <v>995</v>
      </c>
      <c r="H175" s="5"/>
      <c r="I175" s="5" t="s">
        <v>996</v>
      </c>
      <c r="J175" s="4"/>
      <c r="K175" s="4"/>
      <c r="L175" s="4"/>
      <c r="M175" s="5" t="s">
        <v>263</v>
      </c>
      <c r="N175" s="5" t="s">
        <v>997</v>
      </c>
      <c r="O175" s="5" t="s">
        <v>981</v>
      </c>
      <c r="P175" s="4"/>
      <c r="Q175" s="4"/>
      <c r="R175" s="4"/>
      <c r="S175" s="4"/>
      <c r="T175" s="4"/>
      <c r="U175" s="4"/>
      <c r="V175" s="4"/>
      <c r="W175" s="4"/>
      <c r="X175" s="4" t="s">
        <v>998</v>
      </c>
      <c r="Y175" s="4" t="s">
        <v>471</v>
      </c>
      <c r="Z175" s="4"/>
      <c r="AA175" s="4"/>
      <c r="AB175" s="4" t="s">
        <v>220</v>
      </c>
      <c r="AC175" s="4" t="s">
        <v>999</v>
      </c>
      <c r="AD175" s="4"/>
      <c r="AE175" s="4"/>
      <c r="AF175" s="4"/>
      <c r="AG175" s="4"/>
    </row>
    <row r="176">
      <c r="A176" s="5" t="s">
        <v>1000</v>
      </c>
      <c r="B176" s="5" t="s">
        <v>1001</v>
      </c>
      <c r="C176" s="5" t="s">
        <v>38</v>
      </c>
      <c r="D176" s="5" t="s">
        <v>534</v>
      </c>
      <c r="E176" s="4" t="s">
        <v>1002</v>
      </c>
      <c r="F176" s="4"/>
      <c r="G176" s="5" t="s">
        <v>1003</v>
      </c>
      <c r="H176" s="5" t="s">
        <v>500</v>
      </c>
      <c r="I176" s="5" t="s">
        <v>1004</v>
      </c>
      <c r="J176" s="5"/>
      <c r="K176" s="5"/>
      <c r="L176" s="4"/>
      <c r="M176" s="5" t="s">
        <v>299</v>
      </c>
      <c r="N176" s="5" t="s">
        <v>1005</v>
      </c>
      <c r="O176" s="5" t="s">
        <v>1006</v>
      </c>
      <c r="P176" s="5"/>
      <c r="Q176" s="5"/>
      <c r="R176" s="5"/>
      <c r="S176" s="4"/>
      <c r="T176" s="4" t="s">
        <v>435</v>
      </c>
      <c r="U176" s="4"/>
      <c r="V176" s="4"/>
      <c r="W176" s="4"/>
      <c r="X176" s="4" t="s">
        <v>1007</v>
      </c>
      <c r="Y176" s="4" t="s">
        <v>437</v>
      </c>
      <c r="Z176" s="4"/>
      <c r="AA176" s="4"/>
      <c r="AB176" s="4" t="s">
        <v>220</v>
      </c>
      <c r="AC176" s="4" t="s">
        <v>1008</v>
      </c>
      <c r="AD176" s="4"/>
      <c r="AE176" s="4"/>
      <c r="AF176" s="4"/>
      <c r="AG176" s="4"/>
    </row>
    <row r="177">
      <c r="A177" s="5" t="s">
        <v>1009</v>
      </c>
      <c r="B177" s="5" t="s">
        <v>1010</v>
      </c>
      <c r="C177" s="5" t="s">
        <v>38</v>
      </c>
      <c r="D177" s="5" t="s">
        <v>534</v>
      </c>
      <c r="E177" s="4" t="s">
        <v>1011</v>
      </c>
      <c r="F177" s="4"/>
      <c r="G177" s="5" t="s">
        <v>1012</v>
      </c>
      <c r="H177" s="4" t="s">
        <v>233</v>
      </c>
      <c r="I177" s="5" t="s">
        <v>1004</v>
      </c>
      <c r="J177" s="5"/>
      <c r="K177" s="5"/>
      <c r="L177" s="4"/>
      <c r="M177" s="5" t="s">
        <v>299</v>
      </c>
      <c r="N177" s="5" t="s">
        <v>1005</v>
      </c>
      <c r="O177" s="5" t="s">
        <v>1006</v>
      </c>
      <c r="P177" s="5"/>
      <c r="Q177" s="5"/>
      <c r="R177" s="5"/>
      <c r="S177" s="4"/>
      <c r="T177" s="4" t="s">
        <v>435</v>
      </c>
      <c r="U177" s="4"/>
      <c r="V177" s="4"/>
      <c r="W177" s="4"/>
      <c r="X177" s="4" t="s">
        <v>1007</v>
      </c>
      <c r="Y177" s="4" t="s">
        <v>437</v>
      </c>
      <c r="Z177" s="4"/>
      <c r="AA177" s="4"/>
      <c r="AB177" s="4" t="s">
        <v>220</v>
      </c>
      <c r="AC177" s="4" t="s">
        <v>1013</v>
      </c>
      <c r="AD177" s="4"/>
      <c r="AE177" s="4"/>
      <c r="AF177" s="4"/>
      <c r="AG177" s="4"/>
    </row>
    <row r="178">
      <c r="A178" s="5" t="s">
        <v>1014</v>
      </c>
      <c r="B178" s="5" t="s">
        <v>1015</v>
      </c>
      <c r="C178" s="5" t="s">
        <v>34</v>
      </c>
      <c r="D178" s="5" t="s">
        <v>534</v>
      </c>
      <c r="E178" s="4" t="s">
        <v>1016</v>
      </c>
      <c r="F178" s="4"/>
      <c r="G178" s="5" t="s">
        <v>1017</v>
      </c>
      <c r="H178" s="5" t="s">
        <v>233</v>
      </c>
      <c r="I178" s="5" t="s">
        <v>1018</v>
      </c>
      <c r="J178" s="5"/>
      <c r="K178" s="5"/>
      <c r="L178" s="4"/>
      <c r="M178" s="5" t="s">
        <v>299</v>
      </c>
      <c r="N178" s="5" t="s">
        <v>1019</v>
      </c>
      <c r="O178" s="5" t="s">
        <v>1020</v>
      </c>
      <c r="P178" s="5"/>
      <c r="Q178" s="5"/>
      <c r="R178" s="5"/>
      <c r="S178" s="4"/>
      <c r="T178" s="4" t="s">
        <v>459</v>
      </c>
      <c r="U178" s="4"/>
      <c r="V178" s="4"/>
      <c r="W178" s="4"/>
      <c r="X178" s="4" t="s">
        <v>1021</v>
      </c>
      <c r="Y178" s="4" t="s">
        <v>368</v>
      </c>
      <c r="Z178" s="4"/>
      <c r="AA178" s="4"/>
      <c r="AB178" s="4" t="s">
        <v>220</v>
      </c>
      <c r="AC178" s="4" t="s">
        <v>1022</v>
      </c>
      <c r="AD178" s="4"/>
      <c r="AE178" s="4"/>
      <c r="AF178" s="4"/>
      <c r="AG178" s="4"/>
    </row>
    <row r="179">
      <c r="A179" s="5" t="s">
        <v>1017</v>
      </c>
      <c r="B179" s="5" t="s">
        <v>1023</v>
      </c>
      <c r="C179" s="5" t="s">
        <v>34</v>
      </c>
      <c r="D179" s="5" t="s">
        <v>534</v>
      </c>
      <c r="E179" s="4" t="s">
        <v>1024</v>
      </c>
      <c r="F179" s="4"/>
      <c r="G179" s="4" t="s">
        <v>1014</v>
      </c>
      <c r="H179" s="4" t="s">
        <v>1025</v>
      </c>
      <c r="I179" s="5" t="s">
        <v>1026</v>
      </c>
      <c r="J179" s="4"/>
      <c r="K179" s="4"/>
      <c r="L179" s="4"/>
      <c r="M179" s="5" t="s">
        <v>299</v>
      </c>
      <c r="N179" s="5" t="s">
        <v>1027</v>
      </c>
      <c r="O179" s="4" t="s">
        <v>1020</v>
      </c>
      <c r="P179" s="5"/>
      <c r="Q179" s="4"/>
      <c r="R179" s="4"/>
      <c r="S179" s="4"/>
      <c r="T179" s="4" t="s">
        <v>459</v>
      </c>
      <c r="U179" s="4"/>
      <c r="V179" s="4"/>
      <c r="W179" s="4"/>
      <c r="X179" s="4" t="s">
        <v>1021</v>
      </c>
      <c r="Y179" s="4" t="s">
        <v>368</v>
      </c>
      <c r="Z179" s="4"/>
      <c r="AA179" s="4"/>
      <c r="AB179" s="4" t="s">
        <v>220</v>
      </c>
      <c r="AC179" s="4" t="s">
        <v>1028</v>
      </c>
      <c r="AD179" s="4"/>
      <c r="AE179" s="4"/>
      <c r="AF179" s="4"/>
      <c r="AG179" s="4"/>
    </row>
    <row r="180">
      <c r="A180" s="5" t="s">
        <v>1029</v>
      </c>
      <c r="B180" s="5" t="s">
        <v>1030</v>
      </c>
      <c r="C180" s="5" t="s">
        <v>34</v>
      </c>
      <c r="D180" s="5" t="s">
        <v>35</v>
      </c>
      <c r="E180" s="4" t="s">
        <v>1031</v>
      </c>
      <c r="F180" s="4"/>
      <c r="G180" s="5" t="s">
        <v>1032</v>
      </c>
      <c r="H180" s="5" t="s">
        <v>558</v>
      </c>
      <c r="I180" s="5" t="s">
        <v>1033</v>
      </c>
      <c r="J180" s="4"/>
      <c r="K180" s="4"/>
      <c r="L180" s="4"/>
      <c r="M180" s="5" t="s">
        <v>299</v>
      </c>
      <c r="N180" s="5" t="s">
        <v>1034</v>
      </c>
      <c r="O180" s="5" t="s">
        <v>1035</v>
      </c>
      <c r="P180" s="4"/>
      <c r="Q180" s="4"/>
      <c r="R180" s="4"/>
      <c r="S180" s="4"/>
      <c r="T180" s="4" t="s">
        <v>468</v>
      </c>
      <c r="U180" s="4"/>
      <c r="V180" s="4"/>
      <c r="W180" s="4"/>
      <c r="X180" s="4" t="s">
        <v>1036</v>
      </c>
      <c r="Y180" s="4" t="s">
        <v>368</v>
      </c>
      <c r="Z180" s="4"/>
      <c r="AA180" s="4"/>
      <c r="AB180" s="4" t="s">
        <v>220</v>
      </c>
      <c r="AC180" s="4" t="s">
        <v>1037</v>
      </c>
      <c r="AD180" s="4"/>
      <c r="AE180" s="4"/>
      <c r="AF180" s="4"/>
      <c r="AG180" s="4"/>
    </row>
    <row r="181">
      <c r="A181" s="5" t="s">
        <v>1038</v>
      </c>
      <c r="B181" s="5" t="s">
        <v>1039</v>
      </c>
      <c r="C181" s="5" t="s">
        <v>34</v>
      </c>
      <c r="D181" s="5" t="s">
        <v>35</v>
      </c>
      <c r="E181" s="4" t="s">
        <v>1040</v>
      </c>
      <c r="F181" s="4"/>
      <c r="G181" s="5" t="s">
        <v>1041</v>
      </c>
      <c r="H181" s="5" t="s">
        <v>1025</v>
      </c>
      <c r="I181" s="5" t="s">
        <v>1042</v>
      </c>
      <c r="J181" s="4"/>
      <c r="K181" s="4"/>
      <c r="L181" s="4"/>
      <c r="M181" s="5" t="s">
        <v>299</v>
      </c>
      <c r="N181" s="5" t="s">
        <v>1043</v>
      </c>
      <c r="O181" s="5" t="s">
        <v>1035</v>
      </c>
      <c r="P181" s="4"/>
      <c r="Q181" s="4"/>
      <c r="R181" s="4"/>
      <c r="S181" s="4"/>
      <c r="T181" s="4" t="s">
        <v>468</v>
      </c>
      <c r="U181" s="4"/>
      <c r="V181" s="4"/>
      <c r="W181" s="4"/>
      <c r="X181" s="4" t="s">
        <v>1036</v>
      </c>
      <c r="Y181" s="4" t="s">
        <v>368</v>
      </c>
      <c r="Z181" s="4"/>
      <c r="AA181" s="4"/>
      <c r="AB181" s="4" t="s">
        <v>220</v>
      </c>
      <c r="AC181" s="4" t="s">
        <v>1044</v>
      </c>
      <c r="AD181" s="4"/>
      <c r="AE181" s="4"/>
      <c r="AF181" s="4"/>
      <c r="AG181" s="4"/>
    </row>
    <row r="182">
      <c r="A182" s="5" t="s">
        <v>1045</v>
      </c>
      <c r="B182" s="5" t="s">
        <v>1046</v>
      </c>
      <c r="C182" s="5" t="s">
        <v>34</v>
      </c>
      <c r="D182" s="5" t="s">
        <v>35</v>
      </c>
      <c r="E182" s="4" t="s">
        <v>1047</v>
      </c>
      <c r="F182" s="4"/>
      <c r="G182" s="5" t="s">
        <v>1048</v>
      </c>
      <c r="H182" s="4"/>
      <c r="I182" s="5" t="s">
        <v>1033</v>
      </c>
      <c r="J182" s="5"/>
      <c r="K182" s="5"/>
      <c r="L182" s="4"/>
      <c r="M182" s="5" t="s">
        <v>299</v>
      </c>
      <c r="N182" s="5" t="s">
        <v>1034</v>
      </c>
      <c r="O182" s="5" t="s">
        <v>1035</v>
      </c>
      <c r="P182" s="5"/>
      <c r="Q182" s="5"/>
      <c r="R182" s="5"/>
      <c r="S182" s="4"/>
      <c r="T182" s="4" t="s">
        <v>468</v>
      </c>
      <c r="U182" s="4"/>
      <c r="V182" s="4"/>
      <c r="W182" s="4"/>
      <c r="X182" s="4" t="s">
        <v>1036</v>
      </c>
      <c r="Y182" s="4" t="s">
        <v>368</v>
      </c>
      <c r="Z182" s="4"/>
      <c r="AA182" s="4"/>
      <c r="AB182" s="5" t="s">
        <v>220</v>
      </c>
      <c r="AC182" s="5" t="s">
        <v>1049</v>
      </c>
      <c r="AD182" s="4"/>
      <c r="AE182" s="4"/>
      <c r="AF182" s="4"/>
      <c r="AG182" s="4"/>
    </row>
    <row r="183">
      <c r="A183" s="5" t="s">
        <v>1050</v>
      </c>
      <c r="B183" s="5" t="s">
        <v>1051</v>
      </c>
      <c r="C183" s="5" t="s">
        <v>34</v>
      </c>
      <c r="D183" s="5" t="s">
        <v>35</v>
      </c>
      <c r="E183" s="4" t="s">
        <v>1052</v>
      </c>
      <c r="F183" s="4"/>
      <c r="G183" s="4" t="s">
        <v>1053</v>
      </c>
      <c r="H183" s="5" t="s">
        <v>1054</v>
      </c>
      <c r="I183" s="5" t="s">
        <v>1033</v>
      </c>
      <c r="J183" s="4"/>
      <c r="K183" s="4"/>
      <c r="L183" s="4"/>
      <c r="M183" s="5" t="s">
        <v>299</v>
      </c>
      <c r="N183" s="5" t="s">
        <v>1034</v>
      </c>
      <c r="O183" s="5" t="s">
        <v>1035</v>
      </c>
      <c r="P183" s="4"/>
      <c r="Q183" s="4"/>
      <c r="R183" s="4"/>
      <c r="S183" s="4"/>
      <c r="T183" s="4" t="s">
        <v>468</v>
      </c>
      <c r="U183" s="4"/>
      <c r="V183" s="4"/>
      <c r="W183" s="4"/>
      <c r="X183" s="4" t="s">
        <v>1036</v>
      </c>
      <c r="Y183" s="4" t="s">
        <v>471</v>
      </c>
      <c r="Z183" s="4"/>
      <c r="AA183" s="4"/>
      <c r="AB183" s="4" t="s">
        <v>220</v>
      </c>
      <c r="AC183" s="4" t="s">
        <v>1055</v>
      </c>
      <c r="AD183" s="4"/>
      <c r="AE183" s="4"/>
      <c r="AF183" s="4"/>
      <c r="AG183" s="4"/>
    </row>
    <row r="184">
      <c r="A184" s="5" t="s">
        <v>526</v>
      </c>
      <c r="B184" s="5" t="s">
        <v>1056</v>
      </c>
      <c r="C184" s="5" t="s">
        <v>38</v>
      </c>
      <c r="D184" s="5" t="s">
        <v>39</v>
      </c>
      <c r="E184" s="5" t="s">
        <v>1057</v>
      </c>
      <c r="F184" s="4"/>
      <c r="G184" s="5" t="s">
        <v>523</v>
      </c>
      <c r="H184" s="5" t="s">
        <v>523</v>
      </c>
      <c r="I184" s="5" t="s">
        <v>1058</v>
      </c>
      <c r="J184" s="4"/>
      <c r="K184" s="4"/>
      <c r="L184" s="4"/>
      <c r="M184" s="5"/>
      <c r="N184" s="5" t="s">
        <v>1059</v>
      </c>
      <c r="O184" s="5" t="s">
        <v>1060</v>
      </c>
      <c r="P184" s="5"/>
      <c r="Q184" s="4"/>
      <c r="R184" s="4"/>
      <c r="S184" s="4"/>
      <c r="T184" s="5" t="s">
        <v>435</v>
      </c>
      <c r="U184" s="5"/>
      <c r="V184" s="4"/>
      <c r="W184" s="4"/>
      <c r="X184" s="4" t="s">
        <v>1061</v>
      </c>
      <c r="Y184" s="4" t="s">
        <v>437</v>
      </c>
      <c r="Z184" s="4"/>
      <c r="AA184" s="4"/>
      <c r="AB184" s="4" t="s">
        <v>220</v>
      </c>
      <c r="AC184" s="4" t="s">
        <v>1062</v>
      </c>
      <c r="AD184" s="4"/>
      <c r="AE184" s="4"/>
      <c r="AF184" s="4"/>
      <c r="AG184" s="4"/>
    </row>
    <row r="185">
      <c r="A185" s="5" t="s">
        <v>1063</v>
      </c>
      <c r="B185" s="5" t="s">
        <v>1064</v>
      </c>
      <c r="C185" s="5" t="s">
        <v>38</v>
      </c>
      <c r="D185" s="5" t="s">
        <v>257</v>
      </c>
      <c r="E185" s="4" t="s">
        <v>1065</v>
      </c>
      <c r="F185" s="4"/>
      <c r="G185" s="5" t="s">
        <v>1066</v>
      </c>
      <c r="H185" s="5" t="s">
        <v>325</v>
      </c>
      <c r="I185" s="5" t="s">
        <v>1067</v>
      </c>
      <c r="J185" s="4"/>
      <c r="K185" s="4"/>
      <c r="L185" s="4"/>
      <c r="M185" s="5" t="s">
        <v>263</v>
      </c>
      <c r="N185" s="5" t="s">
        <v>1068</v>
      </c>
      <c r="O185" s="5" t="s">
        <v>1069</v>
      </c>
      <c r="P185" s="5" t="s">
        <v>1070</v>
      </c>
      <c r="Q185" s="4"/>
      <c r="R185" s="4"/>
      <c r="S185" s="4"/>
      <c r="T185" s="5" t="s">
        <v>1071</v>
      </c>
      <c r="U185" s="5"/>
      <c r="V185" s="4"/>
      <c r="W185" s="4"/>
      <c r="X185" s="4" t="s">
        <v>1072</v>
      </c>
      <c r="Y185" s="4" t="s">
        <v>437</v>
      </c>
      <c r="Z185" s="4"/>
      <c r="AA185" s="4"/>
      <c r="AB185" s="4" t="s">
        <v>220</v>
      </c>
      <c r="AC185" s="4" t="s">
        <v>1073</v>
      </c>
      <c r="AD185" s="4"/>
      <c r="AE185" s="4"/>
      <c r="AF185" s="4"/>
      <c r="AG185" s="4"/>
    </row>
    <row r="186">
      <c r="A186" s="5" t="s">
        <v>1066</v>
      </c>
      <c r="B186" s="5" t="s">
        <v>1074</v>
      </c>
      <c r="C186" s="5" t="s">
        <v>38</v>
      </c>
      <c r="D186" s="5" t="s">
        <v>257</v>
      </c>
      <c r="E186" s="4" t="s">
        <v>1075</v>
      </c>
      <c r="F186" s="4"/>
      <c r="G186" s="4" t="s">
        <v>1063</v>
      </c>
      <c r="H186" s="5" t="s">
        <v>294</v>
      </c>
      <c r="I186" s="5" t="s">
        <v>1076</v>
      </c>
      <c r="J186" s="4"/>
      <c r="K186" s="5"/>
      <c r="L186" s="4"/>
      <c r="M186" s="5" t="s">
        <v>263</v>
      </c>
      <c r="N186" s="5" t="s">
        <v>1077</v>
      </c>
      <c r="O186" s="4" t="s">
        <v>1069</v>
      </c>
      <c r="P186" s="4" t="s">
        <v>1078</v>
      </c>
      <c r="Q186" s="4"/>
      <c r="R186" s="4"/>
      <c r="S186" s="4"/>
      <c r="T186" s="4" t="s">
        <v>1071</v>
      </c>
      <c r="U186" s="4"/>
      <c r="V186" s="4"/>
      <c r="W186" s="4"/>
      <c r="X186" s="4" t="s">
        <v>1079</v>
      </c>
      <c r="Y186" s="4" t="s">
        <v>437</v>
      </c>
      <c r="Z186" s="4"/>
      <c r="AA186" s="4"/>
      <c r="AB186" s="5" t="s">
        <v>220</v>
      </c>
      <c r="AC186" s="5" t="s">
        <v>1080</v>
      </c>
      <c r="AD186" s="4"/>
      <c r="AE186" s="4"/>
      <c r="AF186" s="4"/>
      <c r="AG186" s="4"/>
    </row>
    <row r="187">
      <c r="A187" s="5" t="s">
        <v>1081</v>
      </c>
      <c r="B187" s="5" t="s">
        <v>1082</v>
      </c>
      <c r="C187" s="5" t="s">
        <v>78</v>
      </c>
      <c r="D187" s="5" t="s">
        <v>52</v>
      </c>
      <c r="E187" s="4" t="s">
        <v>1083</v>
      </c>
      <c r="F187" s="4"/>
      <c r="G187" s="5" t="s">
        <v>1084</v>
      </c>
      <c r="H187" s="4"/>
      <c r="I187" s="5" t="s">
        <v>1085</v>
      </c>
      <c r="J187" s="5" t="s">
        <v>1086</v>
      </c>
      <c r="K187" s="5" t="s">
        <v>1087</v>
      </c>
      <c r="L187" s="4"/>
      <c r="M187" s="5" t="s">
        <v>214</v>
      </c>
      <c r="N187" s="5" t="s">
        <v>1088</v>
      </c>
      <c r="O187" s="4" t="s">
        <v>1089</v>
      </c>
      <c r="P187" s="5" t="s">
        <v>1090</v>
      </c>
      <c r="Q187" s="4" t="s">
        <v>255</v>
      </c>
      <c r="R187" s="4" t="s">
        <v>233</v>
      </c>
      <c r="S187" s="4"/>
      <c r="T187" s="4" t="s">
        <v>1091</v>
      </c>
      <c r="U187" s="4"/>
      <c r="V187" s="4"/>
      <c r="W187" s="4"/>
      <c r="X187" s="4" t="s">
        <v>1092</v>
      </c>
      <c r="Y187" s="4" t="s">
        <v>272</v>
      </c>
      <c r="Z187" s="4"/>
      <c r="AA187" s="4"/>
      <c r="AB187" s="4" t="s">
        <v>220</v>
      </c>
      <c r="AC187" s="4" t="s">
        <v>1093</v>
      </c>
      <c r="AD187" s="4"/>
      <c r="AE187" s="4"/>
      <c r="AF187" s="4"/>
      <c r="AG187" s="4"/>
    </row>
    <row r="188">
      <c r="A188" s="5" t="s">
        <v>1084</v>
      </c>
      <c r="B188" s="5" t="s">
        <v>1094</v>
      </c>
      <c r="C188" s="5" t="s">
        <v>78</v>
      </c>
      <c r="D188" s="5" t="s">
        <v>52</v>
      </c>
      <c r="E188" s="4" t="s">
        <v>1095</v>
      </c>
      <c r="F188" s="4"/>
      <c r="G188" s="5" t="s">
        <v>1081</v>
      </c>
      <c r="H188" s="4"/>
      <c r="I188" s="5" t="s">
        <v>1085</v>
      </c>
      <c r="J188" s="5" t="s">
        <v>1096</v>
      </c>
      <c r="K188" s="5" t="s">
        <v>1097</v>
      </c>
      <c r="L188" s="4"/>
      <c r="M188" s="5" t="s">
        <v>214</v>
      </c>
      <c r="N188" s="5" t="s">
        <v>1088</v>
      </c>
      <c r="O188" s="4" t="s">
        <v>1089</v>
      </c>
      <c r="P188" s="5"/>
      <c r="Q188" s="4" t="s">
        <v>233</v>
      </c>
      <c r="R188" s="4" t="s">
        <v>1098</v>
      </c>
      <c r="S188" s="4"/>
      <c r="T188" s="4" t="s">
        <v>1091</v>
      </c>
      <c r="U188" s="4"/>
      <c r="V188" s="4" t="s">
        <v>287</v>
      </c>
      <c r="W188" s="6">
        <v>1.0</v>
      </c>
      <c r="X188" s="4" t="s">
        <v>1092</v>
      </c>
      <c r="Y188" s="4" t="s">
        <v>272</v>
      </c>
      <c r="Z188" s="4"/>
      <c r="AA188" s="4"/>
      <c r="AB188" s="4" t="s">
        <v>288</v>
      </c>
      <c r="AC188" s="4" t="s">
        <v>1099</v>
      </c>
      <c r="AD188" s="4"/>
      <c r="AE188" s="4"/>
      <c r="AF188" s="4"/>
      <c r="AG188" s="4"/>
    </row>
    <row r="189">
      <c r="A189" s="5" t="s">
        <v>1100</v>
      </c>
      <c r="B189" s="5" t="s">
        <v>1101</v>
      </c>
      <c r="C189" s="5" t="s">
        <v>34</v>
      </c>
      <c r="D189" s="5" t="s">
        <v>73</v>
      </c>
      <c r="E189" s="4" t="s">
        <v>1102</v>
      </c>
      <c r="F189" s="4"/>
      <c r="G189" s="5"/>
      <c r="H189" s="4" t="s">
        <v>233</v>
      </c>
      <c r="I189" s="5" t="s">
        <v>1103</v>
      </c>
      <c r="J189" s="5"/>
      <c r="K189" s="5"/>
      <c r="L189" s="4"/>
      <c r="M189" s="5" t="s">
        <v>560</v>
      </c>
      <c r="N189" s="5" t="s">
        <v>1104</v>
      </c>
      <c r="O189" s="4" t="s">
        <v>1105</v>
      </c>
      <c r="P189" s="5"/>
      <c r="Q189" s="5"/>
      <c r="R189" s="5"/>
      <c r="S189" s="4"/>
      <c r="T189" s="4" t="s">
        <v>859</v>
      </c>
      <c r="U189" s="4"/>
      <c r="V189" s="4"/>
      <c r="W189" s="4"/>
      <c r="X189" s="4" t="s">
        <v>1106</v>
      </c>
      <c r="Y189" s="4" t="s">
        <v>368</v>
      </c>
      <c r="Z189" s="4"/>
      <c r="AA189" s="4"/>
      <c r="AB189" s="4" t="s">
        <v>220</v>
      </c>
      <c r="AC189" s="4" t="s">
        <v>1107</v>
      </c>
      <c r="AD189" s="4"/>
      <c r="AE189" s="4"/>
      <c r="AF189" s="4"/>
      <c r="AG189" s="4"/>
    </row>
    <row r="190">
      <c r="A190" s="5" t="s">
        <v>631</v>
      </c>
      <c r="B190" s="5" t="s">
        <v>1108</v>
      </c>
      <c r="C190" s="5" t="s">
        <v>34</v>
      </c>
      <c r="D190" s="5" t="s">
        <v>35</v>
      </c>
      <c r="E190" s="4" t="s">
        <v>1109</v>
      </c>
      <c r="F190" s="4"/>
      <c r="G190" s="4" t="s">
        <v>1110</v>
      </c>
      <c r="H190" s="5" t="s">
        <v>725</v>
      </c>
      <c r="I190" s="5" t="s">
        <v>1111</v>
      </c>
      <c r="J190" s="4"/>
      <c r="K190" s="4"/>
      <c r="L190" s="4"/>
      <c r="M190" s="5" t="s">
        <v>299</v>
      </c>
      <c r="N190" s="5" t="s">
        <v>1112</v>
      </c>
      <c r="O190" s="5" t="s">
        <v>1113</v>
      </c>
      <c r="P190" s="4"/>
      <c r="Q190" s="4"/>
      <c r="R190" s="4"/>
      <c r="S190" s="4"/>
      <c r="T190" s="4" t="s">
        <v>468</v>
      </c>
      <c r="U190" s="4"/>
      <c r="V190" s="4"/>
      <c r="W190" s="4"/>
      <c r="X190" s="4" t="s">
        <v>1114</v>
      </c>
      <c r="Y190" s="4" t="s">
        <v>471</v>
      </c>
      <c r="Z190" s="4"/>
      <c r="AA190" s="4"/>
      <c r="AB190" s="5" t="s">
        <v>220</v>
      </c>
      <c r="AC190" s="5" t="s">
        <v>1115</v>
      </c>
      <c r="AD190" s="4"/>
      <c r="AE190" s="4"/>
      <c r="AF190" s="4"/>
      <c r="AG190" s="4"/>
    </row>
    <row r="191">
      <c r="A191" s="5" t="s">
        <v>1116</v>
      </c>
      <c r="B191" s="5" t="s">
        <v>1117</v>
      </c>
      <c r="C191" s="5" t="s">
        <v>34</v>
      </c>
      <c r="D191" s="5" t="s">
        <v>534</v>
      </c>
      <c r="E191" s="4" t="s">
        <v>1118</v>
      </c>
      <c r="F191" s="4"/>
      <c r="G191" s="5"/>
      <c r="H191" s="5" t="s">
        <v>725</v>
      </c>
      <c r="I191" s="5" t="s">
        <v>1119</v>
      </c>
      <c r="J191" s="4"/>
      <c r="K191" s="4"/>
      <c r="L191" s="4"/>
      <c r="M191" s="5" t="s">
        <v>299</v>
      </c>
      <c r="N191" s="5" t="s">
        <v>1120</v>
      </c>
      <c r="O191" s="5" t="s">
        <v>1121</v>
      </c>
      <c r="P191" s="4"/>
      <c r="Q191" s="4"/>
      <c r="R191" s="4"/>
      <c r="S191" s="4"/>
      <c r="T191" s="4" t="s">
        <v>468</v>
      </c>
      <c r="U191" s="4"/>
      <c r="V191" s="4"/>
      <c r="W191" s="4"/>
      <c r="X191" s="4" t="s">
        <v>1122</v>
      </c>
      <c r="Y191" s="4" t="s">
        <v>471</v>
      </c>
      <c r="Z191" s="4"/>
      <c r="AA191" s="4"/>
      <c r="AB191" s="5" t="s">
        <v>220</v>
      </c>
      <c r="AC191" s="5" t="s">
        <v>1123</v>
      </c>
      <c r="AD191" s="4"/>
      <c r="AE191" s="4"/>
      <c r="AF191" s="4"/>
      <c r="AG191" s="4"/>
    </row>
    <row r="192">
      <c r="A192" s="5" t="s">
        <v>1124</v>
      </c>
      <c r="B192" s="5" t="s">
        <v>1125</v>
      </c>
      <c r="C192" s="5" t="s">
        <v>38</v>
      </c>
      <c r="D192" s="5" t="s">
        <v>257</v>
      </c>
      <c r="E192" s="4" t="s">
        <v>1126</v>
      </c>
      <c r="F192" s="4"/>
      <c r="G192" s="5" t="s">
        <v>1127</v>
      </c>
      <c r="H192" s="4" t="s">
        <v>1128</v>
      </c>
      <c r="I192" s="5" t="s">
        <v>1129</v>
      </c>
      <c r="J192" s="4"/>
      <c r="K192" s="5"/>
      <c r="L192" s="4"/>
      <c r="M192" s="5" t="s">
        <v>263</v>
      </c>
      <c r="N192" s="5" t="s">
        <v>1130</v>
      </c>
      <c r="O192" s="5" t="s">
        <v>1131</v>
      </c>
      <c r="P192" s="4" t="s">
        <v>1132</v>
      </c>
      <c r="Q192" s="4"/>
      <c r="R192" s="4"/>
      <c r="S192" s="4"/>
      <c r="T192" s="4" t="s">
        <v>1133</v>
      </c>
      <c r="U192" s="4"/>
      <c r="V192" s="4"/>
      <c r="W192" s="4"/>
      <c r="X192" s="4" t="s">
        <v>1134</v>
      </c>
      <c r="Y192" s="4" t="s">
        <v>437</v>
      </c>
      <c r="Z192" s="4"/>
      <c r="AA192" s="4"/>
      <c r="AB192" s="4" t="s">
        <v>220</v>
      </c>
      <c r="AC192" s="4" t="s">
        <v>1135</v>
      </c>
      <c r="AD192" s="4"/>
      <c r="AE192" s="4"/>
      <c r="AF192" s="4"/>
      <c r="AG192" s="4"/>
    </row>
    <row r="193">
      <c r="A193" s="5" t="s">
        <v>1127</v>
      </c>
      <c r="B193" s="5" t="s">
        <v>1136</v>
      </c>
      <c r="C193" s="5" t="s">
        <v>38</v>
      </c>
      <c r="D193" s="5" t="s">
        <v>257</v>
      </c>
      <c r="E193" s="4" t="s">
        <v>1137</v>
      </c>
      <c r="F193" s="4"/>
      <c r="G193" s="4" t="s">
        <v>1124</v>
      </c>
      <c r="H193" s="5" t="s">
        <v>325</v>
      </c>
      <c r="I193" s="5" t="s">
        <v>1138</v>
      </c>
      <c r="J193" s="4"/>
      <c r="K193" s="4"/>
      <c r="L193" s="4"/>
      <c r="M193" s="5" t="s">
        <v>263</v>
      </c>
      <c r="N193" s="5" t="s">
        <v>1139</v>
      </c>
      <c r="O193" s="4" t="s">
        <v>1131</v>
      </c>
      <c r="P193" s="4" t="s">
        <v>1140</v>
      </c>
      <c r="Q193" s="4"/>
      <c r="R193" s="4"/>
      <c r="S193" s="4"/>
      <c r="T193" s="4" t="s">
        <v>1133</v>
      </c>
      <c r="U193" s="4"/>
      <c r="V193" s="4"/>
      <c r="W193" s="4"/>
      <c r="X193" s="4" t="s">
        <v>1141</v>
      </c>
      <c r="Y193" s="4" t="s">
        <v>437</v>
      </c>
      <c r="Z193" s="4"/>
      <c r="AA193" s="4"/>
      <c r="AB193" s="4" t="s">
        <v>220</v>
      </c>
      <c r="AC193" s="4" t="s">
        <v>1142</v>
      </c>
      <c r="AD193" s="4"/>
      <c r="AE193" s="4"/>
      <c r="AF193" s="4"/>
      <c r="AG193" s="4"/>
    </row>
    <row r="194">
      <c r="A194" s="5" t="s">
        <v>1143</v>
      </c>
      <c r="B194" s="5" t="s">
        <v>1144</v>
      </c>
      <c r="C194" s="5" t="s">
        <v>34</v>
      </c>
      <c r="D194" s="5" t="s">
        <v>73</v>
      </c>
      <c r="E194" s="4" t="s">
        <v>1145</v>
      </c>
      <c r="F194" s="4"/>
      <c r="G194" s="5" t="s">
        <v>1146</v>
      </c>
      <c r="H194" s="4" t="s">
        <v>255</v>
      </c>
      <c r="I194" s="5" t="s">
        <v>1147</v>
      </c>
      <c r="J194" s="5"/>
      <c r="K194" s="5"/>
      <c r="L194" s="4"/>
      <c r="M194" s="5" t="s">
        <v>560</v>
      </c>
      <c r="N194" s="5" t="s">
        <v>1148</v>
      </c>
      <c r="O194" s="5" t="s">
        <v>228</v>
      </c>
      <c r="P194" s="5"/>
      <c r="Q194" s="4"/>
      <c r="R194" s="4"/>
      <c r="S194" s="4"/>
      <c r="T194" s="4" t="s">
        <v>859</v>
      </c>
      <c r="U194" s="4"/>
      <c r="V194" s="4"/>
      <c r="W194" s="4"/>
      <c r="X194" s="4" t="s">
        <v>1149</v>
      </c>
      <c r="Y194" s="4" t="s">
        <v>368</v>
      </c>
      <c r="Z194" s="4"/>
      <c r="AA194" s="4"/>
      <c r="AB194" s="4" t="s">
        <v>220</v>
      </c>
      <c r="AC194" s="4" t="s">
        <v>1150</v>
      </c>
      <c r="AD194" s="4"/>
      <c r="AE194" s="4"/>
      <c r="AF194" s="4"/>
      <c r="AG194" s="4"/>
    </row>
    <row r="195">
      <c r="A195" s="5" t="s">
        <v>1146</v>
      </c>
      <c r="B195" s="5" t="s">
        <v>1151</v>
      </c>
      <c r="C195" s="5" t="s">
        <v>34</v>
      </c>
      <c r="D195" s="5" t="s">
        <v>73</v>
      </c>
      <c r="E195" s="4" t="s">
        <v>1152</v>
      </c>
      <c r="F195" s="4"/>
      <c r="G195" s="5" t="s">
        <v>1143</v>
      </c>
      <c r="H195" s="4" t="s">
        <v>233</v>
      </c>
      <c r="I195" s="5" t="s">
        <v>1147</v>
      </c>
      <c r="J195" s="5"/>
      <c r="K195" s="5"/>
      <c r="L195" s="4"/>
      <c r="M195" s="5" t="s">
        <v>560</v>
      </c>
      <c r="N195" s="5" t="s">
        <v>1148</v>
      </c>
      <c r="O195" s="5" t="s">
        <v>228</v>
      </c>
      <c r="P195" s="5"/>
      <c r="Q195" s="4"/>
      <c r="R195" s="4"/>
      <c r="S195" s="4"/>
      <c r="T195" s="4" t="s">
        <v>859</v>
      </c>
      <c r="U195" s="4"/>
      <c r="V195" s="4"/>
      <c r="W195" s="4"/>
      <c r="X195" s="4" t="s">
        <v>1149</v>
      </c>
      <c r="Y195" s="4" t="s">
        <v>368</v>
      </c>
      <c r="Z195" s="4"/>
      <c r="AA195" s="4"/>
      <c r="AB195" s="4" t="s">
        <v>220</v>
      </c>
      <c r="AC195" s="4" t="s">
        <v>1153</v>
      </c>
      <c r="AD195" s="4"/>
      <c r="AE195" s="4"/>
      <c r="AF195" s="4"/>
      <c r="AG195" s="4"/>
    </row>
    <row r="196">
      <c r="A196" s="5" t="s">
        <v>1154</v>
      </c>
      <c r="B196" s="5" t="s">
        <v>1155</v>
      </c>
      <c r="C196" s="5" t="s">
        <v>34</v>
      </c>
      <c r="D196" s="5" t="s">
        <v>73</v>
      </c>
      <c r="E196" s="4" t="s">
        <v>1156</v>
      </c>
      <c r="F196" s="4"/>
      <c r="G196" s="5" t="s">
        <v>1157</v>
      </c>
      <c r="H196" s="5" t="s">
        <v>725</v>
      </c>
      <c r="I196" s="5" t="s">
        <v>1158</v>
      </c>
      <c r="J196" s="4"/>
      <c r="K196" s="4"/>
      <c r="L196" s="4"/>
      <c r="M196" s="5" t="s">
        <v>560</v>
      </c>
      <c r="N196" s="5" t="s">
        <v>1159</v>
      </c>
      <c r="O196" s="5" t="s">
        <v>1160</v>
      </c>
      <c r="P196" s="5"/>
      <c r="Q196" s="4"/>
      <c r="R196" s="4"/>
      <c r="S196" s="4"/>
      <c r="T196" s="4" t="s">
        <v>468</v>
      </c>
      <c r="U196" s="4"/>
      <c r="V196" s="4"/>
      <c r="W196" s="4"/>
      <c r="X196" s="4" t="s">
        <v>601</v>
      </c>
      <c r="Y196" s="4" t="s">
        <v>368</v>
      </c>
      <c r="Z196" s="4"/>
      <c r="AA196" s="4"/>
      <c r="AB196" s="4" t="s">
        <v>220</v>
      </c>
      <c r="AC196" s="4" t="s">
        <v>1161</v>
      </c>
      <c r="AD196" s="4"/>
      <c r="AE196" s="4"/>
      <c r="AF196" s="4"/>
      <c r="AG196" s="4"/>
    </row>
    <row r="197">
      <c r="A197" s="5" t="s">
        <v>1162</v>
      </c>
      <c r="B197" s="5" t="s">
        <v>1163</v>
      </c>
      <c r="C197" s="5" t="s">
        <v>38</v>
      </c>
      <c r="D197" s="5" t="s">
        <v>257</v>
      </c>
      <c r="E197" s="4" t="s">
        <v>1164</v>
      </c>
      <c r="F197" s="4"/>
      <c r="G197" s="5" t="s">
        <v>1165</v>
      </c>
      <c r="H197" s="5" t="s">
        <v>268</v>
      </c>
      <c r="I197" s="5" t="s">
        <v>1166</v>
      </c>
      <c r="J197" s="4"/>
      <c r="K197" s="4"/>
      <c r="L197" s="4"/>
      <c r="M197" s="5" t="s">
        <v>263</v>
      </c>
      <c r="N197" s="5" t="s">
        <v>1167</v>
      </c>
      <c r="O197" s="5" t="s">
        <v>1168</v>
      </c>
      <c r="P197" s="5" t="s">
        <v>1169</v>
      </c>
      <c r="Q197" s="4"/>
      <c r="R197" s="4"/>
      <c r="S197" s="4"/>
      <c r="T197" s="4" t="s">
        <v>1133</v>
      </c>
      <c r="U197" s="4"/>
      <c r="V197" s="4"/>
      <c r="W197" s="4"/>
      <c r="X197" s="4" t="s">
        <v>1170</v>
      </c>
      <c r="Y197" s="4" t="s">
        <v>437</v>
      </c>
      <c r="Z197" s="4"/>
      <c r="AA197" s="4"/>
      <c r="AB197" s="4" t="s">
        <v>220</v>
      </c>
      <c r="AC197" s="4" t="s">
        <v>1171</v>
      </c>
      <c r="AD197" s="4"/>
      <c r="AE197" s="4"/>
      <c r="AF197" s="4"/>
      <c r="AG197" s="4"/>
    </row>
    <row r="198">
      <c r="A198" s="5" t="s">
        <v>1172</v>
      </c>
      <c r="B198" s="5" t="s">
        <v>1173</v>
      </c>
      <c r="C198" s="5" t="s">
        <v>38</v>
      </c>
      <c r="D198" s="5" t="s">
        <v>39</v>
      </c>
      <c r="E198" s="4" t="s">
        <v>1174</v>
      </c>
      <c r="F198" s="4"/>
      <c r="G198" s="5" t="s">
        <v>1175</v>
      </c>
      <c r="H198" s="5" t="s">
        <v>233</v>
      </c>
      <c r="I198" s="5" t="s">
        <v>1176</v>
      </c>
      <c r="J198" s="4"/>
      <c r="K198" s="4"/>
      <c r="L198" s="4"/>
      <c r="M198" s="5" t="s">
        <v>346</v>
      </c>
      <c r="N198" s="5" t="s">
        <v>1177</v>
      </c>
      <c r="O198" s="5" t="s">
        <v>348</v>
      </c>
      <c r="P198" s="5"/>
      <c r="Q198" s="4"/>
      <c r="R198" s="4"/>
      <c r="S198" s="4"/>
      <c r="T198" s="4" t="s">
        <v>435</v>
      </c>
      <c r="U198" s="4"/>
      <c r="V198" s="4"/>
      <c r="W198" s="4"/>
      <c r="X198" s="4" t="s">
        <v>1178</v>
      </c>
      <c r="Y198" s="4" t="s">
        <v>437</v>
      </c>
      <c r="Z198" s="4"/>
      <c r="AA198" s="4"/>
      <c r="AB198" s="4" t="s">
        <v>220</v>
      </c>
      <c r="AC198" s="4" t="s">
        <v>1179</v>
      </c>
      <c r="AD198" s="4"/>
      <c r="AE198" s="4"/>
      <c r="AF198" s="4"/>
      <c r="AG198" s="4"/>
    </row>
    <row r="199">
      <c r="A199" s="5" t="s">
        <v>1175</v>
      </c>
      <c r="B199" s="5" t="s">
        <v>1180</v>
      </c>
      <c r="C199" s="5" t="s">
        <v>38</v>
      </c>
      <c r="D199" s="5" t="s">
        <v>39</v>
      </c>
      <c r="E199" s="4" t="s">
        <v>1181</v>
      </c>
      <c r="F199" s="4"/>
      <c r="G199" s="4" t="s">
        <v>1172</v>
      </c>
      <c r="H199" s="4" t="s">
        <v>637</v>
      </c>
      <c r="I199" s="4" t="s">
        <v>1176</v>
      </c>
      <c r="J199" s="4"/>
      <c r="K199" s="4"/>
      <c r="L199" s="4"/>
      <c r="M199" s="5" t="s">
        <v>346</v>
      </c>
      <c r="N199" s="4" t="s">
        <v>1177</v>
      </c>
      <c r="O199" s="4" t="s">
        <v>348</v>
      </c>
      <c r="P199" s="4"/>
      <c r="Q199" s="4"/>
      <c r="R199" s="4"/>
      <c r="S199" s="4"/>
      <c r="T199" s="4" t="s">
        <v>435</v>
      </c>
      <c r="U199" s="4"/>
      <c r="V199" s="4"/>
      <c r="W199" s="4"/>
      <c r="X199" s="4" t="s">
        <v>1178</v>
      </c>
      <c r="Y199" s="4" t="s">
        <v>437</v>
      </c>
      <c r="Z199" s="4"/>
      <c r="AA199" s="4"/>
      <c r="AB199" s="4" t="s">
        <v>220</v>
      </c>
      <c r="AC199" s="4" t="s">
        <v>1182</v>
      </c>
      <c r="AD199" s="4"/>
      <c r="AE199" s="4"/>
      <c r="AF199" s="4"/>
      <c r="AG199" s="4"/>
    </row>
    <row r="200">
      <c r="A200" s="5" t="s">
        <v>1183</v>
      </c>
      <c r="B200" s="5" t="s">
        <v>1184</v>
      </c>
      <c r="C200" s="5" t="s">
        <v>78</v>
      </c>
      <c r="D200" s="5" t="s">
        <v>39</v>
      </c>
      <c r="E200" s="4" t="s">
        <v>1185</v>
      </c>
      <c r="F200" s="4"/>
      <c r="G200" s="5" t="s">
        <v>1186</v>
      </c>
      <c r="H200" s="5"/>
      <c r="I200" s="5" t="s">
        <v>1187</v>
      </c>
      <c r="J200" s="4" t="s">
        <v>1188</v>
      </c>
      <c r="K200" s="4" t="s">
        <v>1189</v>
      </c>
      <c r="L200" s="4"/>
      <c r="M200" s="5" t="s">
        <v>916</v>
      </c>
      <c r="N200" s="5" t="s">
        <v>1190</v>
      </c>
      <c r="O200" s="5" t="s">
        <v>1191</v>
      </c>
      <c r="P200" s="5" t="s">
        <v>1192</v>
      </c>
      <c r="Q200" s="4" t="s">
        <v>537</v>
      </c>
      <c r="R200" s="4" t="s">
        <v>637</v>
      </c>
      <c r="S200" s="4"/>
      <c r="T200" s="4" t="s">
        <v>859</v>
      </c>
      <c r="U200" s="4"/>
      <c r="V200" s="4" t="s">
        <v>1193</v>
      </c>
      <c r="W200" s="6">
        <v>1.0</v>
      </c>
      <c r="X200" s="4" t="s">
        <v>1194</v>
      </c>
      <c r="Y200" s="4" t="s">
        <v>272</v>
      </c>
      <c r="Z200" s="4"/>
      <c r="AA200" s="4"/>
      <c r="AB200" s="4" t="s">
        <v>1195</v>
      </c>
      <c r="AC200" s="4" t="s">
        <v>1196</v>
      </c>
      <c r="AD200" s="4"/>
      <c r="AE200" s="4"/>
      <c r="AF200" s="4"/>
      <c r="AG200" s="4"/>
    </row>
    <row r="201">
      <c r="A201" s="5" t="s">
        <v>1197</v>
      </c>
      <c r="B201" s="5" t="s">
        <v>1198</v>
      </c>
      <c r="C201" s="5" t="s">
        <v>78</v>
      </c>
      <c r="D201" s="5" t="s">
        <v>39</v>
      </c>
      <c r="E201" s="4" t="s">
        <v>1199</v>
      </c>
      <c r="F201" s="4"/>
      <c r="G201" s="5" t="s">
        <v>1200</v>
      </c>
      <c r="H201" s="5"/>
      <c r="I201" s="5" t="s">
        <v>1187</v>
      </c>
      <c r="J201" s="4" t="s">
        <v>1201</v>
      </c>
      <c r="K201" s="4" t="s">
        <v>1202</v>
      </c>
      <c r="L201" s="4"/>
      <c r="M201" s="5" t="s">
        <v>241</v>
      </c>
      <c r="N201" s="5" t="s">
        <v>1203</v>
      </c>
      <c r="O201" s="5" t="s">
        <v>1191</v>
      </c>
      <c r="P201" s="4" t="s">
        <v>1204</v>
      </c>
      <c r="Q201" s="4" t="s">
        <v>845</v>
      </c>
      <c r="R201" s="4" t="s">
        <v>637</v>
      </c>
      <c r="S201" s="4"/>
      <c r="T201" s="4"/>
      <c r="U201" s="4"/>
      <c r="V201" s="4"/>
      <c r="W201" s="4"/>
      <c r="X201" s="4" t="s">
        <v>1205</v>
      </c>
      <c r="Y201" s="4" t="s">
        <v>272</v>
      </c>
      <c r="Z201" s="4"/>
      <c r="AA201" s="4"/>
      <c r="AB201" s="4" t="s">
        <v>220</v>
      </c>
      <c r="AC201" s="4" t="s">
        <v>1206</v>
      </c>
      <c r="AD201" s="4"/>
      <c r="AE201" s="4"/>
      <c r="AF201" s="4"/>
      <c r="AG201" s="4"/>
    </row>
    <row r="202">
      <c r="A202" s="5" t="s">
        <v>1207</v>
      </c>
      <c r="B202" s="5" t="s">
        <v>1208</v>
      </c>
      <c r="C202" s="5" t="s">
        <v>78</v>
      </c>
      <c r="D202" s="5" t="s">
        <v>39</v>
      </c>
      <c r="E202" s="4" t="s">
        <v>1209</v>
      </c>
      <c r="F202" s="4"/>
      <c r="G202" s="5" t="s">
        <v>1210</v>
      </c>
      <c r="H202" s="4"/>
      <c r="I202" s="5" t="s">
        <v>1187</v>
      </c>
      <c r="J202" s="4" t="s">
        <v>1211</v>
      </c>
      <c r="K202" s="4" t="s">
        <v>1212</v>
      </c>
      <c r="L202" s="4"/>
      <c r="M202" s="5" t="s">
        <v>916</v>
      </c>
      <c r="N202" s="5" t="s">
        <v>1190</v>
      </c>
      <c r="O202" s="5" t="s">
        <v>1191</v>
      </c>
      <c r="P202" s="5" t="s">
        <v>1213</v>
      </c>
      <c r="Q202" s="4" t="s">
        <v>835</v>
      </c>
      <c r="R202" s="4" t="s">
        <v>1214</v>
      </c>
      <c r="S202" s="4"/>
      <c r="T202" s="4" t="s">
        <v>859</v>
      </c>
      <c r="U202" s="4"/>
      <c r="V202" s="4"/>
      <c r="W202" s="4"/>
      <c r="X202" s="4" t="s">
        <v>1194</v>
      </c>
      <c r="Y202" s="4" t="s">
        <v>272</v>
      </c>
      <c r="Z202" s="4"/>
      <c r="AA202" s="4"/>
      <c r="AB202" s="4" t="s">
        <v>220</v>
      </c>
      <c r="AC202" s="4" t="s">
        <v>1215</v>
      </c>
      <c r="AD202" s="4"/>
      <c r="AE202" s="4"/>
      <c r="AF202" s="4"/>
      <c r="AG202" s="4"/>
    </row>
    <row r="203">
      <c r="A203" s="5" t="s">
        <v>1216</v>
      </c>
      <c r="B203" s="5" t="s">
        <v>1217</v>
      </c>
      <c r="C203" s="5" t="s">
        <v>38</v>
      </c>
      <c r="D203" s="5" t="s">
        <v>534</v>
      </c>
      <c r="E203" s="4" t="s">
        <v>1218</v>
      </c>
      <c r="F203" s="4"/>
      <c r="G203" s="5" t="s">
        <v>1219</v>
      </c>
      <c r="H203" s="5" t="s">
        <v>500</v>
      </c>
      <c r="I203" s="5" t="s">
        <v>351</v>
      </c>
      <c r="J203" s="4"/>
      <c r="K203" s="4"/>
      <c r="L203" s="4"/>
      <c r="M203" s="5" t="s">
        <v>299</v>
      </c>
      <c r="N203" s="5" t="s">
        <v>1220</v>
      </c>
      <c r="O203" s="5" t="s">
        <v>353</v>
      </c>
      <c r="P203" s="5"/>
      <c r="Q203" s="4"/>
      <c r="R203" s="4"/>
      <c r="S203" s="4"/>
      <c r="T203" s="4" t="s">
        <v>435</v>
      </c>
      <c r="U203" s="4"/>
      <c r="V203" s="4"/>
      <c r="W203" s="4"/>
      <c r="X203" s="4" t="s">
        <v>1221</v>
      </c>
      <c r="Y203" s="4" t="s">
        <v>437</v>
      </c>
      <c r="Z203" s="4"/>
      <c r="AA203" s="4"/>
      <c r="AB203" s="4" t="s">
        <v>220</v>
      </c>
      <c r="AC203" s="4" t="s">
        <v>1222</v>
      </c>
      <c r="AD203" s="4"/>
      <c r="AE203" s="4"/>
      <c r="AF203" s="4"/>
      <c r="AG203" s="4"/>
    </row>
    <row r="204">
      <c r="A204" s="5" t="s">
        <v>1223</v>
      </c>
      <c r="B204" s="5" t="s">
        <v>1224</v>
      </c>
      <c r="C204" s="5" t="s">
        <v>78</v>
      </c>
      <c r="D204" s="5" t="s">
        <v>361</v>
      </c>
      <c r="E204" s="4" t="s">
        <v>1225</v>
      </c>
      <c r="F204" s="4"/>
      <c r="G204" s="5" t="s">
        <v>1226</v>
      </c>
      <c r="H204" s="4" t="s">
        <v>1045</v>
      </c>
      <c r="I204" s="5" t="s">
        <v>623</v>
      </c>
      <c r="J204" s="4"/>
      <c r="K204" s="4"/>
      <c r="L204" s="4"/>
      <c r="M204" s="5"/>
      <c r="N204" s="5" t="s">
        <v>624</v>
      </c>
      <c r="O204" s="5"/>
      <c r="P204" s="5"/>
      <c r="Q204" s="4"/>
      <c r="R204" s="4"/>
      <c r="S204" s="4"/>
      <c r="T204" s="4"/>
      <c r="U204" s="4"/>
      <c r="V204" s="4"/>
      <c r="W204" s="4"/>
      <c r="X204" s="4" t="s">
        <v>625</v>
      </c>
      <c r="Y204" s="4"/>
      <c r="Z204" s="4"/>
      <c r="AA204" s="4"/>
      <c r="AB204" s="4" t="s">
        <v>220</v>
      </c>
      <c r="AC204" s="4" t="s">
        <v>1227</v>
      </c>
      <c r="AD204" s="4"/>
      <c r="AE204" s="4"/>
      <c r="AF204" s="4"/>
      <c r="AG204" s="4"/>
    </row>
    <row r="205">
      <c r="A205" s="5" t="s">
        <v>1228</v>
      </c>
      <c r="B205" s="5" t="s">
        <v>1229</v>
      </c>
      <c r="C205" s="5" t="s">
        <v>34</v>
      </c>
      <c r="D205" s="5" t="s">
        <v>39</v>
      </c>
      <c r="E205" s="4" t="s">
        <v>1230</v>
      </c>
      <c r="F205" s="4"/>
      <c r="G205" s="5" t="s">
        <v>1231</v>
      </c>
      <c r="H205" s="4" t="s">
        <v>558</v>
      </c>
      <c r="I205" s="5" t="s">
        <v>1232</v>
      </c>
      <c r="J205" s="4"/>
      <c r="K205" s="4"/>
      <c r="L205" s="4"/>
      <c r="M205" s="5" t="s">
        <v>263</v>
      </c>
      <c r="N205" s="5" t="s">
        <v>1233</v>
      </c>
      <c r="O205" s="5" t="s">
        <v>728</v>
      </c>
      <c r="P205" s="5"/>
      <c r="Q205" s="4"/>
      <c r="R205" s="4"/>
      <c r="S205" s="4"/>
      <c r="T205" s="4" t="s">
        <v>468</v>
      </c>
      <c r="U205" s="4"/>
      <c r="V205" s="4"/>
      <c r="W205" s="4"/>
      <c r="X205" s="4" t="s">
        <v>1234</v>
      </c>
      <c r="Y205" s="4" t="s">
        <v>368</v>
      </c>
      <c r="Z205" s="4"/>
      <c r="AA205" s="4"/>
      <c r="AB205" s="4" t="s">
        <v>220</v>
      </c>
      <c r="AC205" s="4" t="s">
        <v>1235</v>
      </c>
      <c r="AD205" s="4"/>
      <c r="AE205" s="4"/>
      <c r="AF205" s="4"/>
      <c r="AG205" s="4"/>
    </row>
    <row r="206">
      <c r="A206" s="5" t="s">
        <v>1236</v>
      </c>
      <c r="B206" s="5" t="s">
        <v>1237</v>
      </c>
      <c r="C206" s="5" t="s">
        <v>34</v>
      </c>
      <c r="D206" s="5" t="s">
        <v>257</v>
      </c>
      <c r="E206" s="4" t="s">
        <v>1238</v>
      </c>
      <c r="F206" s="4"/>
      <c r="G206" s="5" t="s">
        <v>543</v>
      </c>
      <c r="H206" s="4" t="s">
        <v>1239</v>
      </c>
      <c r="I206" s="5" t="s">
        <v>1240</v>
      </c>
      <c r="J206" s="5"/>
      <c r="K206" s="5"/>
      <c r="L206" s="4"/>
      <c r="M206" s="5" t="s">
        <v>263</v>
      </c>
      <c r="N206" s="5" t="s">
        <v>1241</v>
      </c>
      <c r="O206" s="5" t="s">
        <v>550</v>
      </c>
      <c r="P206" s="4" t="s">
        <v>1242</v>
      </c>
      <c r="Q206" s="5"/>
      <c r="R206" s="5"/>
      <c r="S206" s="4"/>
      <c r="T206" s="4" t="s">
        <v>1243</v>
      </c>
      <c r="U206" s="4"/>
      <c r="V206" s="4"/>
      <c r="W206" s="4"/>
      <c r="X206" s="4" t="s">
        <v>1244</v>
      </c>
      <c r="Y206" s="4" t="s">
        <v>368</v>
      </c>
      <c r="Z206" s="4"/>
      <c r="AA206" s="4"/>
      <c r="AB206" s="4" t="s">
        <v>220</v>
      </c>
      <c r="AC206" s="4" t="s">
        <v>1245</v>
      </c>
      <c r="AD206" s="4"/>
      <c r="AE206" s="4"/>
      <c r="AF206" s="4"/>
      <c r="AG206" s="4"/>
    </row>
    <row r="207">
      <c r="A207" s="5" t="s">
        <v>1246</v>
      </c>
      <c r="B207" s="5" t="s">
        <v>1247</v>
      </c>
      <c r="C207" s="5" t="s">
        <v>210</v>
      </c>
      <c r="D207" s="5" t="s">
        <v>257</v>
      </c>
      <c r="E207" s="4"/>
      <c r="F207" s="4"/>
      <c r="G207" s="5" t="s">
        <v>1248</v>
      </c>
      <c r="H207" s="4"/>
      <c r="I207" s="5" t="s">
        <v>1249</v>
      </c>
      <c r="J207" s="5"/>
      <c r="K207" s="5"/>
      <c r="L207" s="4"/>
      <c r="M207" s="5" t="s">
        <v>1250</v>
      </c>
      <c r="N207" s="5" t="s">
        <v>1251</v>
      </c>
      <c r="O207" s="5" t="s">
        <v>1252</v>
      </c>
      <c r="P207" s="5"/>
      <c r="Q207" s="4"/>
      <c r="R207" s="5"/>
      <c r="S207" s="4"/>
      <c r="T207" s="4"/>
      <c r="U207" s="4"/>
      <c r="V207" s="4"/>
      <c r="W207" s="4"/>
      <c r="X207" s="4"/>
      <c r="Y207" s="4"/>
      <c r="Z207" s="4"/>
      <c r="AA207" s="4"/>
      <c r="AB207" s="4"/>
      <c r="AC207" s="4"/>
      <c r="AD207" s="4" t="s">
        <v>1253</v>
      </c>
      <c r="AE207" s="4" t="s">
        <v>1254</v>
      </c>
      <c r="AF207" s="4" t="s">
        <v>1255</v>
      </c>
      <c r="AG207" s="4"/>
    </row>
    <row r="208">
      <c r="A208" s="5" t="s">
        <v>1256</v>
      </c>
      <c r="B208" s="5" t="s">
        <v>1257</v>
      </c>
      <c r="C208" s="5" t="s">
        <v>38</v>
      </c>
      <c r="D208" s="5" t="s">
        <v>257</v>
      </c>
      <c r="E208" s="4"/>
      <c r="F208" s="4"/>
      <c r="G208" s="5" t="s">
        <v>1258</v>
      </c>
      <c r="H208" s="4"/>
      <c r="I208" s="5" t="s">
        <v>1259</v>
      </c>
      <c r="J208" s="5"/>
      <c r="K208" s="5"/>
      <c r="L208" s="4"/>
      <c r="M208" s="5" t="s">
        <v>1250</v>
      </c>
      <c r="N208" s="5" t="s">
        <v>1260</v>
      </c>
      <c r="O208" s="5" t="s">
        <v>1261</v>
      </c>
      <c r="P208" s="4"/>
      <c r="Q208" s="5"/>
      <c r="R208" s="5"/>
      <c r="S208" s="4"/>
      <c r="T208" s="4"/>
      <c r="U208" s="4"/>
      <c r="V208" s="4"/>
      <c r="W208" s="4"/>
      <c r="X208" s="4"/>
      <c r="Y208" s="4"/>
      <c r="Z208" s="4"/>
      <c r="AA208" s="4"/>
      <c r="AB208" s="4"/>
      <c r="AC208" s="4"/>
      <c r="AD208" s="4" t="s">
        <v>1262</v>
      </c>
      <c r="AE208" s="4" t="s">
        <v>1254</v>
      </c>
      <c r="AF208" s="4" t="s">
        <v>1263</v>
      </c>
      <c r="AG208" s="4"/>
    </row>
    <row r="209">
      <c r="A209" s="5" t="s">
        <v>1264</v>
      </c>
      <c r="B209" s="5" t="s">
        <v>1265</v>
      </c>
      <c r="C209" s="5" t="s">
        <v>210</v>
      </c>
      <c r="D209" s="5" t="s">
        <v>1266</v>
      </c>
      <c r="E209" s="4"/>
      <c r="F209" s="4"/>
      <c r="G209" s="5"/>
      <c r="H209" s="4"/>
      <c r="I209" s="5" t="s">
        <v>1267</v>
      </c>
      <c r="J209" s="5"/>
      <c r="K209" s="5"/>
      <c r="L209" s="4"/>
      <c r="M209" s="5"/>
      <c r="N209" s="5" t="s">
        <v>1268</v>
      </c>
      <c r="O209" s="5"/>
      <c r="P209" s="4"/>
      <c r="Q209" s="5"/>
      <c r="R209" s="5"/>
      <c r="S209" s="4"/>
      <c r="T209" s="4"/>
      <c r="U209" s="4"/>
      <c r="V209" s="4"/>
      <c r="W209" s="4"/>
      <c r="X209" s="4"/>
      <c r="Y209" s="4"/>
      <c r="Z209" s="4"/>
      <c r="AA209" s="4"/>
      <c r="AB209" s="4"/>
      <c r="AC209" s="4"/>
      <c r="AD209" s="4"/>
      <c r="AE209" s="4" t="s">
        <v>1269</v>
      </c>
      <c r="AF209" s="4" t="s">
        <v>1270</v>
      </c>
      <c r="AG209" s="4"/>
    </row>
    <row r="210">
      <c r="A210" s="5" t="s">
        <v>1271</v>
      </c>
      <c r="B210" s="5" t="s">
        <v>1272</v>
      </c>
      <c r="C210" s="5" t="s">
        <v>38</v>
      </c>
      <c r="D210" s="5" t="s">
        <v>257</v>
      </c>
      <c r="E210" s="4"/>
      <c r="F210" s="4"/>
      <c r="G210" s="5" t="s">
        <v>1273</v>
      </c>
      <c r="H210" s="5"/>
      <c r="I210" s="5" t="s">
        <v>1274</v>
      </c>
      <c r="J210" s="5"/>
      <c r="K210" s="5"/>
      <c r="L210" s="4"/>
      <c r="M210" s="5" t="s">
        <v>263</v>
      </c>
      <c r="N210" s="5" t="s">
        <v>1275</v>
      </c>
      <c r="O210" s="5" t="s">
        <v>1276</v>
      </c>
      <c r="P210" s="4"/>
      <c r="Q210" s="5"/>
      <c r="R210" s="5"/>
      <c r="S210" s="4"/>
      <c r="T210" s="4"/>
      <c r="U210" s="4"/>
      <c r="V210" s="4"/>
      <c r="W210" s="4"/>
      <c r="X210" s="4"/>
      <c r="Y210" s="4"/>
      <c r="Z210" s="4"/>
      <c r="AA210" s="4"/>
      <c r="AB210" s="4"/>
      <c r="AC210" s="4"/>
      <c r="AD210" s="4" t="s">
        <v>1277</v>
      </c>
      <c r="AE210" s="4" t="s">
        <v>1254</v>
      </c>
      <c r="AF210" s="4" t="s">
        <v>1278</v>
      </c>
      <c r="AG210" s="4"/>
    </row>
    <row r="211">
      <c r="A211" s="5" t="s">
        <v>1279</v>
      </c>
      <c r="B211" s="5" t="s">
        <v>1280</v>
      </c>
      <c r="C211" s="5" t="s">
        <v>38</v>
      </c>
      <c r="D211" s="5" t="s">
        <v>35</v>
      </c>
      <c r="E211" s="4"/>
      <c r="F211" s="4"/>
      <c r="G211" s="5" t="s">
        <v>1281</v>
      </c>
      <c r="H211" s="4" t="s">
        <v>1282</v>
      </c>
      <c r="I211" s="5" t="s">
        <v>1283</v>
      </c>
      <c r="J211" s="5"/>
      <c r="K211" s="5"/>
      <c r="L211" s="4"/>
      <c r="M211" s="5" t="s">
        <v>299</v>
      </c>
      <c r="N211" s="5" t="s">
        <v>1284</v>
      </c>
      <c r="O211" s="5" t="s">
        <v>772</v>
      </c>
      <c r="P211" s="4" t="s">
        <v>1285</v>
      </c>
      <c r="Q211" s="5"/>
      <c r="R211" s="5"/>
      <c r="S211" s="4"/>
      <c r="T211" s="4"/>
      <c r="U211" s="4"/>
      <c r="V211" s="4"/>
      <c r="W211" s="4"/>
      <c r="X211" s="4"/>
      <c r="Y211" s="4"/>
      <c r="Z211" s="4"/>
      <c r="AA211" s="4"/>
      <c r="AB211" s="4"/>
      <c r="AC211" s="4"/>
      <c r="AD211" s="4" t="s">
        <v>1286</v>
      </c>
      <c r="AE211" s="4" t="s">
        <v>1287</v>
      </c>
      <c r="AF211" s="4" t="s">
        <v>1288</v>
      </c>
      <c r="AG211" s="4"/>
    </row>
    <row r="212">
      <c r="A212" s="5" t="s">
        <v>1289</v>
      </c>
      <c r="B212" s="5" t="s">
        <v>1290</v>
      </c>
      <c r="C212" s="5" t="s">
        <v>38</v>
      </c>
      <c r="D212" s="5" t="s">
        <v>257</v>
      </c>
      <c r="E212" s="4"/>
      <c r="F212" s="4"/>
      <c r="G212" s="5"/>
      <c r="H212" s="5" t="s">
        <v>268</v>
      </c>
      <c r="I212" s="5" t="s">
        <v>1291</v>
      </c>
      <c r="J212" s="4"/>
      <c r="K212" s="4"/>
      <c r="L212" s="4"/>
      <c r="M212" s="5" t="s">
        <v>1250</v>
      </c>
      <c r="N212" s="5" t="s">
        <v>1292</v>
      </c>
      <c r="O212" s="5" t="s">
        <v>1168</v>
      </c>
      <c r="P212" s="4" t="s">
        <v>1293</v>
      </c>
      <c r="Q212" s="4"/>
      <c r="R212" s="4"/>
      <c r="S212" s="4"/>
      <c r="T212" s="5" t="s">
        <v>1133</v>
      </c>
      <c r="U212" s="5"/>
      <c r="V212" s="4"/>
      <c r="W212" s="4"/>
      <c r="X212" s="4" t="s">
        <v>1294</v>
      </c>
      <c r="Y212" s="4" t="s">
        <v>1295</v>
      </c>
      <c r="Z212" s="4"/>
      <c r="AA212" s="4"/>
      <c r="AB212" s="4"/>
      <c r="AC212" s="4"/>
      <c r="AD212" s="4" t="s">
        <v>1296</v>
      </c>
      <c r="AE212" s="4" t="s">
        <v>1254</v>
      </c>
      <c r="AF212" s="4" t="s">
        <v>1297</v>
      </c>
      <c r="AG212" s="4"/>
    </row>
    <row r="213">
      <c r="A213" s="5" t="s">
        <v>1298</v>
      </c>
      <c r="B213" s="5" t="s">
        <v>1299</v>
      </c>
      <c r="C213" s="5" t="s">
        <v>38</v>
      </c>
      <c r="D213" s="5" t="s">
        <v>257</v>
      </c>
      <c r="E213" s="4"/>
      <c r="F213" s="4"/>
      <c r="G213" s="5" t="s">
        <v>1300</v>
      </c>
      <c r="H213" s="5" t="s">
        <v>268</v>
      </c>
      <c r="I213" s="5" t="s">
        <v>1301</v>
      </c>
      <c r="J213" s="4"/>
      <c r="K213" s="4"/>
      <c r="L213" s="4"/>
      <c r="M213" s="5" t="s">
        <v>263</v>
      </c>
      <c r="N213" s="5" t="s">
        <v>1302</v>
      </c>
      <c r="O213" s="5" t="s">
        <v>1168</v>
      </c>
      <c r="P213" s="5" t="s">
        <v>1303</v>
      </c>
      <c r="Q213" s="4"/>
      <c r="R213" s="4"/>
      <c r="S213" s="4"/>
      <c r="T213" s="4" t="s">
        <v>1133</v>
      </c>
      <c r="U213" s="4"/>
      <c r="V213" s="4"/>
      <c r="W213" s="4"/>
      <c r="X213" s="4" t="s">
        <v>1170</v>
      </c>
      <c r="Y213" s="4" t="s">
        <v>1295</v>
      </c>
      <c r="Z213" s="4"/>
      <c r="AA213" s="4"/>
      <c r="AB213" s="4"/>
      <c r="AC213" s="4"/>
      <c r="AD213" s="4" t="s">
        <v>1304</v>
      </c>
      <c r="AE213" s="4" t="s">
        <v>1254</v>
      </c>
      <c r="AF213" s="4" t="s">
        <v>1305</v>
      </c>
      <c r="AG213" s="4"/>
    </row>
    <row r="214">
      <c r="A214" s="5" t="s">
        <v>622</v>
      </c>
      <c r="B214" s="5" t="s">
        <v>1306</v>
      </c>
      <c r="C214" s="5" t="s">
        <v>210</v>
      </c>
      <c r="D214" s="5" t="s">
        <v>35</v>
      </c>
      <c r="E214" s="4" t="s">
        <v>1307</v>
      </c>
      <c r="F214" s="4"/>
      <c r="G214" s="5" t="s">
        <v>1308</v>
      </c>
      <c r="H214" s="5" t="s">
        <v>255</v>
      </c>
      <c r="I214" s="5" t="s">
        <v>1309</v>
      </c>
      <c r="J214" s="4"/>
      <c r="K214" s="4"/>
      <c r="L214" s="4"/>
      <c r="M214" s="5" t="s">
        <v>299</v>
      </c>
      <c r="N214" s="5" t="s">
        <v>1310</v>
      </c>
      <c r="O214" s="5" t="s">
        <v>1311</v>
      </c>
      <c r="P214" s="4" t="s">
        <v>1312</v>
      </c>
      <c r="Q214" s="4"/>
      <c r="R214" s="4"/>
      <c r="S214" s="4"/>
      <c r="T214" s="4" t="s">
        <v>468</v>
      </c>
      <c r="U214" s="4"/>
      <c r="V214" s="4"/>
      <c r="W214" s="4"/>
      <c r="X214" s="4" t="s">
        <v>1036</v>
      </c>
      <c r="Y214" s="4" t="s">
        <v>471</v>
      </c>
      <c r="Z214" s="4"/>
      <c r="AA214" s="4"/>
      <c r="AB214" s="4"/>
      <c r="AC214" s="4"/>
      <c r="AD214" s="4"/>
      <c r="AE214" s="4" t="s">
        <v>1287</v>
      </c>
      <c r="AF214" s="4" t="s">
        <v>1313</v>
      </c>
      <c r="AG214" s="4"/>
    </row>
    <row r="215">
      <c r="A215" s="5" t="s">
        <v>1314</v>
      </c>
      <c r="B215" s="5" t="s">
        <v>1315</v>
      </c>
      <c r="C215" s="5" t="s">
        <v>210</v>
      </c>
      <c r="D215" s="5" t="s">
        <v>257</v>
      </c>
      <c r="E215" s="4"/>
      <c r="F215" s="4"/>
      <c r="G215" s="4" t="s">
        <v>1316</v>
      </c>
      <c r="H215" s="5"/>
      <c r="I215" s="5" t="s">
        <v>1317</v>
      </c>
      <c r="J215" s="4"/>
      <c r="K215" s="4"/>
      <c r="L215" s="4"/>
      <c r="M215" s="5" t="s">
        <v>263</v>
      </c>
      <c r="N215" s="5" t="s">
        <v>1318</v>
      </c>
      <c r="O215" s="4" t="s">
        <v>1319</v>
      </c>
      <c r="P215" s="4"/>
      <c r="Q215" s="4"/>
      <c r="R215" s="4"/>
      <c r="S215" s="4"/>
      <c r="T215" s="4"/>
      <c r="U215" s="4"/>
      <c r="V215" s="4" t="s">
        <v>1320</v>
      </c>
      <c r="W215" s="6">
        <v>2.0</v>
      </c>
      <c r="X215" s="4"/>
      <c r="Y215" s="4"/>
      <c r="Z215" s="4"/>
      <c r="AA215" s="4"/>
      <c r="AB215" s="4" t="s">
        <v>1321</v>
      </c>
      <c r="AC215" s="4" t="s">
        <v>1322</v>
      </c>
      <c r="AD215" s="4"/>
      <c r="AE215" s="4" t="s">
        <v>1254</v>
      </c>
      <c r="AF215" s="4" t="s">
        <v>1323</v>
      </c>
      <c r="AG215" s="4"/>
    </row>
    <row r="216">
      <c r="A216" s="5" t="s">
        <v>1324</v>
      </c>
      <c r="B216" s="5" t="s">
        <v>1325</v>
      </c>
      <c r="C216" s="5" t="s">
        <v>210</v>
      </c>
      <c r="D216" s="5" t="s">
        <v>257</v>
      </c>
      <c r="E216" s="4"/>
      <c r="F216" s="4"/>
      <c r="G216" s="5" t="s">
        <v>1326</v>
      </c>
      <c r="H216" s="5"/>
      <c r="I216" s="5" t="s">
        <v>1327</v>
      </c>
      <c r="J216" s="4"/>
      <c r="K216" s="4"/>
      <c r="L216" s="4"/>
      <c r="M216" s="5" t="s">
        <v>263</v>
      </c>
      <c r="N216" s="5" t="s">
        <v>1328</v>
      </c>
      <c r="O216" s="5" t="s">
        <v>1252</v>
      </c>
      <c r="P216" s="5"/>
      <c r="Q216" s="4"/>
      <c r="R216" s="4"/>
      <c r="S216" s="4"/>
      <c r="T216" s="4"/>
      <c r="U216" s="4"/>
      <c r="V216" s="4"/>
      <c r="W216" s="4"/>
      <c r="X216" s="4"/>
      <c r="Y216" s="4"/>
      <c r="Z216" s="4"/>
      <c r="AA216" s="4"/>
      <c r="AB216" s="4"/>
      <c r="AC216" s="4"/>
      <c r="AD216" s="4"/>
      <c r="AE216" s="4" t="s">
        <v>1254</v>
      </c>
      <c r="AF216" s="4" t="s">
        <v>1329</v>
      </c>
      <c r="AG216" s="4"/>
    </row>
    <row r="217">
      <c r="A217" s="5" t="s">
        <v>1239</v>
      </c>
      <c r="B217" s="5" t="s">
        <v>1330</v>
      </c>
      <c r="C217" s="5" t="s">
        <v>210</v>
      </c>
      <c r="D217" s="5" t="s">
        <v>35</v>
      </c>
      <c r="E217" s="4" t="s">
        <v>1331</v>
      </c>
      <c r="F217" s="4"/>
      <c r="G217" s="5" t="s">
        <v>1308</v>
      </c>
      <c r="H217" s="5" t="s">
        <v>725</v>
      </c>
      <c r="I217" s="5" t="s">
        <v>1033</v>
      </c>
      <c r="J217" s="4"/>
      <c r="K217" s="4"/>
      <c r="L217" s="4"/>
      <c r="M217" s="5" t="s">
        <v>299</v>
      </c>
      <c r="N217" s="5" t="s">
        <v>1310</v>
      </c>
      <c r="O217" s="5" t="s">
        <v>1311</v>
      </c>
      <c r="P217" s="5" t="s">
        <v>1332</v>
      </c>
      <c r="Q217" s="4"/>
      <c r="R217" s="4"/>
      <c r="S217" s="4"/>
      <c r="T217" s="4" t="s">
        <v>468</v>
      </c>
      <c r="U217" s="4"/>
      <c r="V217" s="4" t="s">
        <v>287</v>
      </c>
      <c r="W217" s="6">
        <v>1.0</v>
      </c>
      <c r="X217" s="4" t="s">
        <v>1036</v>
      </c>
      <c r="Y217" s="4" t="s">
        <v>471</v>
      </c>
      <c r="Z217" s="4"/>
      <c r="AA217" s="4"/>
      <c r="AB217" s="4" t="s">
        <v>288</v>
      </c>
      <c r="AC217" s="4" t="s">
        <v>1333</v>
      </c>
      <c r="AD217" s="4"/>
      <c r="AE217" s="4" t="s">
        <v>1287</v>
      </c>
      <c r="AF217" s="4" t="s">
        <v>1334</v>
      </c>
      <c r="AG217" s="4"/>
    </row>
    <row r="218">
      <c r="A218" s="5" t="s">
        <v>1335</v>
      </c>
      <c r="B218" s="5" t="s">
        <v>1336</v>
      </c>
      <c r="C218" s="5" t="s">
        <v>210</v>
      </c>
      <c r="D218" s="5" t="s">
        <v>257</v>
      </c>
      <c r="E218" s="4"/>
      <c r="F218" s="4"/>
      <c r="G218" s="5" t="s">
        <v>1337</v>
      </c>
      <c r="H218" s="4"/>
      <c r="I218" s="5" t="s">
        <v>1338</v>
      </c>
      <c r="J218" s="4"/>
      <c r="K218" s="4"/>
      <c r="L218" s="4"/>
      <c r="M218" s="5" t="s">
        <v>1250</v>
      </c>
      <c r="N218" s="5" t="s">
        <v>1339</v>
      </c>
      <c r="O218" s="5" t="s">
        <v>1340</v>
      </c>
      <c r="P218" s="5"/>
      <c r="Q218" s="4"/>
      <c r="R218" s="4"/>
      <c r="S218" s="4"/>
      <c r="T218" s="4"/>
      <c r="U218" s="4"/>
      <c r="V218" s="4"/>
      <c r="W218" s="4"/>
      <c r="X218" s="4"/>
      <c r="Y218" s="4"/>
      <c r="Z218" s="4"/>
      <c r="AA218" s="4"/>
      <c r="AB218" s="4"/>
      <c r="AC218" s="4"/>
      <c r="AD218" s="4"/>
      <c r="AE218" s="4" t="s">
        <v>1254</v>
      </c>
      <c r="AF218" s="4" t="s">
        <v>1341</v>
      </c>
      <c r="AG218" s="4"/>
    </row>
    <row r="219">
      <c r="A219" s="5" t="s">
        <v>1342</v>
      </c>
      <c r="B219" s="5" t="s">
        <v>1343</v>
      </c>
      <c r="C219" s="5" t="s">
        <v>210</v>
      </c>
      <c r="D219" s="5" t="s">
        <v>257</v>
      </c>
      <c r="E219" s="4"/>
      <c r="F219" s="4"/>
      <c r="G219" s="5" t="s">
        <v>1344</v>
      </c>
      <c r="H219" s="5"/>
      <c r="I219" s="5" t="s">
        <v>1345</v>
      </c>
      <c r="J219" s="4"/>
      <c r="K219" s="4"/>
      <c r="L219" s="4"/>
      <c r="M219" s="5" t="s">
        <v>263</v>
      </c>
      <c r="N219" s="5" t="s">
        <v>1346</v>
      </c>
      <c r="O219" s="5" t="s">
        <v>1347</v>
      </c>
      <c r="P219" s="5" t="s">
        <v>1348</v>
      </c>
      <c r="Q219" s="4"/>
      <c r="R219" s="4"/>
      <c r="S219" s="4"/>
      <c r="T219" s="4"/>
      <c r="U219" s="4"/>
      <c r="V219" s="4"/>
      <c r="W219" s="4"/>
      <c r="X219" s="4"/>
      <c r="Y219" s="4"/>
      <c r="Z219" s="4"/>
      <c r="AA219" s="4"/>
      <c r="AB219" s="4"/>
      <c r="AC219" s="4"/>
      <c r="AD219" s="4"/>
      <c r="AE219" s="4" t="s">
        <v>1254</v>
      </c>
      <c r="AF219" s="4" t="s">
        <v>1349</v>
      </c>
      <c r="AG219" s="4"/>
    </row>
    <row r="220">
      <c r="A220" s="5" t="s">
        <v>1025</v>
      </c>
      <c r="B220" s="5" t="s">
        <v>1350</v>
      </c>
      <c r="C220" s="5" t="s">
        <v>210</v>
      </c>
      <c r="D220" s="5" t="s">
        <v>257</v>
      </c>
      <c r="E220" s="4"/>
      <c r="F220" s="4"/>
      <c r="G220" s="5" t="s">
        <v>1351</v>
      </c>
      <c r="H220" s="4" t="s">
        <v>706</v>
      </c>
      <c r="I220" s="5" t="s">
        <v>1352</v>
      </c>
      <c r="J220" s="4"/>
      <c r="K220" s="4"/>
      <c r="L220" s="4"/>
      <c r="M220" s="5" t="s">
        <v>1250</v>
      </c>
      <c r="N220" s="5" t="s">
        <v>1353</v>
      </c>
      <c r="O220" s="5" t="s">
        <v>1354</v>
      </c>
      <c r="P220" s="4" t="s">
        <v>1355</v>
      </c>
      <c r="Q220" s="4"/>
      <c r="R220" s="4"/>
      <c r="S220" s="4"/>
      <c r="T220" s="4" t="s">
        <v>1243</v>
      </c>
      <c r="U220" s="4"/>
      <c r="V220" s="4" t="s">
        <v>1356</v>
      </c>
      <c r="W220" s="6">
        <v>2.0</v>
      </c>
      <c r="X220" s="4" t="s">
        <v>1357</v>
      </c>
      <c r="Y220" s="4" t="s">
        <v>553</v>
      </c>
      <c r="Z220" s="4"/>
      <c r="AA220" s="4"/>
      <c r="AB220" s="4" t="s">
        <v>1358</v>
      </c>
      <c r="AC220" s="4" t="s">
        <v>1359</v>
      </c>
      <c r="AD220" s="4"/>
      <c r="AE220" s="4" t="s">
        <v>1254</v>
      </c>
      <c r="AF220" s="4" t="s">
        <v>1360</v>
      </c>
      <c r="AG220" s="4"/>
    </row>
    <row r="221">
      <c r="A221" s="5" t="s">
        <v>1258</v>
      </c>
      <c r="B221" s="5" t="s">
        <v>1361</v>
      </c>
      <c r="C221" s="5" t="s">
        <v>38</v>
      </c>
      <c r="D221" s="5" t="s">
        <v>257</v>
      </c>
      <c r="E221" s="4"/>
      <c r="F221" s="4"/>
      <c r="G221" s="5" t="s">
        <v>1256</v>
      </c>
      <c r="H221" s="5"/>
      <c r="I221" s="5" t="s">
        <v>1362</v>
      </c>
      <c r="J221" s="4"/>
      <c r="K221" s="4"/>
      <c r="L221" s="4"/>
      <c r="M221" s="5" t="s">
        <v>1363</v>
      </c>
      <c r="N221" s="5" t="s">
        <v>1364</v>
      </c>
      <c r="O221" s="5" t="s">
        <v>1261</v>
      </c>
      <c r="P221" s="4"/>
      <c r="Q221" s="4"/>
      <c r="R221" s="4"/>
      <c r="S221" s="4"/>
      <c r="T221" s="4"/>
      <c r="U221" s="4"/>
      <c r="V221" s="5"/>
      <c r="W221" s="5"/>
      <c r="X221" s="4"/>
      <c r="Y221" s="4"/>
      <c r="Z221" s="4"/>
      <c r="AA221" s="4"/>
      <c r="AB221" s="5"/>
      <c r="AC221" s="5"/>
      <c r="AD221" s="4"/>
      <c r="AE221" s="4" t="s">
        <v>1254</v>
      </c>
      <c r="AF221" s="4" t="s">
        <v>1365</v>
      </c>
      <c r="AG221" s="4"/>
    </row>
    <row r="222">
      <c r="A222" s="5" t="s">
        <v>1366</v>
      </c>
      <c r="B222" s="5" t="s">
        <v>1367</v>
      </c>
      <c r="C222" s="5" t="s">
        <v>210</v>
      </c>
      <c r="D222" s="5" t="s">
        <v>257</v>
      </c>
      <c r="E222" s="4"/>
      <c r="F222" s="4"/>
      <c r="G222" s="4" t="s">
        <v>1368</v>
      </c>
      <c r="H222" s="5"/>
      <c r="I222" s="5" t="s">
        <v>1338</v>
      </c>
      <c r="J222" s="4"/>
      <c r="K222" s="4"/>
      <c r="L222" s="4"/>
      <c r="M222" s="5" t="s">
        <v>263</v>
      </c>
      <c r="N222" s="5" t="s">
        <v>1369</v>
      </c>
      <c r="O222" s="5" t="s">
        <v>1340</v>
      </c>
      <c r="P222" s="4"/>
      <c r="Q222" s="4"/>
      <c r="R222" s="4"/>
      <c r="S222" s="4"/>
      <c r="T222" s="4"/>
      <c r="U222" s="4"/>
      <c r="V222" s="4"/>
      <c r="W222" s="4"/>
      <c r="X222" s="4"/>
      <c r="Y222" s="4"/>
      <c r="Z222" s="4"/>
      <c r="AA222" s="4"/>
      <c r="AB222" s="4"/>
      <c r="AC222" s="4"/>
      <c r="AD222" s="4"/>
      <c r="AE222" s="4" t="s">
        <v>1254</v>
      </c>
      <c r="AF222" s="4" t="s">
        <v>1370</v>
      </c>
      <c r="AG222" s="4"/>
    </row>
    <row r="223">
      <c r="A223" s="5" t="s">
        <v>1371</v>
      </c>
      <c r="B223" s="5" t="s">
        <v>1372</v>
      </c>
      <c r="C223" s="5" t="s">
        <v>210</v>
      </c>
      <c r="D223" s="5" t="s">
        <v>257</v>
      </c>
      <c r="E223" s="4"/>
      <c r="F223" s="4"/>
      <c r="G223" s="5" t="s">
        <v>1373</v>
      </c>
      <c r="H223" s="4"/>
      <c r="I223" s="5" t="s">
        <v>1374</v>
      </c>
      <c r="J223" s="4"/>
      <c r="K223" s="4"/>
      <c r="L223" s="4"/>
      <c r="M223" s="5" t="s">
        <v>1250</v>
      </c>
      <c r="N223" s="5" t="s">
        <v>1375</v>
      </c>
      <c r="O223" s="5" t="s">
        <v>1319</v>
      </c>
      <c r="P223" s="5"/>
      <c r="Q223" s="4"/>
      <c r="R223" s="4"/>
      <c r="S223" s="4"/>
      <c r="T223" s="4"/>
      <c r="U223" s="4"/>
      <c r="V223" s="4" t="s">
        <v>287</v>
      </c>
      <c r="W223" s="6">
        <v>2.0</v>
      </c>
      <c r="X223" s="4"/>
      <c r="Y223" s="4"/>
      <c r="Z223" s="4"/>
      <c r="AA223" s="4"/>
      <c r="AB223" s="4" t="s">
        <v>873</v>
      </c>
      <c r="AC223" s="4" t="s">
        <v>1376</v>
      </c>
      <c r="AD223" s="4"/>
      <c r="AE223" s="4" t="s">
        <v>1254</v>
      </c>
      <c r="AF223" s="4" t="s">
        <v>1377</v>
      </c>
      <c r="AG223" s="4"/>
    </row>
    <row r="224">
      <c r="A224" s="5" t="s">
        <v>1378</v>
      </c>
      <c r="B224" s="5" t="s">
        <v>1379</v>
      </c>
      <c r="C224" s="5" t="s">
        <v>210</v>
      </c>
      <c r="D224" s="5" t="s">
        <v>35</v>
      </c>
      <c r="E224" s="4" t="s">
        <v>1380</v>
      </c>
      <c r="F224" s="4"/>
      <c r="G224" s="4" t="s">
        <v>1381</v>
      </c>
      <c r="H224" s="4"/>
      <c r="I224" s="5" t="s">
        <v>1382</v>
      </c>
      <c r="J224" s="5"/>
      <c r="K224" s="5"/>
      <c r="L224" s="4"/>
      <c r="M224" s="5" t="s">
        <v>299</v>
      </c>
      <c r="N224" s="5" t="s">
        <v>1383</v>
      </c>
      <c r="O224" s="4" t="s">
        <v>1113</v>
      </c>
      <c r="P224" s="5" t="s">
        <v>1384</v>
      </c>
      <c r="Q224" s="5"/>
      <c r="R224" s="4"/>
      <c r="S224" s="4"/>
      <c r="T224" s="4"/>
      <c r="U224" s="4"/>
      <c r="V224" s="4"/>
      <c r="W224" s="4"/>
      <c r="X224" s="4" t="s">
        <v>1385</v>
      </c>
      <c r="Y224" s="4" t="s">
        <v>471</v>
      </c>
      <c r="Z224" s="4"/>
      <c r="AA224" s="4"/>
      <c r="AB224" s="4" t="s">
        <v>220</v>
      </c>
      <c r="AC224" s="4" t="s">
        <v>1386</v>
      </c>
      <c r="AD224" s="4"/>
      <c r="AE224" s="4" t="s">
        <v>1287</v>
      </c>
      <c r="AF224" s="4" t="s">
        <v>1387</v>
      </c>
      <c r="AG224" s="4"/>
    </row>
    <row r="225">
      <c r="A225" s="5" t="s">
        <v>1388</v>
      </c>
      <c r="B225" s="5" t="s">
        <v>1389</v>
      </c>
      <c r="C225" s="5" t="s">
        <v>210</v>
      </c>
      <c r="D225" s="5" t="s">
        <v>35</v>
      </c>
      <c r="E225" s="4" t="s">
        <v>1390</v>
      </c>
      <c r="F225" s="4"/>
      <c r="G225" s="4" t="s">
        <v>1391</v>
      </c>
      <c r="H225" s="4" t="s">
        <v>225</v>
      </c>
      <c r="I225" s="5" t="s">
        <v>1382</v>
      </c>
      <c r="J225" s="4"/>
      <c r="K225" s="4"/>
      <c r="L225" s="4"/>
      <c r="M225" s="5" t="s">
        <v>299</v>
      </c>
      <c r="N225" s="5" t="s">
        <v>1383</v>
      </c>
      <c r="O225" s="4" t="s">
        <v>1113</v>
      </c>
      <c r="P225" s="5" t="s">
        <v>1392</v>
      </c>
      <c r="Q225" s="4"/>
      <c r="R225" s="4"/>
      <c r="S225" s="4"/>
      <c r="T225" s="4" t="s">
        <v>217</v>
      </c>
      <c r="U225" s="4"/>
      <c r="V225" s="4" t="s">
        <v>1356</v>
      </c>
      <c r="W225" s="6">
        <v>2.0</v>
      </c>
      <c r="X225" s="4" t="s">
        <v>1385</v>
      </c>
      <c r="Y225" s="4" t="s">
        <v>471</v>
      </c>
      <c r="Z225" s="4"/>
      <c r="AA225" s="4"/>
      <c r="AB225" s="4" t="s">
        <v>1358</v>
      </c>
      <c r="AC225" s="4" t="s">
        <v>1393</v>
      </c>
      <c r="AD225" s="4"/>
      <c r="AE225" s="4" t="s">
        <v>1287</v>
      </c>
      <c r="AF225" s="4" t="s">
        <v>1394</v>
      </c>
      <c r="AG225" s="4"/>
    </row>
    <row r="226">
      <c r="A226" s="5" t="s">
        <v>1395</v>
      </c>
      <c r="B226" s="5" t="s">
        <v>1396</v>
      </c>
      <c r="C226" s="5" t="s">
        <v>38</v>
      </c>
      <c r="D226" s="5" t="s">
        <v>257</v>
      </c>
      <c r="E226" s="4"/>
      <c r="F226" s="4"/>
      <c r="G226" s="5" t="s">
        <v>1397</v>
      </c>
      <c r="H226" s="4"/>
      <c r="I226" s="5" t="s">
        <v>1398</v>
      </c>
      <c r="J226" s="5"/>
      <c r="K226" s="5"/>
      <c r="L226" s="4"/>
      <c r="M226" s="5" t="s">
        <v>263</v>
      </c>
      <c r="N226" s="5" t="s">
        <v>1399</v>
      </c>
      <c r="O226" s="5" t="s">
        <v>1168</v>
      </c>
      <c r="P226" s="5"/>
      <c r="Q226" s="5"/>
      <c r="R226" s="5"/>
      <c r="S226" s="4"/>
      <c r="T226" s="4"/>
      <c r="U226" s="4"/>
      <c r="V226" s="4"/>
      <c r="W226" s="4"/>
      <c r="X226" s="4"/>
      <c r="Y226" s="4"/>
      <c r="Z226" s="4"/>
      <c r="AA226" s="4"/>
      <c r="AB226" s="4"/>
      <c r="AC226" s="4"/>
      <c r="AD226" s="4"/>
      <c r="AE226" s="4" t="s">
        <v>1254</v>
      </c>
      <c r="AF226" s="4" t="s">
        <v>1400</v>
      </c>
      <c r="AG226" s="4"/>
    </row>
    <row r="227">
      <c r="A227" s="5" t="s">
        <v>1401</v>
      </c>
      <c r="B227" s="5" t="s">
        <v>1402</v>
      </c>
      <c r="C227" s="5" t="s">
        <v>210</v>
      </c>
      <c r="D227" s="5" t="s">
        <v>257</v>
      </c>
      <c r="E227" s="4"/>
      <c r="F227" s="4"/>
      <c r="G227" s="4" t="s">
        <v>1403</v>
      </c>
      <c r="H227" s="4"/>
      <c r="I227" s="5" t="s">
        <v>1338</v>
      </c>
      <c r="J227" s="4"/>
      <c r="K227" s="4"/>
      <c r="L227" s="4"/>
      <c r="M227" s="5" t="s">
        <v>263</v>
      </c>
      <c r="N227" s="5" t="s">
        <v>1404</v>
      </c>
      <c r="O227" s="4" t="s">
        <v>1340</v>
      </c>
      <c r="P227" s="5"/>
      <c r="Q227" s="4"/>
      <c r="R227" s="4"/>
      <c r="S227" s="4"/>
      <c r="T227" s="4"/>
      <c r="U227" s="4"/>
      <c r="V227" s="4"/>
      <c r="W227" s="4"/>
      <c r="X227" s="4"/>
      <c r="Y227" s="4"/>
      <c r="Z227" s="4"/>
      <c r="AA227" s="4"/>
      <c r="AB227" s="4"/>
      <c r="AC227" s="4"/>
      <c r="AD227" s="4"/>
      <c r="AE227" s="4" t="s">
        <v>1254</v>
      </c>
      <c r="AF227" s="4" t="s">
        <v>1405</v>
      </c>
      <c r="AG227" s="4"/>
    </row>
    <row r="228">
      <c r="A228" s="5" t="s">
        <v>1406</v>
      </c>
      <c r="B228" s="5" t="s">
        <v>1407</v>
      </c>
      <c r="C228" s="5" t="s">
        <v>210</v>
      </c>
      <c r="D228" s="5" t="s">
        <v>35</v>
      </c>
      <c r="E228" s="4" t="s">
        <v>1408</v>
      </c>
      <c r="F228" s="4"/>
      <c r="G228" s="5" t="s">
        <v>1409</v>
      </c>
      <c r="H228" s="5" t="s">
        <v>725</v>
      </c>
      <c r="I228" s="5" t="s">
        <v>1382</v>
      </c>
      <c r="J228" s="4"/>
      <c r="K228" s="4"/>
      <c r="L228" s="4"/>
      <c r="M228" s="5" t="s">
        <v>299</v>
      </c>
      <c r="N228" s="5" t="s">
        <v>1383</v>
      </c>
      <c r="O228" s="5" t="s">
        <v>1113</v>
      </c>
      <c r="P228" s="4" t="s">
        <v>1410</v>
      </c>
      <c r="Q228" s="4"/>
      <c r="R228" s="4"/>
      <c r="S228" s="4"/>
      <c r="T228" s="4" t="s">
        <v>468</v>
      </c>
      <c r="U228" s="4"/>
      <c r="V228" s="4"/>
      <c r="W228" s="4"/>
      <c r="X228" s="4" t="s">
        <v>1385</v>
      </c>
      <c r="Y228" s="4" t="s">
        <v>471</v>
      </c>
      <c r="Z228" s="4"/>
      <c r="AA228" s="4"/>
      <c r="AB228" s="4"/>
      <c r="AC228" s="4"/>
      <c r="AD228" s="4"/>
      <c r="AE228" s="4" t="s">
        <v>1287</v>
      </c>
      <c r="AF228" s="4" t="s">
        <v>1411</v>
      </c>
      <c r="AG228" s="4"/>
    </row>
    <row r="229">
      <c r="A229" s="5" t="s">
        <v>1412</v>
      </c>
      <c r="B229" s="5" t="s">
        <v>1413</v>
      </c>
      <c r="C229" s="5" t="s">
        <v>210</v>
      </c>
      <c r="D229" s="5" t="s">
        <v>257</v>
      </c>
      <c r="E229" s="4"/>
      <c r="F229" s="4"/>
      <c r="G229" s="5" t="s">
        <v>1414</v>
      </c>
      <c r="H229" s="5"/>
      <c r="I229" s="5" t="s">
        <v>1415</v>
      </c>
      <c r="J229" s="4"/>
      <c r="K229" s="4"/>
      <c r="L229" s="4"/>
      <c r="M229" s="5" t="s">
        <v>263</v>
      </c>
      <c r="N229" s="5" t="s">
        <v>1416</v>
      </c>
      <c r="O229" s="5" t="s">
        <v>1252</v>
      </c>
      <c r="P229" s="5"/>
      <c r="Q229" s="4"/>
      <c r="R229" s="4"/>
      <c r="S229" s="4"/>
      <c r="T229" s="4"/>
      <c r="U229" s="4"/>
      <c r="V229" s="4"/>
      <c r="W229" s="4"/>
      <c r="X229" s="4"/>
      <c r="Y229" s="4"/>
      <c r="Z229" s="4"/>
      <c r="AA229" s="4"/>
      <c r="AB229" s="4"/>
      <c r="AC229" s="4"/>
      <c r="AD229" s="4"/>
      <c r="AE229" s="4" t="s">
        <v>1254</v>
      </c>
      <c r="AF229" s="4" t="s">
        <v>1417</v>
      </c>
      <c r="AG229" s="4"/>
    </row>
    <row r="230">
      <c r="A230" s="5" t="s">
        <v>1273</v>
      </c>
      <c r="B230" s="5" t="s">
        <v>1418</v>
      </c>
      <c r="C230" s="5" t="s">
        <v>38</v>
      </c>
      <c r="D230" s="5" t="s">
        <v>257</v>
      </c>
      <c r="E230" s="4"/>
      <c r="F230" s="4"/>
      <c r="G230" s="4" t="s">
        <v>1271</v>
      </c>
      <c r="H230" s="4"/>
      <c r="I230" s="5" t="s">
        <v>1419</v>
      </c>
      <c r="J230" s="4"/>
      <c r="K230" s="5"/>
      <c r="L230" s="4"/>
      <c r="M230" s="5" t="s">
        <v>1250</v>
      </c>
      <c r="N230" s="5" t="s">
        <v>1420</v>
      </c>
      <c r="O230" s="5" t="s">
        <v>1276</v>
      </c>
      <c r="P230" s="5"/>
      <c r="Q230" s="4"/>
      <c r="R230" s="5"/>
      <c r="S230" s="4"/>
      <c r="T230" s="4"/>
      <c r="U230" s="4"/>
      <c r="V230" s="4"/>
      <c r="W230" s="4"/>
      <c r="X230" s="4"/>
      <c r="Y230" s="4"/>
      <c r="Z230" s="4"/>
      <c r="AA230" s="4"/>
      <c r="AB230" s="4"/>
      <c r="AC230" s="4"/>
      <c r="AD230" s="4"/>
      <c r="AE230" s="4" t="s">
        <v>1254</v>
      </c>
      <c r="AF230" s="4" t="s">
        <v>1421</v>
      </c>
      <c r="AG230" s="4"/>
    </row>
    <row r="231">
      <c r="A231" s="5" t="s">
        <v>1422</v>
      </c>
      <c r="B231" s="5" t="s">
        <v>1423</v>
      </c>
      <c r="C231" s="5" t="s">
        <v>38</v>
      </c>
      <c r="D231" s="5" t="s">
        <v>35</v>
      </c>
      <c r="E231" s="4"/>
      <c r="F231" s="4"/>
      <c r="G231" s="5" t="s">
        <v>1424</v>
      </c>
      <c r="H231" s="5" t="s">
        <v>255</v>
      </c>
      <c r="I231" s="5" t="s">
        <v>1283</v>
      </c>
      <c r="J231" s="4"/>
      <c r="K231" s="4"/>
      <c r="L231" s="4"/>
      <c r="M231" s="5" t="s">
        <v>299</v>
      </c>
      <c r="N231" s="5" t="s">
        <v>1425</v>
      </c>
      <c r="O231" s="5" t="s">
        <v>772</v>
      </c>
      <c r="P231" s="5" t="s">
        <v>1426</v>
      </c>
      <c r="Q231" s="4"/>
      <c r="R231" s="4"/>
      <c r="S231" s="4"/>
      <c r="T231" s="4"/>
      <c r="U231" s="4"/>
      <c r="V231" s="4"/>
      <c r="W231" s="4"/>
      <c r="X231" s="4"/>
      <c r="Y231" s="4"/>
      <c r="Z231" s="4"/>
      <c r="AA231" s="4"/>
      <c r="AB231" s="4"/>
      <c r="AC231" s="4"/>
      <c r="AD231" s="4"/>
      <c r="AE231" s="4" t="s">
        <v>1287</v>
      </c>
      <c r="AF231" s="4" t="s">
        <v>1427</v>
      </c>
      <c r="AG231" s="4"/>
    </row>
    <row r="232">
      <c r="A232" s="5" t="s">
        <v>1428</v>
      </c>
      <c r="B232" s="5" t="s">
        <v>1429</v>
      </c>
      <c r="C232" s="5" t="s">
        <v>38</v>
      </c>
      <c r="D232" s="5" t="s">
        <v>257</v>
      </c>
      <c r="E232" s="4"/>
      <c r="F232" s="4"/>
      <c r="G232" s="5"/>
      <c r="H232" s="5"/>
      <c r="I232" s="5"/>
      <c r="J232" s="4"/>
      <c r="K232" s="4" t="s">
        <v>1430</v>
      </c>
      <c r="L232" s="4"/>
      <c r="M232" s="5"/>
      <c r="N232" s="5"/>
      <c r="O232" s="5"/>
      <c r="P232" s="5" t="s">
        <v>1431</v>
      </c>
      <c r="Q232" s="4"/>
      <c r="R232" s="4"/>
      <c r="S232" s="4"/>
      <c r="T232" s="4"/>
      <c r="U232" s="4"/>
      <c r="V232" s="4"/>
      <c r="W232" s="4"/>
      <c r="X232" s="4"/>
      <c r="Y232" s="4"/>
      <c r="Z232" s="4"/>
      <c r="AA232" s="4"/>
      <c r="AB232" s="4"/>
      <c r="AC232" s="4"/>
      <c r="AD232" s="4"/>
      <c r="AE232" s="4"/>
      <c r="AF232" s="4" t="s">
        <v>1432</v>
      </c>
      <c r="AG232" s="4"/>
    </row>
    <row r="233">
      <c r="A233" s="5" t="s">
        <v>1433</v>
      </c>
      <c r="B233" s="5" t="s">
        <v>1434</v>
      </c>
      <c r="C233" s="5" t="s">
        <v>210</v>
      </c>
      <c r="D233" s="5" t="s">
        <v>257</v>
      </c>
      <c r="E233" s="4"/>
      <c r="F233" s="4"/>
      <c r="G233" s="4" t="s">
        <v>1435</v>
      </c>
      <c r="H233" s="4"/>
      <c r="I233" s="5" t="s">
        <v>1436</v>
      </c>
      <c r="J233" s="4"/>
      <c r="K233" s="4"/>
      <c r="L233" s="4"/>
      <c r="M233" s="5" t="s">
        <v>1363</v>
      </c>
      <c r="N233" s="5" t="s">
        <v>1437</v>
      </c>
      <c r="O233" s="5" t="s">
        <v>1438</v>
      </c>
      <c r="P233" s="4"/>
      <c r="Q233" s="4"/>
      <c r="R233" s="4"/>
      <c r="S233" s="4"/>
      <c r="T233" s="4"/>
      <c r="U233" s="4"/>
      <c r="V233" s="4"/>
      <c r="W233" s="4"/>
      <c r="X233" s="4"/>
      <c r="Y233" s="4"/>
      <c r="Z233" s="4"/>
      <c r="AA233" s="4"/>
      <c r="AB233" s="4"/>
      <c r="AC233" s="4"/>
      <c r="AD233" s="4"/>
      <c r="AE233" s="4" t="s">
        <v>1254</v>
      </c>
      <c r="AF233" s="4" t="s">
        <v>1439</v>
      </c>
      <c r="AG233" s="4"/>
    </row>
    <row r="234">
      <c r="A234" s="5" t="s">
        <v>1440</v>
      </c>
      <c r="B234" s="5" t="s">
        <v>1441</v>
      </c>
      <c r="C234" s="5" t="s">
        <v>38</v>
      </c>
      <c r="D234" s="5" t="s">
        <v>257</v>
      </c>
      <c r="E234" s="4"/>
      <c r="F234" s="4"/>
      <c r="G234" s="5"/>
      <c r="H234" s="5"/>
      <c r="I234" s="5" t="s">
        <v>1442</v>
      </c>
      <c r="J234" s="4"/>
      <c r="K234" s="4"/>
      <c r="L234" s="4"/>
      <c r="M234" s="5"/>
      <c r="N234" s="5" t="s">
        <v>1443</v>
      </c>
      <c r="O234" s="5"/>
      <c r="P234" s="4"/>
      <c r="Q234" s="4"/>
      <c r="R234" s="4"/>
      <c r="S234" s="4"/>
      <c r="T234" s="4"/>
      <c r="U234" s="4"/>
      <c r="V234" s="4"/>
      <c r="W234" s="4"/>
      <c r="X234" s="4"/>
      <c r="Y234" s="4"/>
      <c r="Z234" s="4"/>
      <c r="AA234" s="4"/>
      <c r="AB234" s="4"/>
      <c r="AC234" s="4"/>
      <c r="AD234" s="4"/>
      <c r="AE234" s="4" t="s">
        <v>1444</v>
      </c>
      <c r="AF234" s="4" t="s">
        <v>1445</v>
      </c>
      <c r="AG234" s="4"/>
    </row>
    <row r="235">
      <c r="A235" s="5" t="s">
        <v>1446</v>
      </c>
      <c r="B235" s="5" t="s">
        <v>1447</v>
      </c>
      <c r="C235" s="5" t="s">
        <v>210</v>
      </c>
      <c r="D235" s="5" t="s">
        <v>307</v>
      </c>
      <c r="E235" s="5"/>
      <c r="F235" s="4"/>
      <c r="G235" s="5"/>
      <c r="H235" s="4"/>
      <c r="I235" s="5" t="s">
        <v>1448</v>
      </c>
      <c r="J235" s="5"/>
      <c r="K235" s="5"/>
      <c r="L235" s="4"/>
      <c r="M235" s="5"/>
      <c r="N235" s="5" t="s">
        <v>1449</v>
      </c>
      <c r="O235" s="5"/>
      <c r="P235" s="5"/>
      <c r="Q235" s="5"/>
      <c r="R235" s="5"/>
      <c r="S235" s="4"/>
      <c r="T235" s="4"/>
      <c r="U235" s="4"/>
      <c r="V235" s="4"/>
      <c r="W235" s="4"/>
      <c r="X235" s="4"/>
      <c r="Y235" s="4"/>
      <c r="Z235" s="4"/>
      <c r="AA235" s="4"/>
      <c r="AB235" s="4"/>
      <c r="AC235" s="4"/>
      <c r="AD235" s="4"/>
      <c r="AE235" s="4" t="s">
        <v>1450</v>
      </c>
      <c r="AF235" s="4" t="s">
        <v>1451</v>
      </c>
      <c r="AG235" s="4"/>
    </row>
    <row r="236">
      <c r="A236" s="5" t="s">
        <v>1452</v>
      </c>
      <c r="B236" s="5" t="s">
        <v>1453</v>
      </c>
      <c r="C236" s="5" t="s">
        <v>210</v>
      </c>
      <c r="D236" s="5" t="s">
        <v>307</v>
      </c>
      <c r="E236" s="4"/>
      <c r="F236" s="4"/>
      <c r="G236" s="5" t="s">
        <v>1454</v>
      </c>
      <c r="H236" s="4"/>
      <c r="I236" s="5" t="s">
        <v>1455</v>
      </c>
      <c r="J236" s="5"/>
      <c r="K236" s="5"/>
      <c r="L236" s="4"/>
      <c r="M236" s="5" t="s">
        <v>263</v>
      </c>
      <c r="N236" s="5" t="s">
        <v>1449</v>
      </c>
      <c r="O236" s="5" t="s">
        <v>1319</v>
      </c>
      <c r="P236" s="5"/>
      <c r="Q236" s="4"/>
      <c r="R236" s="4"/>
      <c r="S236" s="4"/>
      <c r="T236" s="4"/>
      <c r="U236" s="4"/>
      <c r="V236" s="4"/>
      <c r="W236" s="4"/>
      <c r="X236" s="4"/>
      <c r="Y236" s="4"/>
      <c r="Z236" s="4"/>
      <c r="AA236" s="4"/>
      <c r="AB236" s="4"/>
      <c r="AC236" s="4"/>
      <c r="AD236" s="4"/>
      <c r="AE236" s="4" t="s">
        <v>1450</v>
      </c>
      <c r="AF236" s="4" t="s">
        <v>1456</v>
      </c>
      <c r="AG236" s="4"/>
    </row>
    <row r="237">
      <c r="A237" s="5" t="s">
        <v>1457</v>
      </c>
      <c r="B237" s="5" t="s">
        <v>1458</v>
      </c>
      <c r="C237" s="5" t="s">
        <v>210</v>
      </c>
      <c r="D237" s="5" t="s">
        <v>307</v>
      </c>
      <c r="E237" s="4"/>
      <c r="F237" s="4"/>
      <c r="G237" s="5"/>
      <c r="H237" s="4"/>
      <c r="I237" s="5"/>
      <c r="J237" s="5"/>
      <c r="K237" s="5"/>
      <c r="L237" s="4"/>
      <c r="M237" s="4"/>
      <c r="N237" s="5"/>
      <c r="O237" s="5"/>
      <c r="P237" s="5"/>
      <c r="Q237" s="4"/>
      <c r="R237" s="4"/>
      <c r="S237" s="4"/>
      <c r="T237" s="4"/>
      <c r="U237" s="4"/>
      <c r="V237" s="4"/>
      <c r="W237" s="4"/>
      <c r="X237" s="4"/>
      <c r="Y237" s="4"/>
      <c r="Z237" s="4"/>
      <c r="AA237" s="4"/>
      <c r="AB237" s="4"/>
      <c r="AC237" s="4"/>
      <c r="AD237" s="4"/>
      <c r="AE237" s="4" t="s">
        <v>1450</v>
      </c>
      <c r="AF237" s="4" t="s">
        <v>1459</v>
      </c>
      <c r="AG237" s="4"/>
    </row>
    <row r="238">
      <c r="A238" s="5" t="s">
        <v>1460</v>
      </c>
      <c r="B238" s="5" t="s">
        <v>1461</v>
      </c>
      <c r="C238" s="5" t="s">
        <v>210</v>
      </c>
      <c r="D238" s="5" t="s">
        <v>39</v>
      </c>
      <c r="E238" s="5"/>
      <c r="F238" s="4"/>
      <c r="G238" s="5" t="s">
        <v>1462</v>
      </c>
      <c r="H238" s="4" t="s">
        <v>1463</v>
      </c>
      <c r="I238" s="5" t="s">
        <v>1464</v>
      </c>
      <c r="J238" s="5"/>
      <c r="K238" s="5"/>
      <c r="L238" s="4"/>
      <c r="M238" s="5" t="s">
        <v>241</v>
      </c>
      <c r="N238" s="5" t="s">
        <v>1465</v>
      </c>
      <c r="O238" s="5" t="s">
        <v>1466</v>
      </c>
      <c r="P238" s="5" t="s">
        <v>1467</v>
      </c>
      <c r="Q238" s="5"/>
      <c r="R238" s="5"/>
      <c r="S238" s="4"/>
      <c r="T238" s="4"/>
      <c r="U238" s="4"/>
      <c r="V238" s="4"/>
      <c r="W238" s="4"/>
      <c r="X238" s="4"/>
      <c r="Y238" s="4"/>
      <c r="Z238" s="4"/>
      <c r="AA238" s="4"/>
      <c r="AB238" s="4"/>
      <c r="AC238" s="4"/>
      <c r="AD238" s="4"/>
      <c r="AE238" s="4" t="s">
        <v>1287</v>
      </c>
      <c r="AF238" s="4" t="s">
        <v>1468</v>
      </c>
      <c r="AG238" s="4"/>
    </row>
    <row r="239">
      <c r="A239" s="5" t="s">
        <v>1469</v>
      </c>
      <c r="B239" s="5" t="s">
        <v>1470</v>
      </c>
      <c r="C239" s="5" t="s">
        <v>210</v>
      </c>
      <c r="D239" s="5" t="s">
        <v>257</v>
      </c>
      <c r="E239" s="4"/>
      <c r="F239" s="4"/>
      <c r="G239" s="4" t="s">
        <v>1471</v>
      </c>
      <c r="H239" s="4" t="s">
        <v>1472</v>
      </c>
      <c r="I239" s="5" t="s">
        <v>1473</v>
      </c>
      <c r="J239" s="4"/>
      <c r="K239" s="4"/>
      <c r="L239" s="4"/>
      <c r="M239" s="4" t="s">
        <v>263</v>
      </c>
      <c r="N239" s="5" t="s">
        <v>1474</v>
      </c>
      <c r="O239" s="4" t="s">
        <v>1354</v>
      </c>
      <c r="P239" s="5" t="s">
        <v>1475</v>
      </c>
      <c r="Q239" s="4"/>
      <c r="R239" s="4"/>
      <c r="S239" s="4"/>
      <c r="T239" s="4" t="s">
        <v>1243</v>
      </c>
      <c r="U239" s="4"/>
      <c r="V239" s="4"/>
      <c r="W239" s="4"/>
      <c r="X239" s="4" t="s">
        <v>1476</v>
      </c>
      <c r="Y239" s="4" t="s">
        <v>553</v>
      </c>
      <c r="Z239" s="4"/>
      <c r="AA239" s="4"/>
      <c r="AB239" s="4"/>
      <c r="AC239" s="4"/>
      <c r="AD239" s="4"/>
      <c r="AE239" s="4"/>
      <c r="AF239" s="4" t="s">
        <v>1477</v>
      </c>
      <c r="AG239" s="4"/>
    </row>
    <row r="240">
      <c r="A240" s="5" t="s">
        <v>1478</v>
      </c>
      <c r="B240" s="5" t="s">
        <v>1479</v>
      </c>
      <c r="C240" s="5" t="s">
        <v>210</v>
      </c>
      <c r="D240" s="5" t="s">
        <v>257</v>
      </c>
      <c r="E240" s="4"/>
      <c r="F240" s="4"/>
      <c r="G240" s="4" t="s">
        <v>1480</v>
      </c>
      <c r="H240" s="4"/>
      <c r="I240" s="5" t="s">
        <v>1481</v>
      </c>
      <c r="J240" s="5"/>
      <c r="K240" s="5"/>
      <c r="L240" s="4"/>
      <c r="M240" s="5" t="s">
        <v>1250</v>
      </c>
      <c r="N240" s="5" t="s">
        <v>1482</v>
      </c>
      <c r="O240" s="5" t="s">
        <v>1483</v>
      </c>
      <c r="P240" s="5" t="s">
        <v>1484</v>
      </c>
      <c r="Q240" s="5"/>
      <c r="R240" s="5"/>
      <c r="S240" s="4"/>
      <c r="T240" s="4" t="s">
        <v>1485</v>
      </c>
      <c r="U240" s="4"/>
      <c r="V240" s="4" t="s">
        <v>1486</v>
      </c>
      <c r="W240" s="6">
        <v>1.0</v>
      </c>
      <c r="X240" s="4" t="s">
        <v>1487</v>
      </c>
      <c r="Y240" s="4"/>
      <c r="Z240" s="4"/>
      <c r="AA240" s="4"/>
      <c r="AB240" s="4" t="s">
        <v>1488</v>
      </c>
      <c r="AC240" s="4" t="s">
        <v>1489</v>
      </c>
      <c r="AD240" s="4"/>
      <c r="AE240" s="4"/>
      <c r="AF240" s="4" t="s">
        <v>1490</v>
      </c>
      <c r="AG240" s="4"/>
    </row>
    <row r="241">
      <c r="A241" s="5" t="s">
        <v>1491</v>
      </c>
      <c r="B241" s="5" t="s">
        <v>1492</v>
      </c>
      <c r="C241" s="5" t="s">
        <v>210</v>
      </c>
      <c r="D241" s="5" t="s">
        <v>257</v>
      </c>
      <c r="E241" s="4"/>
      <c r="F241" s="4"/>
      <c r="G241" s="5" t="s">
        <v>1493</v>
      </c>
      <c r="H241" s="4"/>
      <c r="I241" s="5" t="s">
        <v>1494</v>
      </c>
      <c r="J241" s="5"/>
      <c r="K241" s="5"/>
      <c r="L241" s="4"/>
      <c r="M241" s="5" t="s">
        <v>263</v>
      </c>
      <c r="N241" s="5" t="s">
        <v>1495</v>
      </c>
      <c r="O241" s="5" t="s">
        <v>1483</v>
      </c>
      <c r="P241" s="4" t="s">
        <v>1496</v>
      </c>
      <c r="Q241" s="4"/>
      <c r="R241" s="4"/>
      <c r="S241" s="4"/>
      <c r="T241" s="4" t="s">
        <v>1497</v>
      </c>
      <c r="U241" s="4"/>
      <c r="V241" s="4" t="s">
        <v>287</v>
      </c>
      <c r="W241" s="6">
        <v>2.0</v>
      </c>
      <c r="X241" s="4" t="s">
        <v>1476</v>
      </c>
      <c r="Y241" s="4"/>
      <c r="Z241" s="4"/>
      <c r="AA241" s="4"/>
      <c r="AB241" s="4" t="s">
        <v>873</v>
      </c>
      <c r="AC241" s="4" t="s">
        <v>1498</v>
      </c>
      <c r="AD241" s="4"/>
      <c r="AE241" s="4"/>
      <c r="AF241" s="4" t="s">
        <v>1499</v>
      </c>
      <c r="AG241" s="4"/>
    </row>
    <row r="242">
      <c r="A242" s="5" t="s">
        <v>1500</v>
      </c>
      <c r="B242" s="5" t="s">
        <v>1501</v>
      </c>
      <c r="C242" s="5" t="s">
        <v>38</v>
      </c>
      <c r="D242" s="5" t="s">
        <v>257</v>
      </c>
      <c r="E242" s="4"/>
      <c r="F242" s="4"/>
      <c r="G242" s="5"/>
      <c r="H242" s="4"/>
      <c r="I242" s="5" t="s">
        <v>1502</v>
      </c>
      <c r="J242" s="5"/>
      <c r="K242" s="5"/>
      <c r="L242" s="4"/>
      <c r="M242" s="5" t="s">
        <v>1250</v>
      </c>
      <c r="N242" s="5" t="s">
        <v>1503</v>
      </c>
      <c r="O242" s="5"/>
      <c r="P242" s="5"/>
      <c r="Q242" s="4"/>
      <c r="R242" s="4"/>
      <c r="S242" s="4"/>
      <c r="T242" s="4"/>
      <c r="U242" s="4"/>
      <c r="V242" s="4"/>
      <c r="W242" s="4"/>
      <c r="X242" s="4"/>
      <c r="Y242" s="4"/>
      <c r="Z242" s="4"/>
      <c r="AA242" s="4"/>
      <c r="AB242" s="4"/>
      <c r="AC242" s="4"/>
      <c r="AD242" s="4"/>
      <c r="AE242" s="4"/>
      <c r="AF242" s="4" t="s">
        <v>1504</v>
      </c>
      <c r="AG242" s="4"/>
    </row>
    <row r="243">
      <c r="A243" s="5" t="s">
        <v>1505</v>
      </c>
      <c r="B243" s="5" t="s">
        <v>1506</v>
      </c>
      <c r="C243" s="5" t="s">
        <v>78</v>
      </c>
      <c r="D243" s="5" t="s">
        <v>257</v>
      </c>
      <c r="E243" s="4"/>
      <c r="F243" s="4"/>
      <c r="G243" s="5" t="s">
        <v>1507</v>
      </c>
      <c r="H243" s="4"/>
      <c r="I243" s="5" t="s">
        <v>1508</v>
      </c>
      <c r="J243" s="5" t="s">
        <v>1509</v>
      </c>
      <c r="K243" s="4" t="s">
        <v>1510</v>
      </c>
      <c r="L243" s="4"/>
      <c r="M243" s="5" t="s">
        <v>263</v>
      </c>
      <c r="N243" s="5" t="s">
        <v>1511</v>
      </c>
      <c r="O243" s="5" t="s">
        <v>404</v>
      </c>
      <c r="P243" s="4"/>
      <c r="Q243" s="4"/>
      <c r="R243" s="4"/>
      <c r="S243" s="4"/>
      <c r="T243" s="4"/>
      <c r="U243" s="4"/>
      <c r="V243" s="4"/>
      <c r="W243" s="4"/>
      <c r="X243" s="4"/>
      <c r="Y243" s="4"/>
      <c r="Z243" s="4"/>
      <c r="AA243" s="4"/>
      <c r="AB243" s="4"/>
      <c r="AC243" s="4"/>
      <c r="AD243" s="4"/>
      <c r="AE243" s="4"/>
      <c r="AF243" s="4" t="s">
        <v>1512</v>
      </c>
      <c r="AG243" s="4"/>
    </row>
    <row r="244">
      <c r="A244" s="5" t="s">
        <v>1513</v>
      </c>
      <c r="B244" s="5" t="s">
        <v>1514</v>
      </c>
      <c r="C244" s="5" t="s">
        <v>210</v>
      </c>
      <c r="D244" s="5" t="s">
        <v>330</v>
      </c>
      <c r="E244" s="4"/>
      <c r="F244" s="4"/>
      <c r="G244" s="5" t="s">
        <v>1515</v>
      </c>
      <c r="H244" s="4"/>
      <c r="I244" s="5" t="s">
        <v>1516</v>
      </c>
      <c r="J244" s="5"/>
      <c r="K244" s="5"/>
      <c r="L244" s="4"/>
      <c r="M244" s="5" t="s">
        <v>299</v>
      </c>
      <c r="N244" s="5" t="s">
        <v>1517</v>
      </c>
      <c r="O244" s="5" t="s">
        <v>1518</v>
      </c>
      <c r="P244" s="5"/>
      <c r="Q244" s="5"/>
      <c r="R244" s="4"/>
      <c r="S244" s="4"/>
      <c r="T244" s="4"/>
      <c r="U244" s="4"/>
      <c r="V244" s="4"/>
      <c r="W244" s="4"/>
      <c r="X244" s="4"/>
      <c r="Y244" s="4"/>
      <c r="Z244" s="4"/>
      <c r="AA244" s="4"/>
      <c r="AB244" s="4"/>
      <c r="AC244" s="4"/>
      <c r="AD244" s="4"/>
      <c r="AE244" s="4"/>
      <c r="AF244" s="4" t="s">
        <v>1519</v>
      </c>
      <c r="AG244" s="4"/>
    </row>
    <row r="245">
      <c r="A245" s="5" t="s">
        <v>1520</v>
      </c>
      <c r="B245" s="5" t="s">
        <v>1521</v>
      </c>
      <c r="C245" s="5" t="s">
        <v>210</v>
      </c>
      <c r="D245" s="5" t="s">
        <v>257</v>
      </c>
      <c r="E245" s="4"/>
      <c r="F245" s="4"/>
      <c r="G245" s="4" t="s">
        <v>1522</v>
      </c>
      <c r="H245" s="5"/>
      <c r="I245" s="5" t="s">
        <v>1523</v>
      </c>
      <c r="J245" s="4"/>
      <c r="K245" s="4"/>
      <c r="L245" s="4"/>
      <c r="M245" s="5" t="s">
        <v>263</v>
      </c>
      <c r="N245" s="5" t="s">
        <v>1524</v>
      </c>
      <c r="O245" s="5" t="s">
        <v>1483</v>
      </c>
      <c r="P245" s="5" t="s">
        <v>1525</v>
      </c>
      <c r="Q245" s="4"/>
      <c r="R245" s="4"/>
      <c r="S245" s="4"/>
      <c r="T245" s="4"/>
      <c r="U245" s="4"/>
      <c r="V245" s="4"/>
      <c r="W245" s="4"/>
      <c r="X245" s="4"/>
      <c r="Y245" s="4"/>
      <c r="Z245" s="4"/>
      <c r="AA245" s="4"/>
      <c r="AB245" s="4" t="s">
        <v>220</v>
      </c>
      <c r="AC245" s="4" t="s">
        <v>1526</v>
      </c>
      <c r="AD245" s="4"/>
      <c r="AE245" s="4"/>
      <c r="AF245" s="4" t="s">
        <v>1527</v>
      </c>
      <c r="AG245" s="4"/>
    </row>
    <row r="246">
      <c r="A246" s="5" t="s">
        <v>1528</v>
      </c>
      <c r="B246" s="5" t="s">
        <v>1529</v>
      </c>
      <c r="C246" s="5" t="s">
        <v>38</v>
      </c>
      <c r="D246" s="5" t="s">
        <v>257</v>
      </c>
      <c r="E246" s="4"/>
      <c r="F246" s="4"/>
      <c r="G246" s="4" t="s">
        <v>1530</v>
      </c>
      <c r="H246" s="5"/>
      <c r="I246" s="5" t="s">
        <v>1531</v>
      </c>
      <c r="J246" s="4"/>
      <c r="K246" s="4"/>
      <c r="L246" s="4"/>
      <c r="M246" s="5" t="s">
        <v>1250</v>
      </c>
      <c r="N246" s="5" t="s">
        <v>1532</v>
      </c>
      <c r="O246" s="5" t="s">
        <v>1533</v>
      </c>
      <c r="P246" s="5"/>
      <c r="Q246" s="4"/>
      <c r="R246" s="4"/>
      <c r="S246" s="4"/>
      <c r="T246" s="4"/>
      <c r="U246" s="4"/>
      <c r="V246" s="4" t="s">
        <v>287</v>
      </c>
      <c r="W246" s="6">
        <v>1.0</v>
      </c>
      <c r="X246" s="4"/>
      <c r="Y246" s="4"/>
      <c r="Z246" s="4"/>
      <c r="AA246" s="4"/>
      <c r="AB246" s="4" t="s">
        <v>288</v>
      </c>
      <c r="AC246" s="4" t="s">
        <v>1534</v>
      </c>
      <c r="AD246" s="4"/>
      <c r="AE246" s="4"/>
      <c r="AF246" s="4" t="s">
        <v>1535</v>
      </c>
      <c r="AG246" s="4"/>
    </row>
    <row r="247">
      <c r="A247" s="5" t="s">
        <v>1536</v>
      </c>
      <c r="B247" s="5" t="s">
        <v>1537</v>
      </c>
      <c r="C247" s="5" t="s">
        <v>38</v>
      </c>
      <c r="D247" s="5" t="s">
        <v>47</v>
      </c>
      <c r="E247" s="4"/>
      <c r="F247" s="4"/>
      <c r="G247" s="4" t="s">
        <v>1538</v>
      </c>
      <c r="H247" s="4" t="s">
        <v>1539</v>
      </c>
      <c r="I247" s="5" t="s">
        <v>1540</v>
      </c>
      <c r="J247" s="4"/>
      <c r="K247" s="4"/>
      <c r="L247" s="4"/>
      <c r="M247" s="5" t="s">
        <v>299</v>
      </c>
      <c r="N247" s="5" t="s">
        <v>1541</v>
      </c>
      <c r="O247" s="5" t="s">
        <v>1542</v>
      </c>
      <c r="P247" s="5" t="s">
        <v>1543</v>
      </c>
      <c r="Q247" s="4"/>
      <c r="R247" s="4"/>
      <c r="S247" s="4"/>
      <c r="T247" s="4"/>
      <c r="U247" s="4"/>
      <c r="V247" s="4"/>
      <c r="W247" s="4"/>
      <c r="X247" s="4"/>
      <c r="Y247" s="4"/>
      <c r="Z247" s="4"/>
      <c r="AA247" s="4"/>
      <c r="AB247" s="4"/>
      <c r="AC247" s="4"/>
      <c r="AD247" s="4"/>
      <c r="AE247" s="4"/>
      <c r="AF247" s="4" t="s">
        <v>1544</v>
      </c>
      <c r="AG247" s="4"/>
    </row>
    <row r="248">
      <c r="A248" s="5" t="s">
        <v>1545</v>
      </c>
      <c r="B248" s="5" t="s">
        <v>1546</v>
      </c>
      <c r="C248" s="5" t="s">
        <v>38</v>
      </c>
      <c r="D248" s="5" t="s">
        <v>257</v>
      </c>
      <c r="E248" s="4"/>
      <c r="F248" s="4"/>
      <c r="G248" s="5" t="s">
        <v>1547</v>
      </c>
      <c r="H248" s="4"/>
      <c r="I248" s="5" t="s">
        <v>1548</v>
      </c>
      <c r="J248" s="4"/>
      <c r="K248" s="4"/>
      <c r="L248" s="4"/>
      <c r="M248" s="5" t="s">
        <v>1250</v>
      </c>
      <c r="N248" s="5" t="s">
        <v>1549</v>
      </c>
      <c r="O248" s="5" t="s">
        <v>1550</v>
      </c>
      <c r="P248" s="4"/>
      <c r="Q248" s="4"/>
      <c r="R248" s="4"/>
      <c r="S248" s="4"/>
      <c r="T248" s="4"/>
      <c r="U248" s="4"/>
      <c r="V248" s="5"/>
      <c r="W248" s="5"/>
      <c r="X248" s="4"/>
      <c r="Y248" s="4"/>
      <c r="Z248" s="4"/>
      <c r="AA248" s="4"/>
      <c r="AB248" s="5"/>
      <c r="AC248" s="5"/>
      <c r="AD248" s="4"/>
      <c r="AE248" s="4"/>
      <c r="AF248" s="4" t="s">
        <v>1551</v>
      </c>
      <c r="AG248" s="4"/>
    </row>
    <row r="249">
      <c r="A249" s="5" t="s">
        <v>1547</v>
      </c>
      <c r="B249" s="5" t="s">
        <v>1552</v>
      </c>
      <c r="C249" s="5" t="s">
        <v>38</v>
      </c>
      <c r="D249" s="5" t="s">
        <v>257</v>
      </c>
      <c r="E249" s="4"/>
      <c r="F249" s="4"/>
      <c r="G249" s="5" t="s">
        <v>1545</v>
      </c>
      <c r="H249" s="4"/>
      <c r="I249" s="5" t="s">
        <v>1553</v>
      </c>
      <c r="J249" s="4"/>
      <c r="K249" s="4"/>
      <c r="L249" s="4"/>
      <c r="M249" s="5" t="s">
        <v>263</v>
      </c>
      <c r="N249" s="5" t="s">
        <v>1554</v>
      </c>
      <c r="O249" s="5" t="s">
        <v>1550</v>
      </c>
      <c r="P249" s="4"/>
      <c r="Q249" s="4"/>
      <c r="R249" s="4"/>
      <c r="S249" s="4"/>
      <c r="T249" s="4"/>
      <c r="U249" s="4"/>
      <c r="V249" s="4"/>
      <c r="W249" s="4"/>
      <c r="X249" s="4"/>
      <c r="Y249" s="4"/>
      <c r="Z249" s="4"/>
      <c r="AA249" s="4"/>
      <c r="AB249" s="4"/>
      <c r="AC249" s="4"/>
      <c r="AD249" s="4"/>
      <c r="AE249" s="4"/>
      <c r="AF249" s="4" t="s">
        <v>1555</v>
      </c>
      <c r="AG249" s="4"/>
    </row>
    <row r="250">
      <c r="A250" s="5" t="s">
        <v>1556</v>
      </c>
      <c r="B250" s="5" t="s">
        <v>1557</v>
      </c>
      <c r="C250" s="5" t="s">
        <v>38</v>
      </c>
      <c r="D250" s="5" t="s">
        <v>257</v>
      </c>
      <c r="E250" s="4"/>
      <c r="F250" s="4"/>
      <c r="G250" s="4" t="s">
        <v>1558</v>
      </c>
      <c r="H250" s="5"/>
      <c r="I250" s="5" t="s">
        <v>1559</v>
      </c>
      <c r="J250" s="4"/>
      <c r="K250" s="4" t="s">
        <v>1560</v>
      </c>
      <c r="L250" s="4"/>
      <c r="M250" s="5" t="s">
        <v>263</v>
      </c>
      <c r="N250" s="5" t="s">
        <v>1561</v>
      </c>
      <c r="O250" s="5" t="s">
        <v>1562</v>
      </c>
      <c r="P250" s="5" t="s">
        <v>1563</v>
      </c>
      <c r="Q250" s="4"/>
      <c r="R250" s="4"/>
      <c r="S250" s="4"/>
      <c r="T250" s="4"/>
      <c r="U250" s="4"/>
      <c r="V250" s="4" t="s">
        <v>270</v>
      </c>
      <c r="W250" s="6">
        <v>1.0</v>
      </c>
      <c r="X250" s="4"/>
      <c r="Y250" s="4"/>
      <c r="Z250" s="4"/>
      <c r="AA250" s="4"/>
      <c r="AB250" s="4" t="s">
        <v>1564</v>
      </c>
      <c r="AC250" s="4" t="s">
        <v>1565</v>
      </c>
      <c r="AD250" s="4"/>
      <c r="AE250" s="4"/>
      <c r="AF250" s="4" t="s">
        <v>1566</v>
      </c>
      <c r="AG250" s="4"/>
    </row>
    <row r="251">
      <c r="A251" s="5" t="s">
        <v>1567</v>
      </c>
      <c r="B251" s="5" t="s">
        <v>1568</v>
      </c>
      <c r="C251" s="5" t="s">
        <v>38</v>
      </c>
      <c r="D251" s="5" t="s">
        <v>257</v>
      </c>
      <c r="E251" s="5"/>
      <c r="F251" s="4"/>
      <c r="G251" s="5" t="s">
        <v>1569</v>
      </c>
      <c r="H251" s="5"/>
      <c r="I251" s="5" t="s">
        <v>1570</v>
      </c>
      <c r="J251" s="5"/>
      <c r="K251" s="5" t="s">
        <v>1571</v>
      </c>
      <c r="L251" s="4"/>
      <c r="M251" s="5" t="s">
        <v>263</v>
      </c>
      <c r="N251" s="5" t="s">
        <v>1572</v>
      </c>
      <c r="O251" s="5" t="s">
        <v>1562</v>
      </c>
      <c r="P251" s="5" t="s">
        <v>1573</v>
      </c>
      <c r="Q251" s="4"/>
      <c r="R251" s="4"/>
      <c r="S251" s="4"/>
      <c r="T251" s="5"/>
      <c r="U251" s="5"/>
      <c r="V251" s="4" t="s">
        <v>287</v>
      </c>
      <c r="W251" s="6">
        <v>1.0</v>
      </c>
      <c r="X251" s="4"/>
      <c r="Y251" s="4"/>
      <c r="Z251" s="4"/>
      <c r="AA251" s="4"/>
      <c r="AB251" s="4" t="s">
        <v>288</v>
      </c>
      <c r="AC251" s="4" t="s">
        <v>1574</v>
      </c>
      <c r="AD251" s="4"/>
      <c r="AE251" s="4"/>
      <c r="AF251" s="4" t="s">
        <v>1575</v>
      </c>
      <c r="AG251" s="4"/>
    </row>
    <row r="252">
      <c r="A252" s="5" t="s">
        <v>1576</v>
      </c>
      <c r="B252" s="5" t="s">
        <v>1577</v>
      </c>
      <c r="C252" s="5" t="s">
        <v>210</v>
      </c>
      <c r="D252" s="5" t="s">
        <v>35</v>
      </c>
      <c r="E252" s="5"/>
      <c r="F252" s="4"/>
      <c r="G252" s="5" t="s">
        <v>1578</v>
      </c>
      <c r="H252" s="4" t="s">
        <v>1579</v>
      </c>
      <c r="I252" s="5" t="s">
        <v>1580</v>
      </c>
      <c r="J252" s="4"/>
      <c r="K252" s="4"/>
      <c r="L252" s="4"/>
      <c r="M252" s="4" t="s">
        <v>299</v>
      </c>
      <c r="N252" s="5" t="s">
        <v>1581</v>
      </c>
      <c r="O252" s="4" t="s">
        <v>1311</v>
      </c>
      <c r="P252" s="4" t="s">
        <v>1582</v>
      </c>
      <c r="Q252" s="4"/>
      <c r="R252" s="4"/>
      <c r="S252" s="4"/>
      <c r="T252" s="4"/>
      <c r="U252" s="4"/>
      <c r="V252" s="4"/>
      <c r="W252" s="4"/>
      <c r="X252" s="4"/>
      <c r="Y252" s="4"/>
      <c r="Z252" s="4"/>
      <c r="AA252" s="4"/>
      <c r="AB252" s="5" t="s">
        <v>220</v>
      </c>
      <c r="AC252" s="5" t="s">
        <v>1583</v>
      </c>
      <c r="AD252" s="4"/>
      <c r="AE252" s="4"/>
      <c r="AF252" s="4"/>
      <c r="AG252" s="4"/>
    </row>
    <row r="253">
      <c r="A253" s="5" t="s">
        <v>1584</v>
      </c>
      <c r="B253" s="5" t="s">
        <v>1585</v>
      </c>
      <c r="C253" s="5" t="s">
        <v>210</v>
      </c>
      <c r="D253" s="5" t="s">
        <v>35</v>
      </c>
      <c r="E253" s="5" t="s">
        <v>1586</v>
      </c>
      <c r="F253" s="4"/>
      <c r="G253" s="5" t="s">
        <v>1587</v>
      </c>
      <c r="H253" s="4" t="s">
        <v>558</v>
      </c>
      <c r="I253" s="5" t="s">
        <v>1382</v>
      </c>
      <c r="J253" s="4"/>
      <c r="K253" s="4"/>
      <c r="L253" s="4"/>
      <c r="M253" s="4" t="s">
        <v>299</v>
      </c>
      <c r="N253" s="5" t="s">
        <v>1383</v>
      </c>
      <c r="O253" s="4" t="s">
        <v>1113</v>
      </c>
      <c r="P253" s="4" t="s">
        <v>1588</v>
      </c>
      <c r="Q253" s="4"/>
      <c r="R253" s="4"/>
      <c r="S253" s="4"/>
      <c r="T253" s="4" t="s">
        <v>468</v>
      </c>
      <c r="U253" s="4"/>
      <c r="V253" s="4"/>
      <c r="W253" s="4"/>
      <c r="X253" s="4" t="s">
        <v>1385</v>
      </c>
      <c r="Y253" s="4" t="s">
        <v>471</v>
      </c>
      <c r="Z253" s="4"/>
      <c r="AA253" s="4"/>
      <c r="AB253" s="5"/>
      <c r="AC253" s="5"/>
      <c r="AD253" s="4"/>
      <c r="AE253" s="4"/>
      <c r="AF253" s="4"/>
      <c r="AG253" s="4"/>
    </row>
    <row r="254">
      <c r="A254" s="5" t="s">
        <v>1589</v>
      </c>
      <c r="B254" s="5" t="s">
        <v>1590</v>
      </c>
      <c r="C254" s="5" t="s">
        <v>38</v>
      </c>
      <c r="D254" s="5" t="s">
        <v>39</v>
      </c>
      <c r="E254" s="5"/>
      <c r="F254" s="4"/>
      <c r="G254" s="5" t="s">
        <v>1591</v>
      </c>
      <c r="H254" s="4"/>
      <c r="I254" s="5" t="s">
        <v>345</v>
      </c>
      <c r="J254" s="4"/>
      <c r="K254" s="4"/>
      <c r="L254" s="4"/>
      <c r="M254" s="5" t="s">
        <v>346</v>
      </c>
      <c r="N254" s="5" t="s">
        <v>1592</v>
      </c>
      <c r="O254" s="5" t="s">
        <v>348</v>
      </c>
      <c r="P254" s="4" t="s">
        <v>1593</v>
      </c>
      <c r="Q254" s="4"/>
      <c r="R254" s="4"/>
      <c r="S254" s="4"/>
      <c r="T254" s="4"/>
      <c r="U254" s="5"/>
      <c r="V254" s="4"/>
      <c r="W254" s="4"/>
      <c r="X254" s="4"/>
      <c r="Y254" s="4"/>
      <c r="Z254" s="4"/>
      <c r="AA254" s="4"/>
      <c r="AB254" s="5"/>
      <c r="AC254" s="5"/>
      <c r="AD254" s="4"/>
      <c r="AE254" s="4"/>
      <c r="AF254" s="4"/>
      <c r="AG254" s="4"/>
    </row>
    <row r="255">
      <c r="A255" s="5" t="s">
        <v>1594</v>
      </c>
      <c r="B255" s="5" t="s">
        <v>1595</v>
      </c>
      <c r="C255" s="5" t="s">
        <v>38</v>
      </c>
      <c r="D255" s="5" t="s">
        <v>257</v>
      </c>
      <c r="E255" s="5"/>
      <c r="F255" s="4"/>
      <c r="G255" s="5" t="s">
        <v>1596</v>
      </c>
      <c r="H255" s="4"/>
      <c r="I255" s="5" t="s">
        <v>1597</v>
      </c>
      <c r="J255" s="4"/>
      <c r="K255" s="4"/>
      <c r="L255" s="4"/>
      <c r="M255" s="5" t="s">
        <v>1250</v>
      </c>
      <c r="N255" s="5" t="s">
        <v>1598</v>
      </c>
      <c r="O255" s="5" t="s">
        <v>1599</v>
      </c>
      <c r="P255" s="5"/>
      <c r="Q255" s="4"/>
      <c r="R255" s="4"/>
      <c r="S255" s="4"/>
      <c r="T255" s="4"/>
      <c r="U255" s="5"/>
      <c r="V255" s="4" t="s">
        <v>1193</v>
      </c>
      <c r="W255" s="6">
        <v>1.0</v>
      </c>
      <c r="X255" s="4"/>
      <c r="Y255" s="4"/>
      <c r="Z255" s="4"/>
      <c r="AA255" s="4"/>
      <c r="AB255" s="5" t="s">
        <v>1195</v>
      </c>
      <c r="AC255" s="5" t="s">
        <v>1600</v>
      </c>
      <c r="AD255" s="4"/>
      <c r="AE255" s="4"/>
      <c r="AF255" s="4"/>
      <c r="AG255" s="4"/>
    </row>
    <row r="256">
      <c r="A256" s="5" t="s">
        <v>1601</v>
      </c>
      <c r="B256" s="5" t="s">
        <v>1602</v>
      </c>
      <c r="C256" s="5" t="s">
        <v>38</v>
      </c>
      <c r="D256" s="5" t="s">
        <v>47</v>
      </c>
      <c r="E256" s="5"/>
      <c r="F256" s="4"/>
      <c r="G256" s="5" t="s">
        <v>1603</v>
      </c>
      <c r="H256" s="4"/>
      <c r="I256" s="5" t="s">
        <v>1540</v>
      </c>
      <c r="J256" s="4"/>
      <c r="K256" s="4"/>
      <c r="L256" s="4"/>
      <c r="M256" s="5" t="s">
        <v>299</v>
      </c>
      <c r="N256" s="5" t="s">
        <v>1541</v>
      </c>
      <c r="O256" s="5" t="s">
        <v>1542</v>
      </c>
      <c r="P256" s="4" t="s">
        <v>1604</v>
      </c>
      <c r="Q256" s="4"/>
      <c r="R256" s="4"/>
      <c r="S256" s="4"/>
      <c r="T256" s="4"/>
      <c r="U256" s="5"/>
      <c r="V256" s="4"/>
      <c r="W256" s="4"/>
      <c r="X256" s="4"/>
      <c r="Y256" s="4"/>
      <c r="Z256" s="4"/>
      <c r="AA256" s="4"/>
      <c r="AB256" s="5"/>
      <c r="AC256" s="5"/>
      <c r="AD256" s="4"/>
      <c r="AE256" s="4"/>
      <c r="AF256" s="4"/>
      <c r="AG256" s="4"/>
    </row>
    <row r="257">
      <c r="A257" s="5" t="s">
        <v>1282</v>
      </c>
      <c r="B257" s="5" t="s">
        <v>1605</v>
      </c>
      <c r="C257" s="5" t="s">
        <v>38</v>
      </c>
      <c r="D257" s="5" t="s">
        <v>257</v>
      </c>
      <c r="E257" s="5"/>
      <c r="F257" s="4"/>
      <c r="G257" s="4" t="s">
        <v>1606</v>
      </c>
      <c r="H257" s="5"/>
      <c r="I257" s="5" t="s">
        <v>1607</v>
      </c>
      <c r="J257" s="4"/>
      <c r="K257" s="4"/>
      <c r="L257" s="4"/>
      <c r="M257" s="5" t="s">
        <v>1250</v>
      </c>
      <c r="N257" s="5" t="s">
        <v>1608</v>
      </c>
      <c r="O257" s="5" t="s">
        <v>1609</v>
      </c>
      <c r="P257" s="4" t="s">
        <v>1610</v>
      </c>
      <c r="Q257" s="4"/>
      <c r="R257" s="4"/>
      <c r="S257" s="4"/>
      <c r="T257" s="5" t="s">
        <v>1611</v>
      </c>
      <c r="U257" s="5"/>
      <c r="V257" s="4"/>
      <c r="W257" s="4"/>
      <c r="X257" s="4" t="s">
        <v>1612</v>
      </c>
      <c r="Y257" s="4"/>
      <c r="Z257" s="4"/>
      <c r="AA257" s="4"/>
      <c r="AB257" s="4"/>
      <c r="AC257" s="4"/>
      <c r="AD257" s="4"/>
      <c r="AE257" s="4"/>
      <c r="AF257" s="4"/>
      <c r="AG257" s="4"/>
    </row>
    <row r="258">
      <c r="A258" s="5" t="s">
        <v>1613</v>
      </c>
      <c r="B258" s="5" t="s">
        <v>1614</v>
      </c>
      <c r="C258" s="5" t="s">
        <v>38</v>
      </c>
      <c r="D258" s="5" t="s">
        <v>47</v>
      </c>
      <c r="E258" s="5"/>
      <c r="F258" s="4"/>
      <c r="G258" s="5" t="s">
        <v>1615</v>
      </c>
      <c r="H258" s="5" t="s">
        <v>1539</v>
      </c>
      <c r="I258" s="5" t="s">
        <v>1540</v>
      </c>
      <c r="J258" s="4"/>
      <c r="K258" s="4"/>
      <c r="L258" s="4"/>
      <c r="M258" s="5" t="s">
        <v>299</v>
      </c>
      <c r="N258" s="5" t="s">
        <v>1616</v>
      </c>
      <c r="O258" s="5" t="s">
        <v>1542</v>
      </c>
      <c r="P258" s="5" t="s">
        <v>1617</v>
      </c>
      <c r="Q258" s="4"/>
      <c r="R258" s="4"/>
      <c r="S258" s="4"/>
      <c r="T258" s="5"/>
      <c r="U258" s="5"/>
      <c r="V258" s="4"/>
      <c r="W258" s="4"/>
      <c r="X258" s="4"/>
      <c r="Y258" s="4"/>
      <c r="Z258" s="4"/>
      <c r="AA258" s="4"/>
      <c r="AB258" s="4"/>
      <c r="AC258" s="4"/>
      <c r="AD258" s="4" t="s">
        <v>1618</v>
      </c>
      <c r="AE258" s="4"/>
      <c r="AF258" s="4"/>
      <c r="AG258" s="4"/>
    </row>
    <row r="259">
      <c r="A259" s="5" t="s">
        <v>1606</v>
      </c>
      <c r="B259" s="5" t="s">
        <v>1619</v>
      </c>
      <c r="C259" s="5" t="s">
        <v>38</v>
      </c>
      <c r="D259" s="5" t="s">
        <v>257</v>
      </c>
      <c r="E259" s="5"/>
      <c r="F259" s="4"/>
      <c r="G259" s="5"/>
      <c r="H259" s="5" t="s">
        <v>1422</v>
      </c>
      <c r="I259" s="5" t="s">
        <v>1607</v>
      </c>
      <c r="J259" s="4"/>
      <c r="K259" s="4"/>
      <c r="L259" s="4"/>
      <c r="M259" s="5" t="s">
        <v>263</v>
      </c>
      <c r="N259" s="5" t="s">
        <v>1620</v>
      </c>
      <c r="O259" s="5" t="s">
        <v>1609</v>
      </c>
      <c r="P259" s="5" t="s">
        <v>1621</v>
      </c>
      <c r="Q259" s="4"/>
      <c r="R259" s="4"/>
      <c r="S259" s="4"/>
      <c r="T259" s="5" t="s">
        <v>1133</v>
      </c>
      <c r="U259" s="5"/>
      <c r="V259" s="4"/>
      <c r="W259" s="4"/>
      <c r="X259" s="4" t="s">
        <v>1622</v>
      </c>
      <c r="Y259" s="4" t="s">
        <v>1295</v>
      </c>
      <c r="Z259" s="4"/>
      <c r="AA259" s="4"/>
      <c r="AB259" s="4"/>
      <c r="AC259" s="4"/>
      <c r="AD259" s="4"/>
      <c r="AE259" s="4"/>
      <c r="AF259" s="4"/>
      <c r="AG259" s="4"/>
    </row>
    <row r="260">
      <c r="A260" s="5" t="s">
        <v>1623</v>
      </c>
      <c r="B260" s="5" t="s">
        <v>1624</v>
      </c>
      <c r="C260" s="5" t="s">
        <v>210</v>
      </c>
      <c r="D260" s="5" t="s">
        <v>257</v>
      </c>
      <c r="E260" s="5"/>
      <c r="F260" s="4"/>
      <c r="G260" s="5" t="s">
        <v>1625</v>
      </c>
      <c r="H260" s="5"/>
      <c r="I260" s="5" t="s">
        <v>1626</v>
      </c>
      <c r="J260" s="4"/>
      <c r="K260" s="4"/>
      <c r="L260" s="4"/>
      <c r="M260" s="5" t="s">
        <v>263</v>
      </c>
      <c r="N260" s="5" t="s">
        <v>1627</v>
      </c>
      <c r="O260" s="5" t="s">
        <v>1319</v>
      </c>
      <c r="P260" s="5"/>
      <c r="Q260" s="4"/>
      <c r="R260" s="4"/>
      <c r="S260" s="4"/>
      <c r="T260" s="5"/>
      <c r="U260" s="5"/>
      <c r="V260" s="4"/>
      <c r="W260" s="4"/>
      <c r="X260" s="4"/>
      <c r="Y260" s="4"/>
      <c r="Z260" s="4"/>
      <c r="AA260" s="4"/>
      <c r="AB260" s="4"/>
      <c r="AC260" s="4"/>
      <c r="AD260" s="4"/>
      <c r="AE260" s="4"/>
      <c r="AF260" s="4"/>
      <c r="AG260" s="4"/>
    </row>
    <row r="261">
      <c r="A261" s="5" t="s">
        <v>1539</v>
      </c>
      <c r="B261" s="5" t="s">
        <v>1628</v>
      </c>
      <c r="C261" s="5" t="s">
        <v>78</v>
      </c>
      <c r="D261" s="5" t="s">
        <v>257</v>
      </c>
      <c r="E261" s="4"/>
      <c r="F261" s="4"/>
      <c r="G261" s="5" t="s">
        <v>1629</v>
      </c>
      <c r="H261" s="4"/>
      <c r="I261" s="5" t="s">
        <v>1630</v>
      </c>
      <c r="J261" s="4" t="s">
        <v>1631</v>
      </c>
      <c r="K261" s="4" t="s">
        <v>1632</v>
      </c>
      <c r="L261" s="4"/>
      <c r="M261" s="4" t="s">
        <v>263</v>
      </c>
      <c r="N261" s="5" t="s">
        <v>1633</v>
      </c>
      <c r="O261" s="4" t="s">
        <v>404</v>
      </c>
      <c r="P261" s="4" t="s">
        <v>1634</v>
      </c>
      <c r="Q261" s="4" t="s">
        <v>1635</v>
      </c>
      <c r="R261" s="4" t="s">
        <v>1636</v>
      </c>
      <c r="S261" s="4"/>
      <c r="T261" s="4" t="s">
        <v>269</v>
      </c>
      <c r="U261" s="4"/>
      <c r="V261" s="4" t="s">
        <v>270</v>
      </c>
      <c r="W261" s="6">
        <v>1.0</v>
      </c>
      <c r="X261" s="4" t="s">
        <v>1637</v>
      </c>
      <c r="Y261" s="4" t="s">
        <v>272</v>
      </c>
      <c r="Z261" s="4"/>
      <c r="AA261" s="4"/>
      <c r="AB261" s="5" t="s">
        <v>1564</v>
      </c>
      <c r="AC261" s="5" t="s">
        <v>1638</v>
      </c>
      <c r="AD261" s="4"/>
      <c r="AE261" s="4"/>
      <c r="AF261" s="4"/>
      <c r="AG261" s="4"/>
    </row>
    <row r="262">
      <c r="A262" s="5" t="s">
        <v>1639</v>
      </c>
      <c r="B262" s="5" t="s">
        <v>1640</v>
      </c>
      <c r="C262" s="5" t="s">
        <v>38</v>
      </c>
      <c r="D262" s="5" t="s">
        <v>330</v>
      </c>
      <c r="E262" s="4"/>
      <c r="F262" s="4"/>
      <c r="G262" s="4" t="s">
        <v>1641</v>
      </c>
      <c r="H262" s="4" t="s">
        <v>297</v>
      </c>
      <c r="I262" s="4" t="s">
        <v>1642</v>
      </c>
      <c r="J262" s="4"/>
      <c r="K262" s="4"/>
      <c r="L262" s="4"/>
      <c r="M262" s="4" t="s">
        <v>299</v>
      </c>
      <c r="N262" s="4" t="s">
        <v>1643</v>
      </c>
      <c r="O262" s="4" t="s">
        <v>1006</v>
      </c>
      <c r="P262" s="4" t="s">
        <v>1644</v>
      </c>
      <c r="Q262" s="4"/>
      <c r="R262" s="4"/>
      <c r="S262" s="4"/>
      <c r="T262" s="4" t="s">
        <v>302</v>
      </c>
      <c r="U262" s="4"/>
      <c r="V262" s="4"/>
      <c r="W262" s="4"/>
      <c r="X262" s="4"/>
      <c r="Y262" s="4"/>
      <c r="Z262" s="4"/>
      <c r="AA262" s="4"/>
      <c r="AB262" s="5"/>
      <c r="AC262" s="5"/>
      <c r="AD262" s="4"/>
      <c r="AE262" s="4"/>
      <c r="AF262" s="4"/>
      <c r="AG262" s="4"/>
    </row>
    <row r="263">
      <c r="A263" s="5" t="s">
        <v>1645</v>
      </c>
      <c r="B263" s="5" t="s">
        <v>1646</v>
      </c>
      <c r="C263" s="5" t="s">
        <v>38</v>
      </c>
      <c r="D263" s="5" t="s">
        <v>103</v>
      </c>
      <c r="E263" s="4"/>
      <c r="F263" s="4"/>
      <c r="G263" s="4"/>
      <c r="H263" s="4"/>
      <c r="I263" s="4" t="s">
        <v>1647</v>
      </c>
      <c r="J263" s="4"/>
      <c r="K263" s="4"/>
      <c r="L263" s="4"/>
      <c r="M263" s="4" t="s">
        <v>241</v>
      </c>
      <c r="N263" s="4" t="s">
        <v>1648</v>
      </c>
      <c r="O263" s="4"/>
      <c r="P263" s="4" t="s">
        <v>1649</v>
      </c>
      <c r="Q263" s="4"/>
      <c r="R263" s="4"/>
      <c r="S263" s="4"/>
      <c r="T263" s="4"/>
      <c r="U263" s="4"/>
      <c r="V263" s="4"/>
      <c r="W263" s="4"/>
      <c r="X263" s="4"/>
      <c r="Y263" s="4"/>
      <c r="Z263" s="4"/>
      <c r="AA263" s="4"/>
      <c r="AB263" s="5"/>
      <c r="AC263" s="5"/>
      <c r="AD263" s="4"/>
      <c r="AE263" s="4"/>
      <c r="AF263" s="4"/>
      <c r="AG263" s="4"/>
    </row>
    <row r="264">
      <c r="A264" s="5" t="s">
        <v>1650</v>
      </c>
      <c r="B264" s="5" t="s">
        <v>1651</v>
      </c>
      <c r="C264" s="5" t="s">
        <v>210</v>
      </c>
      <c r="D264" s="5" t="s">
        <v>47</v>
      </c>
      <c r="E264" s="4" t="s">
        <v>1652</v>
      </c>
      <c r="F264" s="4"/>
      <c r="G264" s="4" t="s">
        <v>1653</v>
      </c>
      <c r="H264" s="4" t="s">
        <v>1654</v>
      </c>
      <c r="I264" s="4" t="s">
        <v>1655</v>
      </c>
      <c r="J264" s="4"/>
      <c r="K264" s="4"/>
      <c r="L264" s="4"/>
      <c r="M264" s="4" t="s">
        <v>299</v>
      </c>
      <c r="N264" s="4" t="s">
        <v>1656</v>
      </c>
      <c r="O264" s="4" t="s">
        <v>1657</v>
      </c>
      <c r="P264" s="4" t="s">
        <v>1658</v>
      </c>
      <c r="Q264" s="4"/>
      <c r="R264" s="4"/>
      <c r="S264" s="4"/>
      <c r="T264" s="4" t="s">
        <v>217</v>
      </c>
      <c r="U264" s="4" t="s">
        <v>1659</v>
      </c>
      <c r="V264" s="4"/>
      <c r="W264" s="4"/>
      <c r="X264" s="4"/>
      <c r="Y264" s="4"/>
      <c r="Z264" s="4"/>
      <c r="AA264" s="4"/>
      <c r="AB264" s="5"/>
      <c r="AC264" s="5"/>
      <c r="AD264" s="4"/>
      <c r="AE264" s="4"/>
      <c r="AF264" s="4"/>
      <c r="AG264" s="4"/>
    </row>
    <row r="265">
      <c r="A265" s="5" t="s">
        <v>1660</v>
      </c>
      <c r="B265" s="5" t="s">
        <v>1661</v>
      </c>
      <c r="C265" s="5" t="s">
        <v>38</v>
      </c>
      <c r="D265" s="5" t="s">
        <v>324</v>
      </c>
      <c r="E265" s="4"/>
      <c r="F265" s="4"/>
      <c r="G265" s="4"/>
      <c r="H265" s="4" t="s">
        <v>1536</v>
      </c>
      <c r="I265" s="4" t="s">
        <v>1662</v>
      </c>
      <c r="J265" s="4"/>
      <c r="K265" s="4" t="s">
        <v>1663</v>
      </c>
      <c r="L265" s="4"/>
      <c r="M265" s="4" t="s">
        <v>263</v>
      </c>
      <c r="N265" s="4" t="s">
        <v>1664</v>
      </c>
      <c r="O265" s="4"/>
      <c r="P265" s="4"/>
      <c r="Q265" s="4"/>
      <c r="R265" s="4"/>
      <c r="S265" s="4"/>
      <c r="T265" s="4"/>
      <c r="U265" s="4"/>
      <c r="V265" s="4"/>
      <c r="W265" s="4"/>
      <c r="X265" s="4"/>
      <c r="Y265" s="4"/>
      <c r="Z265" s="4"/>
      <c r="AA265" s="4"/>
      <c r="AB265" s="5" t="s">
        <v>220</v>
      </c>
      <c r="AC265" s="5" t="s">
        <v>1665</v>
      </c>
      <c r="AD265" s="4"/>
      <c r="AE265" s="4"/>
      <c r="AF265" s="4"/>
      <c r="AG265" s="4"/>
    </row>
    <row r="266">
      <c r="A266" s="5" t="s">
        <v>1666</v>
      </c>
      <c r="B266" s="5" t="s">
        <v>1667</v>
      </c>
      <c r="C266" s="5" t="s">
        <v>78</v>
      </c>
      <c r="D266" s="5" t="s">
        <v>361</v>
      </c>
      <c r="E266" s="4"/>
      <c r="F266" s="4"/>
      <c r="G266" s="4" t="s">
        <v>1668</v>
      </c>
      <c r="H266" s="4"/>
      <c r="I266" s="4" t="s">
        <v>1669</v>
      </c>
      <c r="J266" s="4"/>
      <c r="K266" s="4"/>
      <c r="L266" s="4"/>
      <c r="M266" s="4" t="s">
        <v>241</v>
      </c>
      <c r="N266" s="4" t="s">
        <v>1670</v>
      </c>
      <c r="O266" s="4"/>
      <c r="P266" s="4" t="s">
        <v>1671</v>
      </c>
      <c r="Q266" s="4"/>
      <c r="R266" s="4"/>
      <c r="S266" s="4"/>
      <c r="T266" s="4"/>
      <c r="U266" s="4"/>
      <c r="V266" s="4"/>
      <c r="W266" s="4"/>
      <c r="X266" s="4"/>
      <c r="Y266" s="4"/>
      <c r="Z266" s="4"/>
      <c r="AA266" s="4"/>
      <c r="AB266" s="5"/>
      <c r="AC266" s="5"/>
      <c r="AD266" s="4"/>
      <c r="AE266" s="4"/>
      <c r="AF266" s="4"/>
      <c r="AG266" s="4"/>
    </row>
    <row r="267">
      <c r="A267" s="5" t="s">
        <v>1672</v>
      </c>
      <c r="B267" s="5" t="s">
        <v>1673</v>
      </c>
      <c r="C267" s="5" t="s">
        <v>78</v>
      </c>
      <c r="D267" s="5" t="s">
        <v>361</v>
      </c>
      <c r="E267" s="4"/>
      <c r="F267" s="4"/>
      <c r="G267" s="4" t="s">
        <v>1674</v>
      </c>
      <c r="H267" s="4"/>
      <c r="I267" s="4" t="s">
        <v>1675</v>
      </c>
      <c r="J267" s="4"/>
      <c r="K267" s="4"/>
      <c r="L267" s="4"/>
      <c r="M267" s="4" t="s">
        <v>241</v>
      </c>
      <c r="N267" s="4" t="s">
        <v>1676</v>
      </c>
      <c r="O267" s="4"/>
      <c r="P267" s="4" t="s">
        <v>1677</v>
      </c>
      <c r="Q267" s="4"/>
      <c r="R267" s="4"/>
      <c r="S267" s="4"/>
      <c r="T267" s="4"/>
      <c r="U267" s="4"/>
      <c r="V267" s="4"/>
      <c r="W267" s="4"/>
      <c r="X267" s="4"/>
      <c r="Y267" s="4"/>
      <c r="Z267" s="4"/>
      <c r="AA267" s="4"/>
      <c r="AB267" s="5"/>
      <c r="AC267" s="5"/>
      <c r="AD267" s="4"/>
      <c r="AE267" s="4"/>
      <c r="AF267" s="4"/>
      <c r="AG267" s="4"/>
    </row>
    <row r="268">
      <c r="A268" s="5" t="s">
        <v>1678</v>
      </c>
      <c r="B268" s="5" t="s">
        <v>1679</v>
      </c>
      <c r="C268" s="5" t="s">
        <v>38</v>
      </c>
      <c r="D268" s="5" t="s">
        <v>39</v>
      </c>
      <c r="E268" s="4"/>
      <c r="F268" s="4"/>
      <c r="G268" s="4"/>
      <c r="H268" s="4" t="s">
        <v>1680</v>
      </c>
      <c r="I268" s="4" t="s">
        <v>1681</v>
      </c>
      <c r="J268" s="4"/>
      <c r="K268" s="4"/>
      <c r="L268" s="4"/>
      <c r="M268" s="4" t="s">
        <v>285</v>
      </c>
      <c r="N268" s="4" t="s">
        <v>1682</v>
      </c>
      <c r="O268" s="4" t="s">
        <v>1683</v>
      </c>
      <c r="P268" s="4"/>
      <c r="Q268" s="4"/>
      <c r="R268" s="4"/>
      <c r="S268" s="4"/>
      <c r="T268" s="4"/>
      <c r="U268" s="4"/>
      <c r="V268" s="4"/>
      <c r="W268" s="4"/>
      <c r="X268" s="4"/>
      <c r="Y268" s="4"/>
      <c r="Z268" s="4"/>
      <c r="AA268" s="4"/>
      <c r="AB268" s="5" t="s">
        <v>220</v>
      </c>
      <c r="AC268" s="5" t="s">
        <v>1684</v>
      </c>
      <c r="AD268" s="4"/>
      <c r="AE268" s="4"/>
      <c r="AF268" s="4"/>
      <c r="AG268" s="4"/>
    </row>
    <row r="269">
      <c r="A269" s="5" t="s">
        <v>1685</v>
      </c>
      <c r="B269" s="5" t="s">
        <v>1686</v>
      </c>
      <c r="C269" s="5" t="s">
        <v>38</v>
      </c>
      <c r="D269" s="5" t="s">
        <v>47</v>
      </c>
      <c r="E269" s="4"/>
      <c r="F269" s="4"/>
      <c r="G269" s="4" t="s">
        <v>1687</v>
      </c>
      <c r="H269" s="4" t="s">
        <v>1688</v>
      </c>
      <c r="I269" s="4" t="s">
        <v>1689</v>
      </c>
      <c r="J269" s="4"/>
      <c r="K269" s="4"/>
      <c r="L269" s="4"/>
      <c r="M269" s="4" t="s">
        <v>299</v>
      </c>
      <c r="N269" s="4" t="s">
        <v>1690</v>
      </c>
      <c r="O269" s="4" t="s">
        <v>1691</v>
      </c>
      <c r="P269" s="4"/>
      <c r="Q269" s="4"/>
      <c r="R269" s="4"/>
      <c r="S269" s="4"/>
      <c r="T269" s="4"/>
      <c r="U269" s="4"/>
      <c r="V269" s="4"/>
      <c r="W269" s="4"/>
      <c r="X269" s="4"/>
      <c r="Y269" s="4"/>
      <c r="Z269" s="4"/>
      <c r="AA269" s="4"/>
      <c r="AB269" s="5" t="s">
        <v>220</v>
      </c>
      <c r="AC269" s="5" t="s">
        <v>1692</v>
      </c>
      <c r="AD269" s="4"/>
      <c r="AE269" s="4"/>
      <c r="AF269" s="4"/>
      <c r="AG269" s="4"/>
    </row>
    <row r="270">
      <c r="A270" s="5" t="s">
        <v>1693</v>
      </c>
      <c r="B270" s="5" t="s">
        <v>1694</v>
      </c>
      <c r="C270" s="5" t="s">
        <v>38</v>
      </c>
      <c r="D270" s="5" t="s">
        <v>103</v>
      </c>
      <c r="E270" s="4"/>
      <c r="F270" s="4"/>
      <c r="G270" s="4"/>
      <c r="H270" s="4" t="s">
        <v>1695</v>
      </c>
      <c r="I270" s="4" t="s">
        <v>1696</v>
      </c>
      <c r="J270" s="4"/>
      <c r="K270" s="4"/>
      <c r="L270" s="4"/>
      <c r="M270" s="4" t="s">
        <v>299</v>
      </c>
      <c r="N270" s="4" t="s">
        <v>1697</v>
      </c>
      <c r="O270" s="4"/>
      <c r="P270" s="4"/>
      <c r="Q270" s="4"/>
      <c r="R270" s="4"/>
      <c r="S270" s="4"/>
      <c r="T270" s="4"/>
      <c r="U270" s="4"/>
      <c r="V270" s="4"/>
      <c r="W270" s="4"/>
      <c r="X270" s="4"/>
      <c r="Y270" s="4"/>
      <c r="Z270" s="4"/>
      <c r="AA270" s="4"/>
      <c r="AB270" s="5"/>
      <c r="AC270" s="5"/>
      <c r="AD270" s="4"/>
      <c r="AE270" s="4"/>
      <c r="AF270" s="4"/>
      <c r="AG270" s="4"/>
    </row>
    <row r="271">
      <c r="A271" s="5" t="s">
        <v>1698</v>
      </c>
      <c r="B271" s="5" t="s">
        <v>1699</v>
      </c>
      <c r="C271" s="5" t="s">
        <v>34</v>
      </c>
      <c r="D271" s="5" t="s">
        <v>257</v>
      </c>
      <c r="E271" s="4"/>
      <c r="F271" s="4"/>
      <c r="G271" s="4" t="s">
        <v>1700</v>
      </c>
      <c r="H271" s="4" t="s">
        <v>1701</v>
      </c>
      <c r="I271" s="4" t="s">
        <v>1702</v>
      </c>
      <c r="J271" s="4"/>
      <c r="K271" s="4"/>
      <c r="L271" s="4"/>
      <c r="M271" s="4" t="s">
        <v>263</v>
      </c>
      <c r="N271" s="4" t="s">
        <v>1703</v>
      </c>
      <c r="O271" s="4" t="s">
        <v>1483</v>
      </c>
      <c r="P271" s="4" t="s">
        <v>1704</v>
      </c>
      <c r="Q271" s="4"/>
      <c r="R271" s="4"/>
      <c r="S271" s="4"/>
      <c r="T271" s="4" t="s">
        <v>1497</v>
      </c>
      <c r="U271" s="4"/>
      <c r="V271" s="4"/>
      <c r="W271" s="4"/>
      <c r="X271" s="4" t="s">
        <v>1705</v>
      </c>
      <c r="Y271" s="4"/>
      <c r="Z271" s="4"/>
      <c r="AA271" s="4"/>
      <c r="AB271" s="5"/>
      <c r="AC271" s="5"/>
      <c r="AD271" s="4"/>
      <c r="AE271" s="4"/>
      <c r="AF271" s="4"/>
      <c r="AG271" s="4"/>
    </row>
    <row r="272">
      <c r="A272" s="5" t="s">
        <v>1706</v>
      </c>
      <c r="B272" s="5" t="s">
        <v>1707</v>
      </c>
      <c r="C272" s="5" t="s">
        <v>38</v>
      </c>
      <c r="D272" s="5" t="s">
        <v>307</v>
      </c>
      <c r="E272" s="4"/>
      <c r="F272" s="4"/>
      <c r="G272" s="4" t="s">
        <v>1708</v>
      </c>
      <c r="H272" s="4"/>
      <c r="I272" s="4" t="s">
        <v>310</v>
      </c>
      <c r="J272" s="4" t="s">
        <v>1709</v>
      </c>
      <c r="K272" s="4" t="s">
        <v>1710</v>
      </c>
      <c r="L272" s="4"/>
      <c r="M272" s="4" t="s">
        <v>311</v>
      </c>
      <c r="N272" s="4" t="s">
        <v>312</v>
      </c>
      <c r="O272" s="4" t="s">
        <v>313</v>
      </c>
      <c r="P272" s="4"/>
      <c r="Q272" s="4" t="s">
        <v>1711</v>
      </c>
      <c r="R272" s="4" t="s">
        <v>1712</v>
      </c>
      <c r="S272" s="4"/>
      <c r="T272" s="4"/>
      <c r="U272" s="4"/>
      <c r="V272" s="4"/>
      <c r="W272" s="4"/>
      <c r="X272" s="4"/>
      <c r="Y272" s="4"/>
      <c r="Z272" s="4"/>
      <c r="AA272" s="4"/>
      <c r="AB272" s="5"/>
      <c r="AC272" s="5"/>
      <c r="AD272" s="4"/>
      <c r="AE272" s="4"/>
      <c r="AF272" s="4"/>
      <c r="AG272" s="4"/>
    </row>
    <row r="273">
      <c r="A273" s="5" t="s">
        <v>1713</v>
      </c>
      <c r="B273" s="5" t="s">
        <v>1714</v>
      </c>
      <c r="C273" s="5" t="s">
        <v>78</v>
      </c>
      <c r="D273" s="5" t="s">
        <v>277</v>
      </c>
      <c r="E273" s="4"/>
      <c r="F273" s="4"/>
      <c r="G273" s="4" t="s">
        <v>1715</v>
      </c>
      <c r="H273" s="4"/>
      <c r="I273" s="4" t="s">
        <v>402</v>
      </c>
      <c r="J273" s="4" t="s">
        <v>1716</v>
      </c>
      <c r="K273" s="4" t="s">
        <v>1717</v>
      </c>
      <c r="L273" s="4"/>
      <c r="M273" s="4" t="s">
        <v>263</v>
      </c>
      <c r="N273" s="4" t="s">
        <v>1718</v>
      </c>
      <c r="O273" s="4" t="s">
        <v>404</v>
      </c>
      <c r="P273" s="4" t="s">
        <v>1719</v>
      </c>
      <c r="Q273" s="4" t="s">
        <v>1701</v>
      </c>
      <c r="R273" s="4" t="s">
        <v>1536</v>
      </c>
      <c r="S273" s="4"/>
      <c r="T273" s="4"/>
      <c r="U273" s="4"/>
      <c r="V273" s="4"/>
      <c r="W273" s="4"/>
      <c r="X273" s="4"/>
      <c r="Y273" s="4"/>
      <c r="Z273" s="4"/>
      <c r="AA273" s="4"/>
      <c r="AB273" s="5"/>
      <c r="AC273" s="5"/>
      <c r="AD273" s="4"/>
      <c r="AE273" s="4"/>
      <c r="AF273" s="4"/>
      <c r="AG273" s="4"/>
    </row>
    <row r="274">
      <c r="A274" s="5" t="s">
        <v>1715</v>
      </c>
      <c r="B274" s="5" t="s">
        <v>1720</v>
      </c>
      <c r="C274" s="5" t="s">
        <v>78</v>
      </c>
      <c r="D274" s="5" t="s">
        <v>277</v>
      </c>
      <c r="E274" s="4"/>
      <c r="F274" s="4"/>
      <c r="G274" s="4" t="s">
        <v>1713</v>
      </c>
      <c r="H274" s="4" t="s">
        <v>1601</v>
      </c>
      <c r="I274" s="4" t="s">
        <v>402</v>
      </c>
      <c r="J274" s="4" t="s">
        <v>1721</v>
      </c>
      <c r="K274" s="4" t="s">
        <v>1722</v>
      </c>
      <c r="L274" s="4"/>
      <c r="M274" s="4" t="s">
        <v>263</v>
      </c>
      <c r="N274" s="4" t="s">
        <v>1723</v>
      </c>
      <c r="O274" s="4" t="s">
        <v>404</v>
      </c>
      <c r="P274" s="4" t="s">
        <v>1724</v>
      </c>
      <c r="Q274" s="4" t="s">
        <v>1701</v>
      </c>
      <c r="R274" s="4" t="s">
        <v>1601</v>
      </c>
      <c r="S274" s="4"/>
      <c r="T274" s="4"/>
      <c r="U274" s="4"/>
      <c r="V274" s="4"/>
      <c r="W274" s="4"/>
      <c r="X274" s="4"/>
      <c r="Y274" s="4"/>
      <c r="Z274" s="4"/>
      <c r="AA274" s="4"/>
      <c r="AB274" s="5"/>
      <c r="AC274" s="5"/>
      <c r="AD274" s="4"/>
      <c r="AE274" s="4"/>
      <c r="AF274" s="4"/>
      <c r="AG274" s="4"/>
    </row>
    <row r="275">
      <c r="A275" s="5" t="s">
        <v>1725</v>
      </c>
      <c r="B275" s="5" t="s">
        <v>1726</v>
      </c>
      <c r="C275" s="5" t="s">
        <v>78</v>
      </c>
      <c r="D275" s="5" t="s">
        <v>307</v>
      </c>
      <c r="E275" s="4"/>
      <c r="F275" s="4"/>
      <c r="G275" s="4" t="s">
        <v>1727</v>
      </c>
      <c r="H275" s="4"/>
      <c r="I275" s="4" t="s">
        <v>310</v>
      </c>
      <c r="J275" s="4" t="s">
        <v>1728</v>
      </c>
      <c r="K275" s="4" t="s">
        <v>1729</v>
      </c>
      <c r="L275" s="4"/>
      <c r="M275" s="4" t="s">
        <v>311</v>
      </c>
      <c r="N275" s="4" t="s">
        <v>312</v>
      </c>
      <c r="O275" s="4" t="s">
        <v>313</v>
      </c>
      <c r="P275" s="4"/>
      <c r="Q275" s="4" t="s">
        <v>1711</v>
      </c>
      <c r="R275" s="4" t="s">
        <v>1712</v>
      </c>
      <c r="S275" s="4"/>
      <c r="T275" s="4"/>
      <c r="U275" s="4"/>
      <c r="V275" s="4"/>
      <c r="W275" s="4"/>
      <c r="X275" s="4"/>
      <c r="Y275" s="4"/>
      <c r="Z275" s="4"/>
      <c r="AA275" s="4"/>
      <c r="AB275" s="5"/>
      <c r="AC275" s="5"/>
      <c r="AD275" s="4"/>
      <c r="AE275" s="4"/>
      <c r="AF275" s="4"/>
      <c r="AG275" s="4"/>
    </row>
    <row r="276">
      <c r="A276" s="5" t="s">
        <v>1730</v>
      </c>
      <c r="B276" s="5" t="s">
        <v>1731</v>
      </c>
      <c r="C276" s="5" t="s">
        <v>210</v>
      </c>
      <c r="D276" s="5" t="s">
        <v>52</v>
      </c>
      <c r="E276" s="4" t="s">
        <v>1732</v>
      </c>
      <c r="F276" s="4"/>
      <c r="G276" s="4" t="s">
        <v>1733</v>
      </c>
      <c r="H276" s="4" t="s">
        <v>225</v>
      </c>
      <c r="I276" s="4" t="s">
        <v>1734</v>
      </c>
      <c r="J276" s="4"/>
      <c r="K276" s="4"/>
      <c r="L276" s="4"/>
      <c r="M276" s="4" t="s">
        <v>1735</v>
      </c>
      <c r="N276" s="4" t="s">
        <v>1736</v>
      </c>
      <c r="O276" s="4" t="s">
        <v>1737</v>
      </c>
      <c r="P276" s="4"/>
      <c r="Q276" s="4"/>
      <c r="R276" s="4"/>
      <c r="S276" s="4"/>
      <c r="T276" s="4" t="s">
        <v>1738</v>
      </c>
      <c r="U276" s="4"/>
      <c r="V276" s="4"/>
      <c r="W276" s="4"/>
      <c r="X276" s="4"/>
      <c r="Y276" s="4" t="s">
        <v>368</v>
      </c>
      <c r="Z276" s="4"/>
      <c r="AA276" s="4"/>
      <c r="AB276" s="5" t="s">
        <v>220</v>
      </c>
      <c r="AC276" s="5" t="s">
        <v>1739</v>
      </c>
      <c r="AD276" s="4"/>
      <c r="AE276" s="4"/>
      <c r="AF276" s="4"/>
      <c r="AG276" s="4"/>
    </row>
    <row r="277">
      <c r="A277" s="5" t="s">
        <v>1740</v>
      </c>
      <c r="B277" s="5" t="s">
        <v>1741</v>
      </c>
      <c r="C277" s="5" t="s">
        <v>210</v>
      </c>
      <c r="D277" s="5" t="s">
        <v>52</v>
      </c>
      <c r="E277" s="4" t="s">
        <v>1742</v>
      </c>
      <c r="F277" s="4"/>
      <c r="G277" s="4"/>
      <c r="H277" s="4" t="s">
        <v>1743</v>
      </c>
      <c r="I277" s="4" t="s">
        <v>1744</v>
      </c>
      <c r="J277" s="4"/>
      <c r="K277" s="4"/>
      <c r="L277" s="4"/>
      <c r="M277" s="4" t="s">
        <v>1735</v>
      </c>
      <c r="N277" s="4" t="s">
        <v>1745</v>
      </c>
      <c r="O277" s="4" t="s">
        <v>1746</v>
      </c>
      <c r="P277" s="4"/>
      <c r="Q277" s="4"/>
      <c r="R277" s="4"/>
      <c r="S277" s="4"/>
      <c r="T277" s="4"/>
      <c r="U277" s="4"/>
      <c r="V277" s="4"/>
      <c r="W277" s="4"/>
      <c r="X277" s="4" t="s">
        <v>1747</v>
      </c>
      <c r="Y277" s="4"/>
      <c r="Z277" s="4"/>
      <c r="AA277" s="4"/>
      <c r="AB277" s="5" t="s">
        <v>220</v>
      </c>
      <c r="AC277" s="5" t="s">
        <v>1748</v>
      </c>
      <c r="AD277" s="4"/>
      <c r="AE277" s="4"/>
      <c r="AF277" s="4"/>
      <c r="AG277" s="4"/>
    </row>
    <row r="278">
      <c r="A278" s="5" t="s">
        <v>1749</v>
      </c>
      <c r="B278" s="5" t="s">
        <v>1750</v>
      </c>
      <c r="C278" s="5" t="s">
        <v>38</v>
      </c>
      <c r="D278" s="5" t="s">
        <v>39</v>
      </c>
      <c r="E278" s="4"/>
      <c r="F278" s="4"/>
      <c r="G278" s="4"/>
      <c r="H278" s="4" t="s">
        <v>1725</v>
      </c>
      <c r="I278" s="4" t="s">
        <v>338</v>
      </c>
      <c r="J278" s="4"/>
      <c r="K278" s="4"/>
      <c r="L278" s="4"/>
      <c r="M278" s="4" t="s">
        <v>285</v>
      </c>
      <c r="N278" s="4" t="s">
        <v>339</v>
      </c>
      <c r="O278" s="4" t="s">
        <v>340</v>
      </c>
      <c r="P278" s="4"/>
      <c r="Q278" s="4"/>
      <c r="R278" s="4"/>
      <c r="S278" s="4"/>
      <c r="T278" s="4"/>
      <c r="U278" s="4"/>
      <c r="V278" s="4"/>
      <c r="W278" s="4"/>
      <c r="X278" s="4"/>
      <c r="Y278" s="4"/>
      <c r="Z278" s="4"/>
      <c r="AA278" s="4"/>
      <c r="AB278" s="5"/>
      <c r="AC278" s="5"/>
      <c r="AD278" s="4"/>
      <c r="AE278" s="4"/>
      <c r="AF278" s="4"/>
      <c r="AG278" s="4"/>
    </row>
    <row r="279">
      <c r="A279" s="5" t="s">
        <v>1751</v>
      </c>
      <c r="B279" s="5" t="s">
        <v>1752</v>
      </c>
      <c r="C279" s="5" t="s">
        <v>38</v>
      </c>
      <c r="D279" s="5" t="s">
        <v>47</v>
      </c>
      <c r="E279" s="4"/>
      <c r="F279" s="4"/>
      <c r="G279" s="4" t="s">
        <v>1753</v>
      </c>
      <c r="H279" s="4"/>
      <c r="I279" s="4" t="s">
        <v>1754</v>
      </c>
      <c r="J279" s="4"/>
      <c r="K279" s="4"/>
      <c r="L279" s="4"/>
      <c r="M279" s="4" t="s">
        <v>1755</v>
      </c>
      <c r="N279" s="4" t="s">
        <v>1756</v>
      </c>
      <c r="O279" s="4" t="s">
        <v>1542</v>
      </c>
      <c r="P279" s="4" t="s">
        <v>1757</v>
      </c>
      <c r="Q279" s="4"/>
      <c r="R279" s="4"/>
      <c r="S279" s="4"/>
      <c r="T279" s="4"/>
      <c r="U279" s="4"/>
      <c r="V279" s="4"/>
      <c r="W279" s="4"/>
      <c r="X279" s="4"/>
      <c r="Y279" s="4"/>
      <c r="Z279" s="4"/>
      <c r="AA279" s="4"/>
      <c r="AB279" s="5"/>
      <c r="AC279" s="5"/>
      <c r="AD279" s="4"/>
      <c r="AE279" s="4"/>
      <c r="AF279" s="4"/>
      <c r="AG279" s="4"/>
    </row>
    <row r="280">
      <c r="A280" s="5" t="s">
        <v>1758</v>
      </c>
      <c r="B280" s="5" t="s">
        <v>1759</v>
      </c>
      <c r="C280" s="5" t="s">
        <v>38</v>
      </c>
      <c r="D280" s="5" t="s">
        <v>103</v>
      </c>
      <c r="E280" s="4"/>
      <c r="F280" s="4"/>
      <c r="G280" s="4"/>
      <c r="H280" s="4"/>
      <c r="I280" s="4" t="s">
        <v>1760</v>
      </c>
      <c r="J280" s="4"/>
      <c r="K280" s="4"/>
      <c r="L280" s="4"/>
      <c r="M280" s="4" t="s">
        <v>916</v>
      </c>
      <c r="N280" s="4" t="s">
        <v>1761</v>
      </c>
      <c r="O280" s="4"/>
      <c r="P280" s="4" t="s">
        <v>1762</v>
      </c>
      <c r="Q280" s="4"/>
      <c r="R280" s="4"/>
      <c r="S280" s="4"/>
      <c r="T280" s="4"/>
      <c r="U280" s="4"/>
      <c r="V280" s="4"/>
      <c r="W280" s="4"/>
      <c r="X280" s="4"/>
      <c r="Y280" s="4"/>
      <c r="Z280" s="4"/>
      <c r="AA280" s="4"/>
      <c r="AB280" s="5"/>
      <c r="AC280" s="5"/>
      <c r="AD280" s="4"/>
      <c r="AE280" s="4"/>
      <c r="AF280" s="4"/>
      <c r="AG280" s="4"/>
    </row>
    <row r="281">
      <c r="A281" s="5" t="s">
        <v>1763</v>
      </c>
      <c r="B281" s="5" t="s">
        <v>1764</v>
      </c>
      <c r="C281" s="5" t="s">
        <v>38</v>
      </c>
      <c r="D281" s="5" t="s">
        <v>103</v>
      </c>
      <c r="E281" s="4"/>
      <c r="F281" s="4"/>
      <c r="G281" s="4"/>
      <c r="H281" s="4"/>
      <c r="I281" s="4" t="s">
        <v>1765</v>
      </c>
      <c r="J281" s="4"/>
      <c r="K281" s="4"/>
      <c r="L281" s="4"/>
      <c r="M281" s="4" t="s">
        <v>916</v>
      </c>
      <c r="N281" s="4" t="s">
        <v>1766</v>
      </c>
      <c r="O281" s="4"/>
      <c r="P281" s="4" t="s">
        <v>1767</v>
      </c>
      <c r="Q281" s="4"/>
      <c r="R281" s="4"/>
      <c r="S281" s="4"/>
      <c r="T281" s="4"/>
      <c r="U281" s="4"/>
      <c r="V281" s="4"/>
      <c r="W281" s="4"/>
      <c r="X281" s="4"/>
      <c r="Y281" s="4"/>
      <c r="Z281" s="4"/>
      <c r="AA281" s="4"/>
      <c r="AB281" s="5"/>
      <c r="AC281" s="5"/>
      <c r="AD281" s="4"/>
      <c r="AE281" s="4"/>
      <c r="AF281" s="4"/>
      <c r="AG281" s="4"/>
    </row>
    <row r="282">
      <c r="A282" s="5" t="s">
        <v>1768</v>
      </c>
      <c r="B282" s="5" t="s">
        <v>1769</v>
      </c>
      <c r="C282" s="5" t="s">
        <v>38</v>
      </c>
      <c r="D282" s="5" t="s">
        <v>39</v>
      </c>
      <c r="E282" s="4"/>
      <c r="F282" s="4"/>
      <c r="G282" s="4"/>
      <c r="H282" s="4"/>
      <c r="I282" s="4" t="s">
        <v>1770</v>
      </c>
      <c r="J282" s="4"/>
      <c r="K282" s="4" t="s">
        <v>1771</v>
      </c>
      <c r="L282" s="4"/>
      <c r="M282" s="4" t="s">
        <v>285</v>
      </c>
      <c r="N282" s="4" t="s">
        <v>1772</v>
      </c>
      <c r="O282" s="4" t="s">
        <v>1773</v>
      </c>
      <c r="P282" s="4" t="s">
        <v>1774</v>
      </c>
      <c r="Q282" s="4"/>
      <c r="R282" s="4" t="s">
        <v>1775</v>
      </c>
      <c r="S282" s="4"/>
      <c r="T282" s="4"/>
      <c r="U282" s="4"/>
      <c r="V282" s="4"/>
      <c r="W282" s="4"/>
      <c r="X282" s="4"/>
      <c r="Y282" s="4"/>
      <c r="Z282" s="4"/>
      <c r="AA282" s="4"/>
      <c r="AB282" s="5"/>
      <c r="AC282" s="5"/>
      <c r="AD282" s="4"/>
      <c r="AE282" s="4"/>
      <c r="AF282" s="4"/>
      <c r="AG282" s="4"/>
    </row>
    <row r="283">
      <c r="A283" s="5" t="s">
        <v>1776</v>
      </c>
      <c r="B283" s="5" t="s">
        <v>1777</v>
      </c>
      <c r="C283" s="5" t="s">
        <v>38</v>
      </c>
      <c r="D283" s="5" t="s">
        <v>44</v>
      </c>
      <c r="E283" s="4"/>
      <c r="F283" s="4"/>
      <c r="G283" s="4" t="s">
        <v>1778</v>
      </c>
      <c r="H283" s="4" t="s">
        <v>1779</v>
      </c>
      <c r="I283" s="4" t="s">
        <v>1780</v>
      </c>
      <c r="J283" s="4"/>
      <c r="K283" s="4"/>
      <c r="L283" s="4"/>
      <c r="M283" s="4" t="s">
        <v>299</v>
      </c>
      <c r="N283" s="4" t="s">
        <v>1781</v>
      </c>
      <c r="O283" s="4" t="s">
        <v>434</v>
      </c>
      <c r="P283" s="4"/>
      <c r="Q283" s="4"/>
      <c r="R283" s="4"/>
      <c r="S283" s="4"/>
      <c r="T283" s="4"/>
      <c r="U283" s="4"/>
      <c r="V283" s="4"/>
      <c r="W283" s="4"/>
      <c r="X283" s="4"/>
      <c r="Y283" s="4"/>
      <c r="Z283" s="4"/>
      <c r="AA283" s="4"/>
      <c r="AB283" s="5"/>
      <c r="AC283" s="5"/>
      <c r="AD283" s="4"/>
      <c r="AE283" s="4"/>
      <c r="AF283" s="4"/>
      <c r="AG283" s="4"/>
    </row>
    <row r="284">
      <c r="A284" s="5" t="s">
        <v>1782</v>
      </c>
      <c r="B284" s="5" t="s">
        <v>1783</v>
      </c>
      <c r="C284" s="5" t="s">
        <v>78</v>
      </c>
      <c r="D284" s="5" t="s">
        <v>39</v>
      </c>
      <c r="E284" s="4" t="s">
        <v>1784</v>
      </c>
      <c r="F284" s="4"/>
      <c r="G284" s="4" t="s">
        <v>1785</v>
      </c>
      <c r="H284" s="4"/>
      <c r="I284" s="4" t="s">
        <v>444</v>
      </c>
      <c r="J284" s="4" t="s">
        <v>1786</v>
      </c>
      <c r="K284" s="4" t="s">
        <v>1787</v>
      </c>
      <c r="L284" s="4"/>
      <c r="M284" s="4" t="s">
        <v>241</v>
      </c>
      <c r="N284" s="4" t="s">
        <v>1788</v>
      </c>
      <c r="O284" s="4" t="s">
        <v>447</v>
      </c>
      <c r="P284" s="4" t="s">
        <v>1789</v>
      </c>
      <c r="Q284" s="4" t="s">
        <v>845</v>
      </c>
      <c r="R284" s="4" t="s">
        <v>861</v>
      </c>
      <c r="S284" s="4"/>
      <c r="T284" s="4"/>
      <c r="U284" s="4"/>
      <c r="V284" s="4"/>
      <c r="W284" s="4"/>
      <c r="X284" s="4" t="s">
        <v>1790</v>
      </c>
      <c r="Y284" s="4" t="s">
        <v>272</v>
      </c>
      <c r="Z284" s="4"/>
      <c r="AA284" s="4"/>
      <c r="AB284" s="5" t="s">
        <v>220</v>
      </c>
      <c r="AC284" s="5" t="s">
        <v>1791</v>
      </c>
      <c r="AD284" s="4"/>
      <c r="AE284" s="4"/>
      <c r="AF284" s="4"/>
      <c r="AG284" s="4"/>
    </row>
    <row r="285">
      <c r="A285" s="5" t="s">
        <v>1792</v>
      </c>
      <c r="B285" s="5" t="s">
        <v>1793</v>
      </c>
      <c r="C285" s="5" t="s">
        <v>210</v>
      </c>
      <c r="D285" s="5" t="s">
        <v>257</v>
      </c>
      <c r="E285" s="4"/>
      <c r="F285" s="4"/>
      <c r="G285" s="4" t="s">
        <v>1794</v>
      </c>
      <c r="H285" s="4" t="s">
        <v>1795</v>
      </c>
      <c r="I285" s="4" t="s">
        <v>1796</v>
      </c>
      <c r="J285" s="4"/>
      <c r="K285" s="4"/>
      <c r="L285" s="4"/>
      <c r="M285" s="4" t="s">
        <v>263</v>
      </c>
      <c r="N285" s="4" t="s">
        <v>1797</v>
      </c>
      <c r="O285" s="4" t="s">
        <v>1354</v>
      </c>
      <c r="P285" s="4" t="s">
        <v>1798</v>
      </c>
      <c r="Q285" s="4"/>
      <c r="R285" s="4"/>
      <c r="S285" s="4"/>
      <c r="T285" s="4" t="s">
        <v>1243</v>
      </c>
      <c r="U285" s="4"/>
      <c r="V285" s="4"/>
      <c r="W285" s="4"/>
      <c r="X285" s="4" t="s">
        <v>1799</v>
      </c>
      <c r="Y285" s="4" t="s">
        <v>553</v>
      </c>
      <c r="Z285" s="4"/>
      <c r="AA285" s="4"/>
      <c r="AB285" s="5"/>
      <c r="AC285" s="5"/>
      <c r="AD285" s="4"/>
      <c r="AE285" s="4"/>
      <c r="AF285" s="4"/>
      <c r="AG285" s="4"/>
    </row>
    <row r="286">
      <c r="A286" s="5" t="s">
        <v>1800</v>
      </c>
      <c r="B286" s="5" t="s">
        <v>1801</v>
      </c>
      <c r="C286" s="5" t="s">
        <v>78</v>
      </c>
      <c r="D286" s="5" t="s">
        <v>377</v>
      </c>
      <c r="E286" s="4"/>
      <c r="F286" s="4"/>
      <c r="G286" s="4" t="s">
        <v>1802</v>
      </c>
      <c r="H286" s="4"/>
      <c r="I286" s="4" t="s">
        <v>1803</v>
      </c>
      <c r="J286" s="4" t="s">
        <v>1804</v>
      </c>
      <c r="K286" s="4" t="s">
        <v>1805</v>
      </c>
      <c r="L286" s="4"/>
      <c r="M286" s="4" t="s">
        <v>380</v>
      </c>
      <c r="N286" s="4" t="s">
        <v>1806</v>
      </c>
      <c r="O286" s="4" t="s">
        <v>1807</v>
      </c>
      <c r="P286" s="4" t="s">
        <v>1808</v>
      </c>
      <c r="Q286" s="4" t="s">
        <v>1809</v>
      </c>
      <c r="R286" s="4" t="s">
        <v>1810</v>
      </c>
      <c r="S286" s="4"/>
      <c r="T286" s="4"/>
      <c r="U286" s="4"/>
      <c r="V286" s="4"/>
      <c r="W286" s="4"/>
      <c r="X286" s="4" t="s">
        <v>1811</v>
      </c>
      <c r="Y286" s="4" t="s">
        <v>272</v>
      </c>
      <c r="Z286" s="4"/>
      <c r="AA286" s="4"/>
      <c r="AB286" s="5" t="s">
        <v>220</v>
      </c>
      <c r="AC286" s="5" t="s">
        <v>1812</v>
      </c>
      <c r="AD286" s="4"/>
      <c r="AE286" s="4"/>
      <c r="AF286" s="4"/>
      <c r="AG286" s="4"/>
    </row>
    <row r="287">
      <c r="A287" s="5" t="s">
        <v>1813</v>
      </c>
      <c r="B287" s="5" t="s">
        <v>1814</v>
      </c>
      <c r="C287" s="5" t="s">
        <v>38</v>
      </c>
      <c r="D287" s="5" t="s">
        <v>324</v>
      </c>
      <c r="E287" s="4"/>
      <c r="F287" s="4"/>
      <c r="G287" s="4"/>
      <c r="H287" s="4" t="s">
        <v>268</v>
      </c>
      <c r="I287" s="4" t="s">
        <v>1815</v>
      </c>
      <c r="J287" s="4"/>
      <c r="K287" s="4"/>
      <c r="L287" s="4"/>
      <c r="M287" s="4" t="s">
        <v>1816</v>
      </c>
      <c r="N287" s="4" t="s">
        <v>1817</v>
      </c>
      <c r="O287" s="4" t="s">
        <v>1818</v>
      </c>
      <c r="P287" s="4" t="s">
        <v>1819</v>
      </c>
      <c r="Q287" s="4"/>
      <c r="R287" s="4"/>
      <c r="S287" s="4"/>
      <c r="T287" s="4"/>
      <c r="U287" s="4"/>
      <c r="V287" s="4"/>
      <c r="W287" s="4"/>
      <c r="X287" s="4"/>
      <c r="Y287" s="4"/>
      <c r="Z287" s="4"/>
      <c r="AA287" s="4"/>
      <c r="AB287" s="5" t="s">
        <v>220</v>
      </c>
      <c r="AC287" s="5" t="s">
        <v>1820</v>
      </c>
      <c r="AD287" s="4"/>
      <c r="AE287" s="4"/>
      <c r="AF287" s="4"/>
      <c r="AG287" s="4"/>
    </row>
    <row r="288">
      <c r="A288" s="5" t="s">
        <v>1821</v>
      </c>
      <c r="B288" s="5" t="s">
        <v>1822</v>
      </c>
      <c r="C288" s="5" t="s">
        <v>210</v>
      </c>
      <c r="D288" s="5" t="s">
        <v>39</v>
      </c>
      <c r="E288" s="4"/>
      <c r="F288" s="4"/>
      <c r="G288" s="4"/>
      <c r="H288" s="4" t="s">
        <v>1823</v>
      </c>
      <c r="I288" s="4" t="s">
        <v>1824</v>
      </c>
      <c r="J288" s="4"/>
      <c r="K288" s="4"/>
      <c r="L288" s="4"/>
      <c r="M288" s="4" t="s">
        <v>241</v>
      </c>
      <c r="N288" s="4" t="s">
        <v>1825</v>
      </c>
      <c r="O288" s="4" t="s">
        <v>1826</v>
      </c>
      <c r="P288" s="4" t="s">
        <v>1827</v>
      </c>
      <c r="Q288" s="4"/>
      <c r="R288" s="4"/>
      <c r="S288" s="4"/>
      <c r="T288" s="4"/>
      <c r="U288" s="4"/>
      <c r="V288" s="4"/>
      <c r="W288" s="4"/>
      <c r="X288" s="4"/>
      <c r="Y288" s="4"/>
      <c r="Z288" s="4"/>
      <c r="AA288" s="4"/>
      <c r="AB288" s="5" t="s">
        <v>220</v>
      </c>
      <c r="AC288" s="5" t="s">
        <v>1828</v>
      </c>
      <c r="AD288" s="4"/>
      <c r="AE288" s="4"/>
      <c r="AF288" s="4"/>
      <c r="AG288" s="4"/>
    </row>
    <row r="289">
      <c r="A289" s="5" t="s">
        <v>1829</v>
      </c>
      <c r="B289" s="5" t="s">
        <v>1830</v>
      </c>
      <c r="C289" s="5" t="s">
        <v>210</v>
      </c>
      <c r="D289" s="5" t="s">
        <v>257</v>
      </c>
      <c r="E289" s="4"/>
      <c r="F289" s="4"/>
      <c r="G289" s="4" t="s">
        <v>1831</v>
      </c>
      <c r="H289" s="4"/>
      <c r="I289" s="4" t="s">
        <v>1832</v>
      </c>
      <c r="J289" s="4"/>
      <c r="K289" s="4"/>
      <c r="L289" s="4"/>
      <c r="M289" s="4" t="s">
        <v>263</v>
      </c>
      <c r="N289" s="4" t="s">
        <v>1833</v>
      </c>
      <c r="O289" s="4" t="s">
        <v>1834</v>
      </c>
      <c r="P289" s="4"/>
      <c r="Q289" s="4"/>
      <c r="R289" s="4"/>
      <c r="S289" s="4"/>
      <c r="T289" s="4"/>
      <c r="U289" s="4"/>
      <c r="V289" s="4" t="s">
        <v>287</v>
      </c>
      <c r="W289" s="6">
        <v>1.0</v>
      </c>
      <c r="X289" s="4"/>
      <c r="Y289" s="4"/>
      <c r="Z289" s="4"/>
      <c r="AA289" s="4"/>
      <c r="AB289" s="5" t="s">
        <v>288</v>
      </c>
      <c r="AC289" s="5" t="s">
        <v>1835</v>
      </c>
      <c r="AD289" s="4"/>
      <c r="AE289" s="4"/>
      <c r="AF289" s="4"/>
      <c r="AG289" s="4"/>
    </row>
    <row r="290">
      <c r="A290" s="5" t="s">
        <v>1831</v>
      </c>
      <c r="B290" s="5" t="s">
        <v>1836</v>
      </c>
      <c r="C290" s="5" t="s">
        <v>210</v>
      </c>
      <c r="D290" s="5" t="s">
        <v>257</v>
      </c>
      <c r="E290" s="4"/>
      <c r="F290" s="4"/>
      <c r="G290" s="4" t="s">
        <v>1829</v>
      </c>
      <c r="H290" s="4"/>
      <c r="I290" s="4" t="s">
        <v>1832</v>
      </c>
      <c r="J290" s="4"/>
      <c r="K290" s="4"/>
      <c r="L290" s="4"/>
      <c r="M290" s="4" t="s">
        <v>1250</v>
      </c>
      <c r="N290" s="4" t="s">
        <v>1837</v>
      </c>
      <c r="O290" s="4" t="s">
        <v>1834</v>
      </c>
      <c r="P290" s="4"/>
      <c r="Q290" s="4"/>
      <c r="R290" s="4"/>
      <c r="S290" s="4"/>
      <c r="T290" s="4"/>
      <c r="U290" s="4"/>
      <c r="V290" s="4"/>
      <c r="W290" s="4"/>
      <c r="X290" s="4"/>
      <c r="Y290" s="4"/>
      <c r="Z290" s="4"/>
      <c r="AA290" s="4"/>
      <c r="AB290" s="5"/>
      <c r="AC290" s="5"/>
      <c r="AD290" s="4"/>
      <c r="AE290" s="4"/>
      <c r="AF290" s="4"/>
      <c r="AG290" s="4"/>
    </row>
    <row r="291">
      <c r="A291" s="5" t="s">
        <v>1838</v>
      </c>
      <c r="B291" s="5" t="s">
        <v>1839</v>
      </c>
      <c r="C291" s="5" t="s">
        <v>78</v>
      </c>
      <c r="D291" s="5" t="s">
        <v>1840</v>
      </c>
      <c r="E291" s="4"/>
      <c r="F291" s="4"/>
      <c r="G291" s="4" t="s">
        <v>1841</v>
      </c>
      <c r="H291" s="4" t="s">
        <v>1842</v>
      </c>
      <c r="I291" s="4" t="s">
        <v>1843</v>
      </c>
      <c r="J291" s="4" t="s">
        <v>1844</v>
      </c>
      <c r="K291" s="4"/>
      <c r="L291" s="4"/>
      <c r="M291" s="4" t="s">
        <v>1845</v>
      </c>
      <c r="N291" s="4" t="s">
        <v>1846</v>
      </c>
      <c r="O291" s="4" t="s">
        <v>1847</v>
      </c>
      <c r="P291" s="4"/>
      <c r="Q291" s="4"/>
      <c r="R291" s="4"/>
      <c r="S291" s="4"/>
      <c r="T291" s="4" t="s">
        <v>1848</v>
      </c>
      <c r="U291" s="4"/>
      <c r="V291" s="4"/>
      <c r="W291" s="4"/>
      <c r="X291" s="4" t="s">
        <v>1849</v>
      </c>
      <c r="Y291" s="4"/>
      <c r="Z291" s="4"/>
      <c r="AA291" s="4"/>
      <c r="AB291" s="5" t="s">
        <v>220</v>
      </c>
      <c r="AC291" s="5" t="s">
        <v>1850</v>
      </c>
      <c r="AD291" s="4"/>
      <c r="AE291" s="4"/>
      <c r="AF291" s="4"/>
      <c r="AG291" s="4"/>
    </row>
    <row r="292">
      <c r="A292" s="5" t="s">
        <v>1851</v>
      </c>
      <c r="B292" s="5" t="s">
        <v>1852</v>
      </c>
      <c r="C292" s="5" t="s">
        <v>34</v>
      </c>
      <c r="D292" s="5" t="s">
        <v>1853</v>
      </c>
      <c r="E292" s="4"/>
      <c r="F292" s="4"/>
      <c r="G292" s="4"/>
      <c r="H292" s="4"/>
      <c r="I292" s="4" t="s">
        <v>1854</v>
      </c>
      <c r="J292" s="4"/>
      <c r="K292" s="4"/>
      <c r="L292" s="4"/>
      <c r="M292" s="4" t="s">
        <v>1855</v>
      </c>
      <c r="N292" s="4" t="s">
        <v>1856</v>
      </c>
      <c r="O292" s="4" t="s">
        <v>1857</v>
      </c>
      <c r="P292" s="4"/>
      <c r="Q292" s="4"/>
      <c r="R292" s="4"/>
      <c r="S292" s="4"/>
      <c r="T292" s="4"/>
      <c r="U292" s="4"/>
      <c r="V292" s="4"/>
      <c r="W292" s="4"/>
      <c r="X292" s="4" t="s">
        <v>1858</v>
      </c>
      <c r="Y292" s="4"/>
      <c r="Z292" s="4"/>
      <c r="AA292" s="4"/>
      <c r="AB292" s="5"/>
      <c r="AC292" s="5"/>
      <c r="AD292" s="4"/>
      <c r="AE292" s="4"/>
      <c r="AF292" s="4"/>
      <c r="AG292" s="4"/>
    </row>
    <row r="293">
      <c r="A293" s="5" t="s">
        <v>1859</v>
      </c>
      <c r="B293" s="5" t="s">
        <v>1860</v>
      </c>
      <c r="C293" s="5" t="s">
        <v>38</v>
      </c>
      <c r="D293" s="5" t="s">
        <v>73</v>
      </c>
      <c r="E293" s="4"/>
      <c r="F293" s="4"/>
      <c r="G293" s="4" t="s">
        <v>1861</v>
      </c>
      <c r="H293" s="4" t="s">
        <v>500</v>
      </c>
      <c r="I293" s="4" t="s">
        <v>879</v>
      </c>
      <c r="J293" s="4"/>
      <c r="K293" s="4"/>
      <c r="L293" s="4"/>
      <c r="M293" s="4" t="s">
        <v>1862</v>
      </c>
      <c r="N293" s="4" t="s">
        <v>1863</v>
      </c>
      <c r="O293" s="4" t="s">
        <v>881</v>
      </c>
      <c r="P293" s="4" t="s">
        <v>1864</v>
      </c>
      <c r="Q293" s="4"/>
      <c r="R293" s="4"/>
      <c r="S293" s="4"/>
      <c r="T293" s="4" t="s">
        <v>1865</v>
      </c>
      <c r="U293" s="4"/>
      <c r="V293" s="4"/>
      <c r="W293" s="4"/>
      <c r="X293" s="4" t="s">
        <v>747</v>
      </c>
      <c r="Y293" s="4" t="s">
        <v>1295</v>
      </c>
      <c r="Z293" s="4"/>
      <c r="AA293" s="4"/>
      <c r="AB293" s="5" t="s">
        <v>220</v>
      </c>
      <c r="AC293" s="5" t="s">
        <v>1866</v>
      </c>
      <c r="AD293" s="4"/>
      <c r="AE293" s="4"/>
      <c r="AF293" s="4"/>
      <c r="AG293" s="4"/>
    </row>
    <row r="294">
      <c r="A294" s="5" t="s">
        <v>955</v>
      </c>
      <c r="B294" s="5" t="s">
        <v>1867</v>
      </c>
      <c r="C294" s="5" t="s">
        <v>38</v>
      </c>
      <c r="D294" s="5" t="s">
        <v>44</v>
      </c>
      <c r="E294" s="4"/>
      <c r="F294" s="4"/>
      <c r="G294" s="4"/>
      <c r="H294" s="4" t="s">
        <v>1779</v>
      </c>
      <c r="I294" s="4" t="s">
        <v>1868</v>
      </c>
      <c r="J294" s="4"/>
      <c r="K294" s="4"/>
      <c r="L294" s="4"/>
      <c r="M294" s="4" t="s">
        <v>299</v>
      </c>
      <c r="N294" s="4" t="s">
        <v>1869</v>
      </c>
      <c r="O294" s="4" t="s">
        <v>958</v>
      </c>
      <c r="P294" s="4" t="s">
        <v>1870</v>
      </c>
      <c r="Q294" s="4"/>
      <c r="R294" s="4"/>
      <c r="S294" s="4"/>
      <c r="T294" s="4"/>
      <c r="U294" s="4"/>
      <c r="V294" s="4"/>
      <c r="W294" s="4"/>
      <c r="X294" s="4"/>
      <c r="Y294" s="4"/>
      <c r="Z294" s="4"/>
      <c r="AA294" s="4"/>
      <c r="AB294" s="5"/>
      <c r="AC294" s="5"/>
      <c r="AD294" s="4"/>
      <c r="AE294" s="4"/>
      <c r="AF294" s="4"/>
      <c r="AG294" s="4"/>
    </row>
    <row r="295">
      <c r="A295" s="5" t="s">
        <v>1871</v>
      </c>
      <c r="B295" s="5" t="s">
        <v>1872</v>
      </c>
      <c r="C295" s="5" t="s">
        <v>38</v>
      </c>
      <c r="D295" s="5" t="s">
        <v>52</v>
      </c>
      <c r="E295" s="4"/>
      <c r="F295" s="4"/>
      <c r="G295" s="4"/>
      <c r="H295" s="4" t="s">
        <v>861</v>
      </c>
      <c r="I295" s="4" t="s">
        <v>1873</v>
      </c>
      <c r="J295" s="4"/>
      <c r="K295" s="4"/>
      <c r="L295" s="4"/>
      <c r="M295" s="4" t="s">
        <v>380</v>
      </c>
      <c r="N295" s="4" t="s">
        <v>1874</v>
      </c>
      <c r="O295" s="4"/>
      <c r="P295" s="4" t="s">
        <v>1875</v>
      </c>
      <c r="Q295" s="4"/>
      <c r="R295" s="4"/>
      <c r="S295" s="4"/>
      <c r="T295" s="4" t="s">
        <v>1876</v>
      </c>
      <c r="U295" s="4"/>
      <c r="V295" s="4"/>
      <c r="W295" s="4"/>
      <c r="X295" s="4" t="s">
        <v>1877</v>
      </c>
      <c r="Y295" s="4" t="s">
        <v>1295</v>
      </c>
      <c r="Z295" s="4"/>
      <c r="AA295" s="4"/>
      <c r="AB295" s="5" t="s">
        <v>220</v>
      </c>
      <c r="AC295" s="5" t="s">
        <v>1878</v>
      </c>
      <c r="AD295" s="4"/>
      <c r="AE295" s="4"/>
      <c r="AF295" s="4"/>
      <c r="AG295" s="4"/>
    </row>
    <row r="296">
      <c r="A296" s="5" t="s">
        <v>1879</v>
      </c>
      <c r="B296" s="5" t="s">
        <v>1880</v>
      </c>
      <c r="C296" s="5" t="s">
        <v>78</v>
      </c>
      <c r="D296" s="5" t="s">
        <v>1881</v>
      </c>
      <c r="E296" s="4"/>
      <c r="F296" s="4"/>
      <c r="G296" s="4" t="s">
        <v>1882</v>
      </c>
      <c r="H296" s="4"/>
      <c r="I296" s="4" t="s">
        <v>1883</v>
      </c>
      <c r="J296" s="4"/>
      <c r="K296" s="4"/>
      <c r="L296" s="4"/>
      <c r="M296" s="4"/>
      <c r="N296" s="4" t="s">
        <v>1884</v>
      </c>
      <c r="O296" s="4"/>
      <c r="P296" s="4" t="s">
        <v>1885</v>
      </c>
      <c r="Q296" s="4"/>
      <c r="R296" s="4"/>
      <c r="S296" s="4"/>
      <c r="T296" s="4"/>
      <c r="U296" s="4"/>
      <c r="V296" s="4"/>
      <c r="W296" s="4"/>
      <c r="X296" s="4"/>
      <c r="Y296" s="4"/>
      <c r="Z296" s="4"/>
      <c r="AA296" s="4"/>
      <c r="AB296" s="5"/>
      <c r="AC296" s="5"/>
      <c r="AD296" s="4"/>
      <c r="AE296" s="4"/>
      <c r="AF296" s="4"/>
      <c r="AG296" s="4"/>
    </row>
    <row r="297">
      <c r="A297" s="5" t="s">
        <v>1886</v>
      </c>
      <c r="B297" s="5" t="s">
        <v>1887</v>
      </c>
      <c r="C297" s="5" t="s">
        <v>78</v>
      </c>
      <c r="D297" s="5" t="s">
        <v>1881</v>
      </c>
      <c r="E297" s="4"/>
      <c r="F297" s="4"/>
      <c r="G297" s="4" t="s">
        <v>1888</v>
      </c>
      <c r="H297" s="4"/>
      <c r="I297" s="4" t="s">
        <v>1889</v>
      </c>
      <c r="J297" s="4"/>
      <c r="K297" s="4"/>
      <c r="L297" s="4"/>
      <c r="M297" s="4"/>
      <c r="N297" s="4" t="s">
        <v>1890</v>
      </c>
      <c r="O297" s="4"/>
      <c r="P297" s="4" t="s">
        <v>1891</v>
      </c>
      <c r="Q297" s="4"/>
      <c r="R297" s="4"/>
      <c r="S297" s="4"/>
      <c r="T297" s="4"/>
      <c r="U297" s="4"/>
      <c r="V297" s="4"/>
      <c r="W297" s="4"/>
      <c r="X297" s="4"/>
      <c r="Y297" s="4"/>
      <c r="Z297" s="4"/>
      <c r="AA297" s="4"/>
      <c r="AB297" s="5"/>
      <c r="AC297" s="5"/>
      <c r="AD297" s="4"/>
      <c r="AE297" s="4"/>
      <c r="AF297" s="4"/>
      <c r="AG297" s="4"/>
    </row>
    <row r="298">
      <c r="A298" s="5" t="s">
        <v>1892</v>
      </c>
      <c r="B298" s="5" t="s">
        <v>1893</v>
      </c>
      <c r="C298" s="5" t="s">
        <v>78</v>
      </c>
      <c r="D298" s="5" t="s">
        <v>1881</v>
      </c>
      <c r="E298" s="4"/>
      <c r="F298" s="4"/>
      <c r="G298" s="4" t="s">
        <v>1894</v>
      </c>
      <c r="H298" s="4"/>
      <c r="I298" s="4" t="s">
        <v>1883</v>
      </c>
      <c r="J298" s="4"/>
      <c r="K298" s="4"/>
      <c r="L298" s="4"/>
      <c r="M298" s="4"/>
      <c r="N298" s="4" t="s">
        <v>1884</v>
      </c>
      <c r="O298" s="4"/>
      <c r="P298" s="4" t="s">
        <v>1895</v>
      </c>
      <c r="Q298" s="4"/>
      <c r="R298" s="4"/>
      <c r="S298" s="4"/>
      <c r="T298" s="4"/>
      <c r="U298" s="4"/>
      <c r="V298" s="4"/>
      <c r="W298" s="4"/>
      <c r="X298" s="4"/>
      <c r="Y298" s="4"/>
      <c r="Z298" s="4"/>
      <c r="AA298" s="4"/>
      <c r="AB298" s="5"/>
      <c r="AC298" s="5"/>
      <c r="AD298" s="4"/>
      <c r="AE298" s="4"/>
      <c r="AF298" s="4"/>
      <c r="AG298" s="4"/>
    </row>
    <row r="299">
      <c r="A299" s="5" t="s">
        <v>1896</v>
      </c>
      <c r="B299" s="5" t="s">
        <v>1897</v>
      </c>
      <c r="C299" s="5" t="s">
        <v>78</v>
      </c>
      <c r="D299" s="5" t="s">
        <v>1881</v>
      </c>
      <c r="E299" s="4"/>
      <c r="F299" s="4"/>
      <c r="G299" s="4" t="s">
        <v>1898</v>
      </c>
      <c r="H299" s="4"/>
      <c r="I299" s="4" t="s">
        <v>1883</v>
      </c>
      <c r="J299" s="4"/>
      <c r="K299" s="4"/>
      <c r="L299" s="4"/>
      <c r="M299" s="4"/>
      <c r="N299" s="4" t="s">
        <v>1884</v>
      </c>
      <c r="O299" s="4"/>
      <c r="P299" s="4" t="s">
        <v>1899</v>
      </c>
      <c r="Q299" s="4"/>
      <c r="R299" s="4"/>
      <c r="S299" s="4"/>
      <c r="T299" s="4"/>
      <c r="U299" s="4"/>
      <c r="V299" s="4"/>
      <c r="W299" s="4"/>
      <c r="X299" s="4"/>
      <c r="Y299" s="4"/>
      <c r="Z299" s="4"/>
      <c r="AA299" s="4"/>
      <c r="AB299" s="5"/>
      <c r="AC299" s="5"/>
      <c r="AD299" s="4"/>
      <c r="AE299" s="4"/>
      <c r="AF299" s="4"/>
      <c r="AG299" s="4"/>
    </row>
    <row r="300">
      <c r="A300" s="5" t="s">
        <v>1900</v>
      </c>
      <c r="B300" s="5" t="s">
        <v>1901</v>
      </c>
      <c r="C300" s="5" t="s">
        <v>78</v>
      </c>
      <c r="D300" s="5" t="s">
        <v>1881</v>
      </c>
      <c r="E300" s="4"/>
      <c r="F300" s="4"/>
      <c r="G300" s="4" t="s">
        <v>1902</v>
      </c>
      <c r="H300" s="4"/>
      <c r="I300" s="4" t="s">
        <v>1883</v>
      </c>
      <c r="J300" s="4"/>
      <c r="K300" s="4"/>
      <c r="L300" s="4"/>
      <c r="M300" s="4"/>
      <c r="N300" s="4" t="s">
        <v>1884</v>
      </c>
      <c r="O300" s="4"/>
      <c r="P300" s="4" t="s">
        <v>1903</v>
      </c>
      <c r="Q300" s="4"/>
      <c r="R300" s="4"/>
      <c r="S300" s="4"/>
      <c r="T300" s="4"/>
      <c r="U300" s="4"/>
      <c r="V300" s="4"/>
      <c r="W300" s="4"/>
      <c r="X300" s="4"/>
      <c r="Y300" s="4"/>
      <c r="Z300" s="4"/>
      <c r="AA300" s="4"/>
      <c r="AB300" s="5"/>
      <c r="AC300" s="5"/>
      <c r="AD300" s="4"/>
      <c r="AE300" s="4"/>
      <c r="AF300" s="4"/>
      <c r="AG300" s="4"/>
    </row>
    <row r="301">
      <c r="A301" s="5" t="s">
        <v>1472</v>
      </c>
      <c r="B301" s="5" t="s">
        <v>1904</v>
      </c>
      <c r="C301" s="5" t="s">
        <v>210</v>
      </c>
      <c r="D301" s="5" t="s">
        <v>73</v>
      </c>
      <c r="E301" s="4"/>
      <c r="F301" s="4"/>
      <c r="G301" s="4" t="s">
        <v>1905</v>
      </c>
      <c r="H301" s="4" t="s">
        <v>1906</v>
      </c>
      <c r="I301" s="4" t="s">
        <v>1907</v>
      </c>
      <c r="J301" s="4"/>
      <c r="K301" s="4"/>
      <c r="L301" s="4"/>
      <c r="M301" s="4" t="s">
        <v>560</v>
      </c>
      <c r="N301" s="4" t="s">
        <v>1908</v>
      </c>
      <c r="O301" s="4"/>
      <c r="P301" s="4" t="s">
        <v>1909</v>
      </c>
      <c r="Q301" s="4"/>
      <c r="R301" s="4"/>
      <c r="S301" s="4"/>
      <c r="T301" s="4" t="s">
        <v>698</v>
      </c>
      <c r="U301" s="4"/>
      <c r="V301" s="4"/>
      <c r="W301" s="4"/>
      <c r="X301" s="4" t="s">
        <v>1910</v>
      </c>
      <c r="Y301" s="4" t="s">
        <v>553</v>
      </c>
      <c r="Z301" s="4"/>
      <c r="AA301" s="4"/>
      <c r="AB301" s="5" t="s">
        <v>220</v>
      </c>
      <c r="AC301" s="5" t="s">
        <v>1911</v>
      </c>
      <c r="AD301" s="4"/>
      <c r="AE301" s="4"/>
      <c r="AF301" s="4"/>
      <c r="AG301" s="4"/>
    </row>
    <row r="302">
      <c r="A302" s="5" t="s">
        <v>1912</v>
      </c>
      <c r="B302" s="5" t="s">
        <v>1913</v>
      </c>
      <c r="C302" s="5" t="s">
        <v>210</v>
      </c>
      <c r="D302" s="5" t="s">
        <v>73</v>
      </c>
      <c r="E302" s="4"/>
      <c r="F302" s="4"/>
      <c r="G302" s="4" t="s">
        <v>1914</v>
      </c>
      <c r="H302" s="4" t="s">
        <v>558</v>
      </c>
      <c r="I302" s="4" t="s">
        <v>1907</v>
      </c>
      <c r="J302" s="4"/>
      <c r="K302" s="4"/>
      <c r="L302" s="4"/>
      <c r="M302" s="4" t="s">
        <v>560</v>
      </c>
      <c r="N302" s="4" t="s">
        <v>1915</v>
      </c>
      <c r="O302" s="4"/>
      <c r="P302" s="4" t="s">
        <v>1916</v>
      </c>
      <c r="Q302" s="4"/>
      <c r="R302" s="4"/>
      <c r="S302" s="4"/>
      <c r="T302" s="4" t="s">
        <v>468</v>
      </c>
      <c r="U302" s="4"/>
      <c r="V302" s="4"/>
      <c r="W302" s="4"/>
      <c r="X302" s="4" t="s">
        <v>1910</v>
      </c>
      <c r="Y302" s="4" t="s">
        <v>471</v>
      </c>
      <c r="Z302" s="4"/>
      <c r="AA302" s="4"/>
      <c r="AB302" s="5" t="s">
        <v>220</v>
      </c>
      <c r="AC302" s="5" t="s">
        <v>1917</v>
      </c>
      <c r="AD302" s="4"/>
      <c r="AE302" s="4"/>
      <c r="AF302" s="4"/>
      <c r="AG302" s="4"/>
    </row>
    <row r="303">
      <c r="A303" s="5" t="s">
        <v>268</v>
      </c>
      <c r="B303" s="5" t="s">
        <v>1918</v>
      </c>
      <c r="C303" s="5" t="s">
        <v>38</v>
      </c>
      <c r="D303" s="5" t="s">
        <v>73</v>
      </c>
      <c r="E303" s="4"/>
      <c r="F303" s="4"/>
      <c r="G303" s="4" t="s">
        <v>1128</v>
      </c>
      <c r="H303" s="4"/>
      <c r="I303" s="4" t="s">
        <v>1919</v>
      </c>
      <c r="J303" s="4"/>
      <c r="K303" s="4"/>
      <c r="L303" s="4"/>
      <c r="M303" s="4" t="s">
        <v>560</v>
      </c>
      <c r="N303" s="4" t="s">
        <v>1920</v>
      </c>
      <c r="O303" s="4"/>
      <c r="P303" s="4" t="s">
        <v>1921</v>
      </c>
      <c r="Q303" s="4"/>
      <c r="R303" s="4"/>
      <c r="S303" s="4"/>
      <c r="T303" s="4"/>
      <c r="U303" s="4"/>
      <c r="V303" s="4"/>
      <c r="W303" s="4"/>
      <c r="X303" s="4" t="s">
        <v>1922</v>
      </c>
      <c r="Y303" s="4"/>
      <c r="Z303" s="4"/>
      <c r="AA303" s="4"/>
      <c r="AB303" s="5"/>
      <c r="AC303" s="5"/>
      <c r="AD303" s="4"/>
      <c r="AE303" s="4"/>
      <c r="AF303" s="4"/>
      <c r="AG303" s="4"/>
    </row>
    <row r="304">
      <c r="A304" s="5" t="s">
        <v>1128</v>
      </c>
      <c r="B304" s="5" t="s">
        <v>1923</v>
      </c>
      <c r="C304" s="5" t="s">
        <v>38</v>
      </c>
      <c r="D304" s="5" t="s">
        <v>73</v>
      </c>
      <c r="E304" s="4"/>
      <c r="F304" s="4"/>
      <c r="G304" s="4" t="s">
        <v>268</v>
      </c>
      <c r="H304" s="4"/>
      <c r="I304" s="4" t="s">
        <v>1919</v>
      </c>
      <c r="J304" s="4"/>
      <c r="K304" s="4"/>
      <c r="L304" s="4"/>
      <c r="M304" s="4" t="s">
        <v>560</v>
      </c>
      <c r="N304" s="4" t="s">
        <v>1920</v>
      </c>
      <c r="O304" s="4" t="s">
        <v>1924</v>
      </c>
      <c r="P304" s="4" t="s">
        <v>1925</v>
      </c>
      <c r="Q304" s="4"/>
      <c r="R304" s="4"/>
      <c r="S304" s="4"/>
      <c r="T304" s="4"/>
      <c r="U304" s="4"/>
      <c r="V304" s="4"/>
      <c r="W304" s="4"/>
      <c r="X304" s="4" t="s">
        <v>1922</v>
      </c>
      <c r="Y304" s="4"/>
      <c r="Z304" s="4"/>
      <c r="AA304" s="4"/>
      <c r="AB304" s="5"/>
      <c r="AC304" s="5"/>
      <c r="AD304" s="4"/>
      <c r="AE304" s="4"/>
      <c r="AF304" s="4"/>
      <c r="AG304" s="4"/>
    </row>
    <row r="305">
      <c r="A305" s="5" t="s">
        <v>225</v>
      </c>
      <c r="B305" s="5" t="s">
        <v>1926</v>
      </c>
      <c r="C305" s="5" t="s">
        <v>210</v>
      </c>
      <c r="D305" s="5" t="s">
        <v>691</v>
      </c>
      <c r="E305" s="4"/>
      <c r="F305" s="4"/>
      <c r="G305" s="4" t="s">
        <v>1927</v>
      </c>
      <c r="H305" s="4" t="s">
        <v>1928</v>
      </c>
      <c r="I305" s="4" t="s">
        <v>1929</v>
      </c>
      <c r="J305" s="4" t="s">
        <v>1930</v>
      </c>
      <c r="K305" s="4"/>
      <c r="L305" s="4"/>
      <c r="M305" s="4" t="s">
        <v>642</v>
      </c>
      <c r="N305" s="4" t="s">
        <v>1931</v>
      </c>
      <c r="O305" s="4" t="s">
        <v>1932</v>
      </c>
      <c r="P305" s="4" t="s">
        <v>1930</v>
      </c>
      <c r="Q305" s="4"/>
      <c r="R305" s="4"/>
      <c r="S305" s="4"/>
      <c r="T305" s="4"/>
      <c r="U305" s="4"/>
      <c r="V305" s="4" t="s">
        <v>469</v>
      </c>
      <c r="W305" s="6">
        <v>1.0</v>
      </c>
      <c r="X305" s="4"/>
      <c r="Y305" s="4"/>
      <c r="Z305" s="4"/>
      <c r="AA305" s="4"/>
      <c r="AB305" s="5" t="s">
        <v>472</v>
      </c>
      <c r="AC305" s="5" t="s">
        <v>1933</v>
      </c>
      <c r="AD305" s="4"/>
      <c r="AE305" s="4"/>
      <c r="AF305" s="4"/>
      <c r="AG305" s="4"/>
    </row>
    <row r="306">
      <c r="A306" s="5" t="s">
        <v>1802</v>
      </c>
      <c r="B306" s="5" t="s">
        <v>1934</v>
      </c>
      <c r="C306" s="5" t="s">
        <v>78</v>
      </c>
      <c r="D306" s="5" t="s">
        <v>377</v>
      </c>
      <c r="E306" s="4"/>
      <c r="F306" s="4"/>
      <c r="G306" s="4" t="s">
        <v>1800</v>
      </c>
      <c r="H306" s="4"/>
      <c r="I306" s="4" t="s">
        <v>1803</v>
      </c>
      <c r="J306" s="4" t="s">
        <v>1935</v>
      </c>
      <c r="K306" s="4" t="s">
        <v>1936</v>
      </c>
      <c r="L306" s="4"/>
      <c r="M306" s="4" t="s">
        <v>380</v>
      </c>
      <c r="N306" s="4" t="s">
        <v>1806</v>
      </c>
      <c r="O306" s="4" t="s">
        <v>1807</v>
      </c>
      <c r="P306" s="4"/>
      <c r="Q306" s="4" t="s">
        <v>1937</v>
      </c>
      <c r="R306" s="4" t="s">
        <v>1938</v>
      </c>
      <c r="S306" s="4"/>
      <c r="T306" s="4" t="s">
        <v>687</v>
      </c>
      <c r="U306" s="4"/>
      <c r="V306" s="4"/>
      <c r="W306" s="4"/>
      <c r="X306" s="4" t="s">
        <v>1811</v>
      </c>
      <c r="Y306" s="4" t="s">
        <v>272</v>
      </c>
      <c r="Z306" s="4"/>
      <c r="AA306" s="4"/>
      <c r="AB306" s="5" t="s">
        <v>220</v>
      </c>
      <c r="AC306" s="5" t="s">
        <v>1939</v>
      </c>
      <c r="AD306" s="4"/>
      <c r="AE306" s="4"/>
      <c r="AF306" s="4"/>
      <c r="AG306" s="4"/>
    </row>
    <row r="307">
      <c r="A307" s="5" t="s">
        <v>1940</v>
      </c>
      <c r="B307" s="5" t="s">
        <v>1941</v>
      </c>
      <c r="C307" s="5" t="s">
        <v>78</v>
      </c>
      <c r="D307" s="5" t="s">
        <v>377</v>
      </c>
      <c r="E307" s="4"/>
      <c r="F307" s="4"/>
      <c r="G307" s="4" t="s">
        <v>1942</v>
      </c>
      <c r="H307" s="4" t="s">
        <v>1943</v>
      </c>
      <c r="I307" s="4" t="s">
        <v>1944</v>
      </c>
      <c r="J307" s="4" t="s">
        <v>1945</v>
      </c>
      <c r="K307" s="4"/>
      <c r="L307" s="4"/>
      <c r="M307" s="4" t="s">
        <v>380</v>
      </c>
      <c r="N307" s="4" t="s">
        <v>1946</v>
      </c>
      <c r="O307" s="4" t="s">
        <v>1947</v>
      </c>
      <c r="P307" s="4"/>
      <c r="Q307" s="4"/>
      <c r="R307" s="4"/>
      <c r="S307" s="4"/>
      <c r="T307" s="4" t="s">
        <v>698</v>
      </c>
      <c r="U307" s="4"/>
      <c r="V307" s="4"/>
      <c r="W307" s="4"/>
      <c r="X307" s="4" t="s">
        <v>1811</v>
      </c>
      <c r="Y307" s="4"/>
      <c r="Z307" s="4"/>
      <c r="AA307" s="4"/>
      <c r="AB307" s="5" t="s">
        <v>220</v>
      </c>
      <c r="AC307" s="5" t="s">
        <v>1948</v>
      </c>
      <c r="AD307" s="4"/>
      <c r="AE307" s="4"/>
      <c r="AF307" s="4"/>
      <c r="AG307" s="4"/>
    </row>
    <row r="308">
      <c r="A308" s="5" t="s">
        <v>1949</v>
      </c>
      <c r="B308" s="5" t="s">
        <v>1950</v>
      </c>
      <c r="C308" s="5" t="s">
        <v>210</v>
      </c>
      <c r="D308" s="5" t="s">
        <v>35</v>
      </c>
      <c r="E308" s="4"/>
      <c r="F308" s="4"/>
      <c r="G308" s="4" t="s">
        <v>1951</v>
      </c>
      <c r="H308" s="4"/>
      <c r="I308" s="4" t="s">
        <v>1952</v>
      </c>
      <c r="J308" s="4"/>
      <c r="K308" s="4"/>
      <c r="L308" s="4"/>
      <c r="M308" s="4" t="s">
        <v>299</v>
      </c>
      <c r="N308" s="4" t="s">
        <v>1953</v>
      </c>
      <c r="O308" s="4" t="s">
        <v>1311</v>
      </c>
      <c r="P308" s="4" t="s">
        <v>1954</v>
      </c>
      <c r="Q308" s="4"/>
      <c r="R308" s="4"/>
      <c r="S308" s="4"/>
      <c r="T308" s="4"/>
      <c r="U308" s="4"/>
      <c r="V308" s="4"/>
      <c r="W308" s="4"/>
      <c r="X308" s="4"/>
      <c r="Y308" s="4"/>
      <c r="Z308" s="4"/>
      <c r="AA308" s="4"/>
      <c r="AB308" s="5"/>
      <c r="AC308" s="5"/>
      <c r="AD308" s="4"/>
      <c r="AE308" s="4"/>
      <c r="AF308" s="4"/>
      <c r="AG308" s="4"/>
    </row>
    <row r="309">
      <c r="A309" s="5" t="s">
        <v>1888</v>
      </c>
      <c r="B309" s="5" t="s">
        <v>1955</v>
      </c>
      <c r="C309" s="5" t="s">
        <v>78</v>
      </c>
      <c r="D309" s="5" t="s">
        <v>1881</v>
      </c>
      <c r="E309" s="4"/>
      <c r="F309" s="4"/>
      <c r="G309" s="4" t="s">
        <v>1886</v>
      </c>
      <c r="H309" s="4"/>
      <c r="I309" s="4" t="s">
        <v>1889</v>
      </c>
      <c r="J309" s="4"/>
      <c r="K309" s="4"/>
      <c r="L309" s="4"/>
      <c r="M309" s="4"/>
      <c r="N309" s="4" t="s">
        <v>1890</v>
      </c>
      <c r="O309" s="4"/>
      <c r="P309" s="4" t="s">
        <v>1956</v>
      </c>
      <c r="Q309" s="4"/>
      <c r="R309" s="4"/>
      <c r="S309" s="4"/>
      <c r="T309" s="4"/>
      <c r="U309" s="4"/>
      <c r="V309" s="4"/>
      <c r="W309" s="4"/>
      <c r="X309" s="4"/>
      <c r="Y309" s="4"/>
      <c r="Z309" s="4"/>
      <c r="AA309" s="4"/>
      <c r="AB309" s="5"/>
      <c r="AC309" s="5"/>
      <c r="AD309" s="4"/>
      <c r="AE309" s="4"/>
      <c r="AF309" s="4"/>
      <c r="AG309" s="4"/>
    </row>
    <row r="310">
      <c r="A310" s="5" t="s">
        <v>1957</v>
      </c>
      <c r="B310" s="5" t="s">
        <v>1958</v>
      </c>
      <c r="C310" s="5" t="s">
        <v>78</v>
      </c>
      <c r="D310" s="5" t="s">
        <v>1881</v>
      </c>
      <c r="E310" s="4"/>
      <c r="F310" s="4"/>
      <c r="G310" s="4" t="s">
        <v>1959</v>
      </c>
      <c r="H310" s="4"/>
      <c r="I310" s="4" t="s">
        <v>1883</v>
      </c>
      <c r="J310" s="4"/>
      <c r="K310" s="4"/>
      <c r="L310" s="4"/>
      <c r="M310" s="4"/>
      <c r="N310" s="4" t="s">
        <v>1884</v>
      </c>
      <c r="O310" s="4"/>
      <c r="P310" s="4" t="s">
        <v>1960</v>
      </c>
      <c r="Q310" s="4"/>
      <c r="R310" s="4"/>
      <c r="S310" s="4"/>
      <c r="T310" s="4"/>
      <c r="U310" s="4"/>
      <c r="V310" s="4"/>
      <c r="W310" s="4"/>
      <c r="X310" s="4"/>
      <c r="Y310" s="4"/>
      <c r="Z310" s="4"/>
      <c r="AA310" s="4"/>
      <c r="AB310" s="5"/>
      <c r="AC310" s="5"/>
      <c r="AD310" s="4"/>
      <c r="AE310" s="4"/>
      <c r="AF310" s="4"/>
      <c r="AG310" s="4"/>
    </row>
    <row r="311">
      <c r="A311" s="5" t="s">
        <v>1961</v>
      </c>
      <c r="B311" s="5" t="s">
        <v>1962</v>
      </c>
      <c r="C311" s="5" t="s">
        <v>78</v>
      </c>
      <c r="D311" s="5" t="s">
        <v>1881</v>
      </c>
      <c r="E311" s="4"/>
      <c r="F311" s="4"/>
      <c r="G311" s="4" t="s">
        <v>1963</v>
      </c>
      <c r="H311" s="4"/>
      <c r="I311" s="4" t="s">
        <v>1883</v>
      </c>
      <c r="J311" s="4"/>
      <c r="K311" s="4"/>
      <c r="L311" s="4"/>
      <c r="M311" s="4"/>
      <c r="N311" s="4" t="s">
        <v>1884</v>
      </c>
      <c r="O311" s="4"/>
      <c r="P311" s="4" t="s">
        <v>1964</v>
      </c>
      <c r="Q311" s="4"/>
      <c r="R311" s="4"/>
      <c r="S311" s="4"/>
      <c r="T311" s="4"/>
      <c r="U311" s="4"/>
      <c r="V311" s="4"/>
      <c r="W311" s="4"/>
      <c r="X311" s="4"/>
      <c r="Y311" s="4"/>
      <c r="Z311" s="4"/>
      <c r="AA311" s="4"/>
      <c r="AB311" s="5"/>
      <c r="AC311" s="5"/>
      <c r="AD311" s="4"/>
      <c r="AE311" s="4"/>
      <c r="AF311" s="4"/>
      <c r="AG311" s="4"/>
    </row>
    <row r="312">
      <c r="A312" s="5" t="s">
        <v>1965</v>
      </c>
      <c r="B312" s="5" t="s">
        <v>1966</v>
      </c>
      <c r="C312" s="5" t="s">
        <v>210</v>
      </c>
      <c r="D312" s="5" t="s">
        <v>73</v>
      </c>
      <c r="E312" s="4"/>
      <c r="F312" s="4"/>
      <c r="G312" s="4" t="s">
        <v>1967</v>
      </c>
      <c r="H312" s="4" t="s">
        <v>558</v>
      </c>
      <c r="I312" s="4" t="s">
        <v>1907</v>
      </c>
      <c r="J312" s="4"/>
      <c r="K312" s="4"/>
      <c r="L312" s="4"/>
      <c r="M312" s="4" t="s">
        <v>560</v>
      </c>
      <c r="N312" s="4" t="s">
        <v>1915</v>
      </c>
      <c r="O312" s="4"/>
      <c r="P312" s="4" t="s">
        <v>1968</v>
      </c>
      <c r="Q312" s="4"/>
      <c r="R312" s="4"/>
      <c r="S312" s="4"/>
      <c r="T312" s="4" t="s">
        <v>468</v>
      </c>
      <c r="U312" s="4"/>
      <c r="V312" s="4"/>
      <c r="W312" s="4"/>
      <c r="X312" s="4" t="s">
        <v>1910</v>
      </c>
      <c r="Y312" s="4" t="s">
        <v>471</v>
      </c>
      <c r="Z312" s="4"/>
      <c r="AA312" s="4"/>
      <c r="AB312" s="5" t="s">
        <v>220</v>
      </c>
      <c r="AC312" s="5" t="s">
        <v>1969</v>
      </c>
      <c r="AD312" s="4"/>
      <c r="AE312" s="4"/>
      <c r="AF312" s="4"/>
      <c r="AG312" s="4"/>
    </row>
    <row r="313">
      <c r="A313" s="5" t="s">
        <v>1970</v>
      </c>
      <c r="B313" s="5" t="s">
        <v>1971</v>
      </c>
      <c r="C313" s="5" t="s">
        <v>210</v>
      </c>
      <c r="D313" s="5" t="s">
        <v>73</v>
      </c>
      <c r="E313" s="4"/>
      <c r="F313" s="4"/>
      <c r="G313" s="4"/>
      <c r="H313" s="4" t="s">
        <v>558</v>
      </c>
      <c r="I313" s="4" t="s">
        <v>1972</v>
      </c>
      <c r="J313" s="4"/>
      <c r="K313" s="4"/>
      <c r="L313" s="4"/>
      <c r="M313" s="4" t="s">
        <v>560</v>
      </c>
      <c r="N313" s="4" t="s">
        <v>1973</v>
      </c>
      <c r="O313" s="4"/>
      <c r="P313" s="4" t="s">
        <v>1974</v>
      </c>
      <c r="Q313" s="4"/>
      <c r="R313" s="4"/>
      <c r="S313" s="4"/>
      <c r="T313" s="4"/>
      <c r="U313" s="4"/>
      <c r="V313" s="4"/>
      <c r="W313" s="4"/>
      <c r="X313" s="4"/>
      <c r="Y313" s="4"/>
      <c r="Z313" s="4"/>
      <c r="AA313" s="4"/>
      <c r="AB313" s="5" t="s">
        <v>220</v>
      </c>
      <c r="AC313" s="5" t="s">
        <v>1975</v>
      </c>
      <c r="AD313" s="4"/>
      <c r="AE313" s="4"/>
      <c r="AF313" s="4"/>
      <c r="AG313" s="4"/>
    </row>
    <row r="314">
      <c r="A314" s="5" t="s">
        <v>297</v>
      </c>
      <c r="B314" s="5" t="s">
        <v>1976</v>
      </c>
      <c r="C314" s="5" t="s">
        <v>78</v>
      </c>
      <c r="D314" s="5" t="s">
        <v>257</v>
      </c>
      <c r="E314" s="4"/>
      <c r="F314" s="4"/>
      <c r="G314" s="4" t="s">
        <v>1977</v>
      </c>
      <c r="H314" s="4"/>
      <c r="I314" s="4" t="s">
        <v>1978</v>
      </c>
      <c r="J314" s="4" t="s">
        <v>1979</v>
      </c>
      <c r="K314" s="4" t="s">
        <v>1980</v>
      </c>
      <c r="L314" s="4"/>
      <c r="M314" s="4" t="s">
        <v>263</v>
      </c>
      <c r="N314" s="4" t="s">
        <v>1981</v>
      </c>
      <c r="O314" s="4" t="s">
        <v>404</v>
      </c>
      <c r="P314" s="4" t="s">
        <v>1982</v>
      </c>
      <c r="Q314" s="4" t="s">
        <v>267</v>
      </c>
      <c r="R314" s="4" t="s">
        <v>1636</v>
      </c>
      <c r="S314" s="4"/>
      <c r="T314" s="4" t="s">
        <v>269</v>
      </c>
      <c r="U314" s="4"/>
      <c r="V314" s="4" t="s">
        <v>287</v>
      </c>
      <c r="W314" s="6">
        <v>2.0</v>
      </c>
      <c r="X314" s="4" t="s">
        <v>511</v>
      </c>
      <c r="Y314" s="4" t="s">
        <v>272</v>
      </c>
      <c r="Z314" s="4"/>
      <c r="AA314" s="4"/>
      <c r="AB314" s="5" t="s">
        <v>873</v>
      </c>
      <c r="AC314" s="5" t="s">
        <v>1983</v>
      </c>
      <c r="AD314" s="4"/>
      <c r="AE314" s="4"/>
      <c r="AF314" s="4"/>
      <c r="AG314" s="4"/>
    </row>
    <row r="315">
      <c r="A315" s="5" t="s">
        <v>233</v>
      </c>
      <c r="B315" s="5" t="s">
        <v>1984</v>
      </c>
      <c r="C315" s="5" t="s">
        <v>78</v>
      </c>
      <c r="D315" s="5" t="s">
        <v>257</v>
      </c>
      <c r="E315" s="4"/>
      <c r="F315" s="4"/>
      <c r="G315" s="4" t="s">
        <v>1985</v>
      </c>
      <c r="H315" s="4"/>
      <c r="I315" s="4" t="s">
        <v>1986</v>
      </c>
      <c r="J315" s="4" t="s">
        <v>1987</v>
      </c>
      <c r="K315" s="4" t="s">
        <v>1988</v>
      </c>
      <c r="L315" s="4"/>
      <c r="M315" s="4" t="s">
        <v>1250</v>
      </c>
      <c r="N315" s="4" t="s">
        <v>1989</v>
      </c>
      <c r="O315" s="4" t="s">
        <v>404</v>
      </c>
      <c r="P315" s="4" t="s">
        <v>1990</v>
      </c>
      <c r="Q315" s="4" t="s">
        <v>267</v>
      </c>
      <c r="R315" s="4" t="s">
        <v>1636</v>
      </c>
      <c r="S315" s="4"/>
      <c r="T315" s="4" t="s">
        <v>269</v>
      </c>
      <c r="U315" s="4"/>
      <c r="V315" s="4" t="s">
        <v>287</v>
      </c>
      <c r="W315" s="6">
        <v>1.0</v>
      </c>
      <c r="X315" s="4" t="s">
        <v>1612</v>
      </c>
      <c r="Y315" s="4" t="s">
        <v>272</v>
      </c>
      <c r="Z315" s="4"/>
      <c r="AA315" s="4"/>
      <c r="AB315" s="5" t="s">
        <v>288</v>
      </c>
      <c r="AC315" s="5" t="s">
        <v>1991</v>
      </c>
      <c r="AD315" s="4"/>
      <c r="AE315" s="4"/>
      <c r="AF315" s="4"/>
      <c r="AG315" s="4"/>
    </row>
    <row r="316">
      <c r="A316" s="5" t="s">
        <v>1992</v>
      </c>
      <c r="B316" s="5" t="s">
        <v>1993</v>
      </c>
      <c r="C316" s="5" t="s">
        <v>210</v>
      </c>
      <c r="D316" s="5" t="s">
        <v>52</v>
      </c>
      <c r="E316" s="4" t="s">
        <v>1994</v>
      </c>
      <c r="F316" s="4"/>
      <c r="G316" s="4"/>
      <c r="H316" s="4" t="s">
        <v>1995</v>
      </c>
      <c r="I316" s="4" t="s">
        <v>1996</v>
      </c>
      <c r="J316" s="4"/>
      <c r="K316" s="4"/>
      <c r="L316" s="4"/>
      <c r="M316" s="4" t="s">
        <v>380</v>
      </c>
      <c r="N316" s="4" t="s">
        <v>1997</v>
      </c>
      <c r="O316" s="4" t="s">
        <v>1998</v>
      </c>
      <c r="P316" s="4" t="s">
        <v>1999</v>
      </c>
      <c r="Q316" s="4"/>
      <c r="R316" s="4"/>
      <c r="S316" s="4"/>
      <c r="T316" s="4" t="s">
        <v>217</v>
      </c>
      <c r="U316" s="4"/>
      <c r="V316" s="4"/>
      <c r="W316" s="4"/>
      <c r="X316" s="4" t="s">
        <v>2000</v>
      </c>
      <c r="Y316" s="4" t="s">
        <v>553</v>
      </c>
      <c r="Z316" s="4"/>
      <c r="AA316" s="4"/>
      <c r="AB316" s="5" t="s">
        <v>220</v>
      </c>
      <c r="AC316" s="5" t="s">
        <v>2001</v>
      </c>
      <c r="AD316" s="4"/>
      <c r="AE316" s="4"/>
      <c r="AF316" s="4"/>
      <c r="AG316" s="4"/>
    </row>
    <row r="317">
      <c r="A317" s="5" t="s">
        <v>536</v>
      </c>
      <c r="B317" s="5" t="s">
        <v>2002</v>
      </c>
      <c r="C317" s="5" t="s">
        <v>210</v>
      </c>
      <c r="D317" s="5" t="s">
        <v>44</v>
      </c>
      <c r="E317" s="4" t="s">
        <v>2003</v>
      </c>
      <c r="F317" s="4"/>
      <c r="G317" s="4" t="s">
        <v>2004</v>
      </c>
      <c r="H317" s="4" t="s">
        <v>255</v>
      </c>
      <c r="I317" s="4" t="s">
        <v>2005</v>
      </c>
      <c r="J317" s="4"/>
      <c r="K317" s="4"/>
      <c r="L317" s="4"/>
      <c r="M317" s="4" t="s">
        <v>299</v>
      </c>
      <c r="N317" s="4" t="s">
        <v>2006</v>
      </c>
      <c r="O317" s="4" t="s">
        <v>540</v>
      </c>
      <c r="P317" s="4" t="s">
        <v>2007</v>
      </c>
      <c r="Q317" s="4"/>
      <c r="R317" s="4"/>
      <c r="S317" s="4"/>
      <c r="T317" s="4" t="s">
        <v>217</v>
      </c>
      <c r="U317" s="4" t="s">
        <v>2008</v>
      </c>
      <c r="V317" s="4"/>
      <c r="W317" s="4"/>
      <c r="X317" s="4"/>
      <c r="Y317" s="4"/>
      <c r="Z317" s="4"/>
      <c r="AA317" s="4"/>
      <c r="AB317" s="5"/>
      <c r="AC317" s="5"/>
      <c r="AD317" s="4"/>
      <c r="AE317" s="4"/>
      <c r="AF317" s="4"/>
      <c r="AG317" s="4"/>
    </row>
    <row r="318">
      <c r="A318" s="5" t="s">
        <v>419</v>
      </c>
      <c r="B318" s="5" t="s">
        <v>2009</v>
      </c>
      <c r="C318" s="5" t="s">
        <v>210</v>
      </c>
      <c r="D318" s="5" t="s">
        <v>257</v>
      </c>
      <c r="E318" s="4" t="s">
        <v>2010</v>
      </c>
      <c r="F318" s="4"/>
      <c r="G318" s="4" t="s">
        <v>2011</v>
      </c>
      <c r="H318" s="4" t="s">
        <v>2012</v>
      </c>
      <c r="I318" s="4" t="s">
        <v>2013</v>
      </c>
      <c r="J318" s="4"/>
      <c r="K318" s="4"/>
      <c r="L318" s="4"/>
      <c r="M318" s="4" t="s">
        <v>263</v>
      </c>
      <c r="N318" s="4" t="s">
        <v>2014</v>
      </c>
      <c r="O318" s="4" t="s">
        <v>2015</v>
      </c>
      <c r="P318" s="4" t="s">
        <v>2016</v>
      </c>
      <c r="Q318" s="4"/>
      <c r="R318" s="4"/>
      <c r="S318" s="4"/>
      <c r="T318" s="4" t="s">
        <v>551</v>
      </c>
      <c r="U318" s="4" t="s">
        <v>2017</v>
      </c>
      <c r="V318" s="4"/>
      <c r="W318" s="4"/>
      <c r="X318" s="4"/>
      <c r="Y318" s="4"/>
      <c r="Z318" s="4"/>
      <c r="AA318" s="4"/>
      <c r="AB318" s="5"/>
      <c r="AC318" s="5"/>
      <c r="AD318" s="4"/>
      <c r="AE318" s="4"/>
      <c r="AF318" s="4"/>
      <c r="AG318" s="4"/>
    </row>
    <row r="319">
      <c r="A319" s="5" t="s">
        <v>2018</v>
      </c>
      <c r="B319" s="5" t="s">
        <v>2019</v>
      </c>
      <c r="C319" s="5" t="s">
        <v>210</v>
      </c>
      <c r="D319" s="5" t="s">
        <v>44</v>
      </c>
      <c r="E319" s="4" t="s">
        <v>2020</v>
      </c>
      <c r="F319" s="4"/>
      <c r="G319" s="4" t="s">
        <v>2021</v>
      </c>
      <c r="H319" s="4" t="s">
        <v>255</v>
      </c>
      <c r="I319" s="4" t="s">
        <v>2022</v>
      </c>
      <c r="J319" s="4"/>
      <c r="K319" s="4"/>
      <c r="L319" s="4"/>
      <c r="M319" s="4" t="s">
        <v>299</v>
      </c>
      <c r="N319" s="4" t="s">
        <v>2023</v>
      </c>
      <c r="O319" s="4" t="s">
        <v>2024</v>
      </c>
      <c r="P319" s="4" t="s">
        <v>2025</v>
      </c>
      <c r="Q319" s="4"/>
      <c r="R319" s="4"/>
      <c r="S319" s="4"/>
      <c r="T319" s="4" t="s">
        <v>217</v>
      </c>
      <c r="U319" s="4" t="s">
        <v>2026</v>
      </c>
      <c r="V319" s="4"/>
      <c r="W319" s="4"/>
      <c r="X319" s="4"/>
      <c r="Y319" s="4"/>
      <c r="Z319" s="4"/>
      <c r="AA319" s="4"/>
      <c r="AB319" s="5"/>
      <c r="AC319" s="5"/>
      <c r="AD319" s="4"/>
      <c r="AE319" s="4"/>
      <c r="AF319" s="4"/>
      <c r="AG319" s="4"/>
    </row>
    <row r="320">
      <c r="A320" s="5" t="s">
        <v>2027</v>
      </c>
      <c r="B320" s="5" t="s">
        <v>2028</v>
      </c>
      <c r="C320" s="5" t="s">
        <v>210</v>
      </c>
      <c r="D320" s="5" t="s">
        <v>44</v>
      </c>
      <c r="E320" s="4" t="s">
        <v>2029</v>
      </c>
      <c r="F320" s="4"/>
      <c r="G320" s="4"/>
      <c r="H320" s="4" t="s">
        <v>2030</v>
      </c>
      <c r="I320" s="4" t="s">
        <v>2031</v>
      </c>
      <c r="J320" s="4"/>
      <c r="K320" s="4"/>
      <c r="L320" s="4"/>
      <c r="M320" s="4" t="s">
        <v>299</v>
      </c>
      <c r="N320" s="4" t="s">
        <v>2032</v>
      </c>
      <c r="O320" s="4" t="s">
        <v>2033</v>
      </c>
      <c r="P320" s="4" t="s">
        <v>2034</v>
      </c>
      <c r="Q320" s="4"/>
      <c r="R320" s="4"/>
      <c r="S320" s="4"/>
      <c r="T320" s="4" t="s">
        <v>2035</v>
      </c>
      <c r="U320" s="4" t="s">
        <v>2036</v>
      </c>
      <c r="V320" s="4"/>
      <c r="W320" s="4"/>
      <c r="X320" s="4"/>
      <c r="Y320" s="4"/>
      <c r="Z320" s="4"/>
      <c r="AA320" s="4"/>
      <c r="AB320" s="5"/>
      <c r="AC320" s="5"/>
      <c r="AD320" s="4"/>
      <c r="AE320" s="4"/>
      <c r="AF320" s="4"/>
      <c r="AG320" s="4"/>
    </row>
    <row r="321">
      <c r="A321" s="5" t="s">
        <v>2037</v>
      </c>
      <c r="B321" s="5" t="s">
        <v>2038</v>
      </c>
      <c r="C321" s="5" t="s">
        <v>210</v>
      </c>
      <c r="D321" s="5" t="s">
        <v>39</v>
      </c>
      <c r="E321" s="4" t="s">
        <v>2039</v>
      </c>
      <c r="F321" s="4"/>
      <c r="G321" s="4" t="s">
        <v>2040</v>
      </c>
      <c r="H321" s="4" t="s">
        <v>225</v>
      </c>
      <c r="I321" s="4" t="s">
        <v>2041</v>
      </c>
      <c r="J321" s="4"/>
      <c r="K321" s="4"/>
      <c r="L321" s="4"/>
      <c r="M321" s="4" t="s">
        <v>241</v>
      </c>
      <c r="N321" s="4" t="s">
        <v>2042</v>
      </c>
      <c r="O321" s="4" t="s">
        <v>2043</v>
      </c>
      <c r="P321" s="4" t="s">
        <v>2044</v>
      </c>
      <c r="Q321" s="4"/>
      <c r="R321" s="4"/>
      <c r="S321" s="4"/>
      <c r="T321" s="4" t="s">
        <v>217</v>
      </c>
      <c r="U321" s="4" t="s">
        <v>2045</v>
      </c>
      <c r="V321" s="4"/>
      <c r="W321" s="4"/>
      <c r="X321" s="4"/>
      <c r="Y321" s="4"/>
      <c r="Z321" s="4"/>
      <c r="AA321" s="4"/>
      <c r="AB321" s="5"/>
      <c r="AC321" s="5"/>
      <c r="AD321" s="4"/>
      <c r="AE321" s="4"/>
      <c r="AF321" s="4"/>
      <c r="AG321" s="4"/>
    </row>
    <row r="322">
      <c r="A322" s="5" t="s">
        <v>2046</v>
      </c>
      <c r="B322" s="5" t="s">
        <v>2047</v>
      </c>
      <c r="C322" s="5" t="s">
        <v>210</v>
      </c>
      <c r="D322" s="5" t="s">
        <v>39</v>
      </c>
      <c r="E322" s="4" t="s">
        <v>2048</v>
      </c>
      <c r="F322" s="4"/>
      <c r="G322" s="4" t="s">
        <v>2049</v>
      </c>
      <c r="H322" s="4" t="s">
        <v>845</v>
      </c>
      <c r="I322" s="4" t="s">
        <v>2050</v>
      </c>
      <c r="J322" s="4"/>
      <c r="K322" s="4"/>
      <c r="L322" s="4"/>
      <c r="M322" s="4" t="s">
        <v>346</v>
      </c>
      <c r="N322" s="4" t="s">
        <v>2051</v>
      </c>
      <c r="O322" s="4" t="s">
        <v>2043</v>
      </c>
      <c r="P322" s="4" t="s">
        <v>2052</v>
      </c>
      <c r="Q322" s="4"/>
      <c r="R322" s="4"/>
      <c r="S322" s="4"/>
      <c r="T322" s="4" t="s">
        <v>217</v>
      </c>
      <c r="U322" s="4"/>
      <c r="V322" s="4" t="s">
        <v>287</v>
      </c>
      <c r="W322" s="6">
        <v>1.0</v>
      </c>
      <c r="X322" s="4" t="s">
        <v>1178</v>
      </c>
      <c r="Y322" s="4" t="s">
        <v>553</v>
      </c>
      <c r="Z322" s="4"/>
      <c r="AA322" s="4"/>
      <c r="AB322" s="5" t="s">
        <v>288</v>
      </c>
      <c r="AC322" s="5" t="s">
        <v>2053</v>
      </c>
      <c r="AD322" s="4"/>
      <c r="AE322" s="4"/>
      <c r="AF322" s="4"/>
      <c r="AG322" s="4"/>
    </row>
    <row r="323">
      <c r="A323" s="5" t="s">
        <v>2054</v>
      </c>
      <c r="B323" s="5" t="s">
        <v>2055</v>
      </c>
      <c r="C323" s="5" t="s">
        <v>78</v>
      </c>
      <c r="D323" s="5" t="s">
        <v>1853</v>
      </c>
      <c r="E323" s="4" t="s">
        <v>2056</v>
      </c>
      <c r="F323" s="4"/>
      <c r="G323" s="4"/>
      <c r="H323" s="4"/>
      <c r="I323" s="4" t="s">
        <v>2057</v>
      </c>
      <c r="J323" s="4" t="s">
        <v>2058</v>
      </c>
      <c r="K323" s="4" t="s">
        <v>2059</v>
      </c>
      <c r="L323" s="4"/>
      <c r="M323" s="4" t="s">
        <v>1855</v>
      </c>
      <c r="N323" s="4" t="s">
        <v>2060</v>
      </c>
      <c r="O323" s="4" t="s">
        <v>2061</v>
      </c>
      <c r="P323" s="4" t="s">
        <v>2062</v>
      </c>
      <c r="Q323" s="4" t="s">
        <v>2063</v>
      </c>
      <c r="R323" s="4" t="s">
        <v>2064</v>
      </c>
      <c r="S323" s="4"/>
      <c r="T323" s="4" t="s">
        <v>2065</v>
      </c>
      <c r="U323" s="4"/>
      <c r="V323" s="4"/>
      <c r="W323" s="4"/>
      <c r="X323" s="4" t="s">
        <v>2066</v>
      </c>
      <c r="Y323" s="4" t="s">
        <v>272</v>
      </c>
      <c r="Z323" s="4"/>
      <c r="AA323" s="4"/>
      <c r="AB323" s="5" t="s">
        <v>220</v>
      </c>
      <c r="AC323" s="5" t="s">
        <v>2067</v>
      </c>
      <c r="AD323" s="4"/>
      <c r="AE323" s="4"/>
      <c r="AF323" s="4"/>
      <c r="AG323" s="4"/>
    </row>
    <row r="324">
      <c r="A324" s="5" t="s">
        <v>2068</v>
      </c>
      <c r="B324" s="5" t="s">
        <v>2069</v>
      </c>
      <c r="C324" s="5" t="s">
        <v>210</v>
      </c>
      <c r="D324" s="5" t="s">
        <v>257</v>
      </c>
      <c r="E324" s="4" t="s">
        <v>2070</v>
      </c>
      <c r="F324" s="4"/>
      <c r="G324" s="4" t="s">
        <v>2071</v>
      </c>
      <c r="H324" s="4"/>
      <c r="I324" s="4" t="s">
        <v>2072</v>
      </c>
      <c r="J324" s="4"/>
      <c r="K324" s="4"/>
      <c r="L324" s="4"/>
      <c r="M324" s="4" t="s">
        <v>263</v>
      </c>
      <c r="N324" s="4" t="s">
        <v>2073</v>
      </c>
      <c r="O324" s="4" t="s">
        <v>1483</v>
      </c>
      <c r="P324" s="4" t="s">
        <v>2074</v>
      </c>
      <c r="Q324" s="4"/>
      <c r="R324" s="4"/>
      <c r="S324" s="4"/>
      <c r="T324" s="4"/>
      <c r="U324" s="4"/>
      <c r="V324" s="4"/>
      <c r="W324" s="4"/>
      <c r="X324" s="4" t="s">
        <v>2075</v>
      </c>
      <c r="Y324" s="4" t="s">
        <v>471</v>
      </c>
      <c r="Z324" s="4"/>
      <c r="AA324" s="4"/>
      <c r="AB324" s="5" t="s">
        <v>220</v>
      </c>
      <c r="AC324" s="5" t="s">
        <v>2076</v>
      </c>
      <c r="AD324" s="4"/>
      <c r="AE324" s="4"/>
      <c r="AF324" s="4"/>
      <c r="AG324" s="4"/>
    </row>
    <row r="325">
      <c r="A325" s="5" t="s">
        <v>2077</v>
      </c>
      <c r="B325" s="5" t="s">
        <v>2078</v>
      </c>
      <c r="C325" s="5" t="s">
        <v>210</v>
      </c>
      <c r="D325" s="5" t="s">
        <v>39</v>
      </c>
      <c r="E325" s="4" t="s">
        <v>2079</v>
      </c>
      <c r="F325" s="4"/>
      <c r="G325" s="4" t="s">
        <v>2080</v>
      </c>
      <c r="H325" s="4" t="s">
        <v>255</v>
      </c>
      <c r="I325" s="4" t="s">
        <v>2081</v>
      </c>
      <c r="J325" s="4"/>
      <c r="K325" s="4"/>
      <c r="L325" s="4"/>
      <c r="M325" s="4" t="s">
        <v>346</v>
      </c>
      <c r="N325" s="4" t="s">
        <v>2082</v>
      </c>
      <c r="O325" s="4" t="s">
        <v>838</v>
      </c>
      <c r="P325" s="4"/>
      <c r="Q325" s="4"/>
      <c r="R325" s="4"/>
      <c r="S325" s="4"/>
      <c r="T325" s="4" t="s">
        <v>1738</v>
      </c>
      <c r="U325" s="4" t="s">
        <v>2083</v>
      </c>
      <c r="V325" s="4"/>
      <c r="W325" s="4"/>
      <c r="X325" s="4" t="s">
        <v>2084</v>
      </c>
      <c r="Y325" s="4"/>
      <c r="Z325" s="4"/>
      <c r="AA325" s="4"/>
      <c r="AB325" s="5"/>
      <c r="AC325" s="5"/>
      <c r="AD325" s="4"/>
      <c r="AE325" s="4"/>
      <c r="AF325" s="4"/>
      <c r="AG325" s="4"/>
    </row>
    <row r="326">
      <c r="A326" s="5" t="s">
        <v>2085</v>
      </c>
      <c r="B326" s="5" t="s">
        <v>2086</v>
      </c>
      <c r="C326" s="5" t="s">
        <v>210</v>
      </c>
      <c r="D326" s="5" t="s">
        <v>39</v>
      </c>
      <c r="E326" s="4" t="s">
        <v>2087</v>
      </c>
      <c r="F326" s="4"/>
      <c r="G326" s="4" t="s">
        <v>2088</v>
      </c>
      <c r="H326" s="4" t="s">
        <v>1025</v>
      </c>
      <c r="I326" s="4" t="s">
        <v>2081</v>
      </c>
      <c r="J326" s="4"/>
      <c r="K326" s="4"/>
      <c r="L326" s="4"/>
      <c r="M326" s="4" t="s">
        <v>346</v>
      </c>
      <c r="N326" s="4" t="s">
        <v>2082</v>
      </c>
      <c r="O326" s="4" t="s">
        <v>838</v>
      </c>
      <c r="P326" s="4"/>
      <c r="Q326" s="4"/>
      <c r="R326" s="4"/>
      <c r="S326" s="4"/>
      <c r="T326" s="4" t="s">
        <v>859</v>
      </c>
      <c r="U326" s="4"/>
      <c r="V326" s="4"/>
      <c r="W326" s="4"/>
      <c r="X326" s="4"/>
      <c r="Y326" s="4" t="s">
        <v>368</v>
      </c>
      <c r="Z326" s="4"/>
      <c r="AA326" s="4"/>
      <c r="AB326" s="5"/>
      <c r="AC326" s="5"/>
      <c r="AD326" s="4"/>
      <c r="AE326" s="4"/>
      <c r="AF326" s="4"/>
      <c r="AG326" s="4"/>
    </row>
    <row r="327">
      <c r="A327" s="5" t="s">
        <v>2089</v>
      </c>
      <c r="B327" s="5" t="s">
        <v>2090</v>
      </c>
      <c r="C327" s="5" t="s">
        <v>210</v>
      </c>
      <c r="D327" s="5" t="s">
        <v>35</v>
      </c>
      <c r="E327" s="4" t="s">
        <v>2091</v>
      </c>
      <c r="F327" s="4"/>
      <c r="G327" s="4" t="s">
        <v>2092</v>
      </c>
      <c r="H327" s="4"/>
      <c r="I327" s="4" t="s">
        <v>2093</v>
      </c>
      <c r="J327" s="4"/>
      <c r="K327" s="4"/>
      <c r="L327" s="4"/>
      <c r="M327" s="4" t="s">
        <v>299</v>
      </c>
      <c r="N327" s="4" t="s">
        <v>2094</v>
      </c>
      <c r="O327" s="4" t="s">
        <v>2095</v>
      </c>
      <c r="P327" s="4"/>
      <c r="Q327" s="4"/>
      <c r="R327" s="4"/>
      <c r="S327" s="4"/>
      <c r="T327" s="4"/>
      <c r="U327" s="4"/>
      <c r="V327" s="4"/>
      <c r="W327" s="4"/>
      <c r="X327" s="4"/>
      <c r="Y327" s="4"/>
      <c r="Z327" s="4"/>
      <c r="AA327" s="4"/>
      <c r="AB327" s="5"/>
      <c r="AC327" s="5"/>
      <c r="AD327" s="4"/>
      <c r="AE327" s="4"/>
      <c r="AF327" s="4"/>
      <c r="AG327" s="4"/>
    </row>
    <row r="328">
      <c r="A328" s="5" t="s">
        <v>2096</v>
      </c>
      <c r="B328" s="5" t="s">
        <v>2097</v>
      </c>
      <c r="C328" s="5" t="s">
        <v>210</v>
      </c>
      <c r="D328" s="5" t="s">
        <v>35</v>
      </c>
      <c r="E328" s="4" t="s">
        <v>2098</v>
      </c>
      <c r="F328" s="4"/>
      <c r="G328" s="4" t="s">
        <v>2099</v>
      </c>
      <c r="H328" s="4" t="s">
        <v>233</v>
      </c>
      <c r="I328" s="4" t="s">
        <v>2093</v>
      </c>
      <c r="J328" s="4"/>
      <c r="K328" s="4"/>
      <c r="L328" s="4"/>
      <c r="M328" s="4" t="s">
        <v>299</v>
      </c>
      <c r="N328" s="4" t="s">
        <v>2094</v>
      </c>
      <c r="O328" s="4" t="s">
        <v>2095</v>
      </c>
      <c r="P328" s="4" t="s">
        <v>2100</v>
      </c>
      <c r="Q328" s="4"/>
      <c r="R328" s="4"/>
      <c r="S328" s="4"/>
      <c r="T328" s="4" t="s">
        <v>217</v>
      </c>
      <c r="U328" s="4" t="s">
        <v>2101</v>
      </c>
      <c r="V328" s="4"/>
      <c r="W328" s="4"/>
      <c r="X328" s="4"/>
      <c r="Y328" s="4"/>
      <c r="Z328" s="4"/>
      <c r="AA328" s="4"/>
      <c r="AB328" s="5"/>
      <c r="AC328" s="5"/>
      <c r="AD328" s="4"/>
      <c r="AE328" s="4"/>
      <c r="AF328" s="4"/>
      <c r="AG328" s="4"/>
    </row>
    <row r="329">
      <c r="A329" s="5" t="s">
        <v>2102</v>
      </c>
      <c r="B329" s="5" t="s">
        <v>2103</v>
      </c>
      <c r="C329" s="5" t="s">
        <v>78</v>
      </c>
      <c r="D329" s="5" t="s">
        <v>73</v>
      </c>
      <c r="E329" s="4" t="s">
        <v>2104</v>
      </c>
      <c r="F329" s="4"/>
      <c r="G329" s="4" t="s">
        <v>2105</v>
      </c>
      <c r="H329" s="4"/>
      <c r="I329" s="4" t="s">
        <v>2106</v>
      </c>
      <c r="J329" s="4" t="s">
        <v>2107</v>
      </c>
      <c r="K329" s="4" t="s">
        <v>2108</v>
      </c>
      <c r="L329" s="4"/>
      <c r="M329" s="4" t="s">
        <v>2109</v>
      </c>
      <c r="N329" s="4" t="s">
        <v>2110</v>
      </c>
      <c r="O329" s="4" t="s">
        <v>2111</v>
      </c>
      <c r="P329" s="4" t="s">
        <v>2112</v>
      </c>
      <c r="Q329" s="4"/>
      <c r="R329" s="4"/>
      <c r="S329" s="4"/>
      <c r="T329" s="4" t="s">
        <v>2113</v>
      </c>
      <c r="U329" s="4" t="s">
        <v>2114</v>
      </c>
      <c r="V329" s="4"/>
      <c r="W329" s="4"/>
      <c r="X329" s="4"/>
      <c r="Y329" s="4"/>
      <c r="Z329" s="4"/>
      <c r="AA329" s="4"/>
      <c r="AB329" s="5"/>
      <c r="AC329" s="5"/>
      <c r="AD329" s="4"/>
      <c r="AE329" s="4"/>
      <c r="AF329" s="4"/>
      <c r="AG329" s="4"/>
    </row>
    <row r="330">
      <c r="A330" s="5" t="s">
        <v>2105</v>
      </c>
      <c r="B330" s="5" t="s">
        <v>2115</v>
      </c>
      <c r="C330" s="5" t="s">
        <v>78</v>
      </c>
      <c r="D330" s="5" t="s">
        <v>73</v>
      </c>
      <c r="E330" s="4" t="s">
        <v>2116</v>
      </c>
      <c r="F330" s="4"/>
      <c r="G330" s="4" t="s">
        <v>2102</v>
      </c>
      <c r="H330" s="4"/>
      <c r="I330" s="4" t="s">
        <v>2106</v>
      </c>
      <c r="J330" s="4" t="s">
        <v>2117</v>
      </c>
      <c r="K330" s="4" t="s">
        <v>2118</v>
      </c>
      <c r="L330" s="4"/>
      <c r="M330" s="4" t="s">
        <v>2109</v>
      </c>
      <c r="N330" s="4" t="s">
        <v>2110</v>
      </c>
      <c r="O330" s="4" t="s">
        <v>2111</v>
      </c>
      <c r="P330" s="4" t="s">
        <v>2119</v>
      </c>
      <c r="Q330" s="4"/>
      <c r="R330" s="4"/>
      <c r="S330" s="4"/>
      <c r="T330" s="4" t="s">
        <v>2120</v>
      </c>
      <c r="U330" s="4" t="s">
        <v>2121</v>
      </c>
      <c r="V330" s="4" t="s">
        <v>270</v>
      </c>
      <c r="W330" s="6">
        <v>1.0</v>
      </c>
      <c r="X330" s="4"/>
      <c r="Y330" s="4"/>
      <c r="Z330" s="4"/>
      <c r="AA330" s="4"/>
      <c r="AB330" s="5" t="s">
        <v>1564</v>
      </c>
      <c r="AC330" s="5" t="s">
        <v>2122</v>
      </c>
      <c r="AD330" s="4"/>
      <c r="AE330" s="4"/>
      <c r="AF330" s="4"/>
      <c r="AG330" s="4"/>
    </row>
    <row r="331">
      <c r="A331" s="5" t="s">
        <v>2123</v>
      </c>
      <c r="B331" s="5" t="s">
        <v>2124</v>
      </c>
      <c r="C331" s="5" t="s">
        <v>210</v>
      </c>
      <c r="D331" s="5" t="s">
        <v>35</v>
      </c>
      <c r="E331" s="4" t="s">
        <v>2125</v>
      </c>
      <c r="F331" s="4"/>
      <c r="G331" s="4" t="s">
        <v>1308</v>
      </c>
      <c r="H331" s="4" t="s">
        <v>2126</v>
      </c>
      <c r="I331" s="4" t="s">
        <v>1033</v>
      </c>
      <c r="J331" s="4"/>
      <c r="K331" s="4"/>
      <c r="L331" s="4"/>
      <c r="M331" s="4" t="s">
        <v>299</v>
      </c>
      <c r="N331" s="4" t="s">
        <v>1310</v>
      </c>
      <c r="O331" s="4" t="s">
        <v>1035</v>
      </c>
      <c r="P331" s="4" t="s">
        <v>2127</v>
      </c>
      <c r="Q331" s="4"/>
      <c r="R331" s="4"/>
      <c r="S331" s="4"/>
      <c r="T331" s="4" t="s">
        <v>468</v>
      </c>
      <c r="U331" s="4"/>
      <c r="V331" s="4"/>
      <c r="W331" s="4"/>
      <c r="X331" s="4" t="s">
        <v>2128</v>
      </c>
      <c r="Y331" s="4" t="s">
        <v>471</v>
      </c>
      <c r="Z331" s="4"/>
      <c r="AA331" s="4"/>
      <c r="AB331" s="5"/>
      <c r="AC331" s="5"/>
      <c r="AD331" s="4"/>
      <c r="AE331" s="4"/>
      <c r="AF331" s="4"/>
      <c r="AG331" s="4"/>
    </row>
    <row r="332">
      <c r="A332" s="7" t="s">
        <v>2129</v>
      </c>
      <c r="B332" s="7"/>
      <c r="C332" s="7"/>
      <c r="D332" s="7"/>
      <c r="E332" s="4"/>
      <c r="F332" s="4"/>
      <c r="G332" s="4"/>
      <c r="H332" s="4"/>
      <c r="I332" s="4"/>
      <c r="J332" s="4"/>
      <c r="K332" s="4"/>
      <c r="L332" s="4"/>
      <c r="M332" s="4"/>
      <c r="N332" s="4"/>
      <c r="O332" s="4"/>
      <c r="P332" s="4"/>
      <c r="Q332" s="4"/>
      <c r="R332" s="4"/>
      <c r="S332" s="4"/>
      <c r="T332" s="4"/>
      <c r="U332" s="4"/>
      <c r="V332" s="4"/>
      <c r="W332" s="4"/>
      <c r="X332" s="4"/>
      <c r="Y332" s="4"/>
      <c r="Z332" s="4"/>
      <c r="AA332" s="4"/>
      <c r="AB332" s="7"/>
      <c r="AC332" s="7"/>
      <c r="AD332" s="4"/>
      <c r="AE332" s="4"/>
      <c r="AF332" s="4"/>
      <c r="AG332" s="4"/>
    </row>
    <row r="333">
      <c r="A333" s="7" t="s">
        <v>2130</v>
      </c>
      <c r="B333" s="7"/>
      <c r="C333" s="7"/>
      <c r="D333" s="7"/>
      <c r="E333" s="4"/>
      <c r="F333" s="4"/>
      <c r="G333" s="4"/>
      <c r="H333" s="4"/>
      <c r="I333" s="4"/>
      <c r="J333" s="4"/>
      <c r="K333" s="4"/>
      <c r="L333" s="4"/>
      <c r="M333" s="4"/>
      <c r="N333" s="4"/>
      <c r="O333" s="4"/>
      <c r="P333" s="4"/>
      <c r="Q333" s="4"/>
      <c r="R333" s="4"/>
      <c r="S333" s="4"/>
      <c r="T333" s="4"/>
      <c r="U333" s="4"/>
      <c r="V333" s="4"/>
      <c r="W333" s="4"/>
      <c r="X333" s="4"/>
      <c r="Y333" s="4"/>
      <c r="Z333" s="4"/>
      <c r="AA333" s="4"/>
      <c r="AB333" s="7"/>
      <c r="AC333" s="7"/>
      <c r="AD333" s="4"/>
      <c r="AE333" s="4"/>
      <c r="AF333" s="4"/>
      <c r="AG333" s="4"/>
    </row>
    <row r="334">
      <c r="A334" s="7"/>
      <c r="B334" s="7"/>
      <c r="C334" s="7"/>
      <c r="D334" s="7"/>
      <c r="E334" s="4"/>
      <c r="F334" s="4"/>
      <c r="G334" s="4"/>
      <c r="H334" s="4"/>
      <c r="I334" s="4"/>
      <c r="J334" s="4"/>
      <c r="K334" s="4"/>
      <c r="L334" s="4"/>
      <c r="M334" s="4"/>
      <c r="N334" s="4"/>
      <c r="O334" s="4"/>
      <c r="P334" s="4"/>
      <c r="Q334" s="4"/>
      <c r="R334" s="4"/>
      <c r="S334" s="4"/>
      <c r="T334" s="4"/>
      <c r="U334" s="4"/>
      <c r="V334" s="4"/>
      <c r="W334" s="4"/>
      <c r="X334" s="4"/>
      <c r="Y334" s="4"/>
      <c r="Z334" s="4"/>
      <c r="AA334" s="4"/>
      <c r="AB334" s="7"/>
      <c r="AC334" s="7"/>
      <c r="AD334" s="4"/>
      <c r="AE334" s="4"/>
      <c r="AF334" s="4"/>
      <c r="AG334" s="4"/>
    </row>
    <row r="335">
      <c r="A335" s="7"/>
      <c r="B335" s="7"/>
      <c r="C335" s="7"/>
      <c r="D335" s="7"/>
      <c r="E335" s="4"/>
      <c r="F335" s="4"/>
      <c r="G335" s="4"/>
      <c r="H335" s="4"/>
      <c r="I335" s="4"/>
      <c r="J335" s="4"/>
      <c r="K335" s="4"/>
      <c r="L335" s="4"/>
      <c r="M335" s="4"/>
      <c r="N335" s="4"/>
      <c r="O335" s="4"/>
      <c r="P335" s="4"/>
      <c r="Q335" s="4"/>
      <c r="R335" s="4"/>
      <c r="S335" s="4"/>
      <c r="T335" s="4"/>
      <c r="U335" s="4"/>
      <c r="V335" s="4"/>
      <c r="W335" s="4"/>
      <c r="X335" s="4"/>
      <c r="Y335" s="4"/>
      <c r="Z335" s="4"/>
      <c r="AA335" s="4"/>
      <c r="AB335" s="7"/>
      <c r="AC335" s="7"/>
      <c r="AD335" s="4"/>
      <c r="AE335" s="4"/>
      <c r="AF335" s="4"/>
      <c r="AG335" s="4"/>
    </row>
    <row r="336">
      <c r="A336" s="7"/>
      <c r="B336" s="7"/>
      <c r="C336" s="7"/>
      <c r="D336" s="7"/>
      <c r="E336" s="4"/>
      <c r="F336" s="4"/>
      <c r="G336" s="4"/>
      <c r="H336" s="4"/>
      <c r="I336" s="4"/>
      <c r="J336" s="4"/>
      <c r="K336" s="4"/>
      <c r="L336" s="4"/>
      <c r="M336" s="4"/>
      <c r="N336" s="4"/>
      <c r="O336" s="4"/>
      <c r="P336" s="4"/>
      <c r="Q336" s="4"/>
      <c r="R336" s="4"/>
      <c r="S336" s="4"/>
      <c r="T336" s="4"/>
      <c r="U336" s="4"/>
      <c r="V336" s="4"/>
      <c r="W336" s="4"/>
      <c r="X336" s="4"/>
      <c r="Y336" s="4"/>
      <c r="Z336" s="4"/>
      <c r="AA336" s="4"/>
      <c r="AB336" s="7"/>
      <c r="AC336" s="7"/>
      <c r="AD336" s="4"/>
      <c r="AE336" s="4"/>
      <c r="AF336" s="4"/>
      <c r="AG336" s="4"/>
    </row>
    <row r="337">
      <c r="A337" s="7"/>
      <c r="B337" s="7"/>
      <c r="C337" s="7"/>
      <c r="D337" s="7"/>
      <c r="E337" s="4"/>
      <c r="F337" s="4"/>
      <c r="G337" s="4"/>
      <c r="H337" s="4"/>
      <c r="I337" s="4"/>
      <c r="J337" s="4"/>
      <c r="K337" s="4"/>
      <c r="L337" s="4"/>
      <c r="M337" s="4"/>
      <c r="N337" s="4"/>
      <c r="O337" s="4"/>
      <c r="P337" s="4"/>
      <c r="Q337" s="4"/>
      <c r="R337" s="4"/>
      <c r="S337" s="4"/>
      <c r="T337" s="4"/>
      <c r="U337" s="4"/>
      <c r="V337" s="4"/>
      <c r="W337" s="4"/>
      <c r="X337" s="4"/>
      <c r="Y337" s="4"/>
      <c r="Z337" s="4"/>
      <c r="AA337" s="4"/>
      <c r="AB337" s="7"/>
      <c r="AC337" s="7"/>
      <c r="AD337" s="4"/>
      <c r="AE337" s="4"/>
      <c r="AF337" s="4"/>
      <c r="AG337" s="4"/>
    </row>
    <row r="338">
      <c r="A338" s="7"/>
      <c r="B338" s="7"/>
      <c r="C338" s="7"/>
      <c r="D338" s="7"/>
      <c r="E338" s="4"/>
      <c r="F338" s="4"/>
      <c r="G338" s="4"/>
      <c r="H338" s="4"/>
      <c r="I338" s="4"/>
      <c r="J338" s="4"/>
      <c r="K338" s="4"/>
      <c r="L338" s="4"/>
      <c r="M338" s="4"/>
      <c r="N338" s="4"/>
      <c r="O338" s="4"/>
      <c r="P338" s="4"/>
      <c r="Q338" s="4"/>
      <c r="R338" s="4"/>
      <c r="S338" s="4"/>
      <c r="T338" s="4"/>
      <c r="U338" s="4"/>
      <c r="V338" s="4"/>
      <c r="W338" s="4"/>
      <c r="X338" s="4"/>
      <c r="Y338" s="4"/>
      <c r="Z338" s="4"/>
      <c r="AA338" s="4"/>
      <c r="AB338" s="7"/>
      <c r="AC338" s="7"/>
      <c r="AD338" s="4"/>
      <c r="AE338" s="4"/>
      <c r="AF338" s="4"/>
      <c r="AG338" s="4"/>
    </row>
    <row r="339">
      <c r="A339" s="7"/>
      <c r="B339" s="7"/>
      <c r="C339" s="7"/>
      <c r="D339" s="7"/>
      <c r="E339" s="4"/>
      <c r="F339" s="4"/>
      <c r="G339" s="4"/>
      <c r="H339" s="4"/>
      <c r="I339" s="4"/>
      <c r="J339" s="4"/>
      <c r="K339" s="4"/>
      <c r="L339" s="4"/>
      <c r="M339" s="4"/>
      <c r="N339" s="4"/>
      <c r="O339" s="4"/>
      <c r="P339" s="4"/>
      <c r="Q339" s="4"/>
      <c r="R339" s="4"/>
      <c r="S339" s="4"/>
      <c r="T339" s="4"/>
      <c r="U339" s="4"/>
      <c r="V339" s="4"/>
      <c r="W339" s="4"/>
      <c r="X339" s="4"/>
      <c r="Y339" s="4"/>
      <c r="Z339" s="4"/>
      <c r="AA339" s="4"/>
      <c r="AB339" s="7"/>
      <c r="AC339" s="7"/>
      <c r="AD339" s="4"/>
      <c r="AE339" s="4"/>
      <c r="AF339" s="4"/>
      <c r="AG339" s="4"/>
    </row>
    <row r="340">
      <c r="A340" s="7"/>
      <c r="B340" s="7"/>
      <c r="C340" s="7"/>
      <c r="D340" s="7"/>
      <c r="E340" s="4"/>
      <c r="F340" s="4"/>
      <c r="G340" s="4"/>
      <c r="H340" s="4"/>
      <c r="I340" s="4"/>
      <c r="J340" s="4"/>
      <c r="K340" s="4"/>
      <c r="L340" s="4"/>
      <c r="M340" s="4"/>
      <c r="N340" s="4"/>
      <c r="O340" s="4"/>
      <c r="P340" s="4"/>
      <c r="Q340" s="4"/>
      <c r="R340" s="4"/>
      <c r="S340" s="4"/>
      <c r="T340" s="4"/>
      <c r="U340" s="4"/>
      <c r="V340" s="4"/>
      <c r="W340" s="4"/>
      <c r="X340" s="4"/>
      <c r="Y340" s="4"/>
      <c r="Z340" s="4"/>
      <c r="AA340" s="4"/>
      <c r="AB340" s="7"/>
      <c r="AC340" s="7"/>
      <c r="AD340" s="4"/>
      <c r="AE340" s="4"/>
      <c r="AF340" s="4"/>
      <c r="AG340" s="4"/>
    </row>
    <row r="341">
      <c r="A341" s="7"/>
      <c r="B341" s="7"/>
      <c r="C341" s="7"/>
      <c r="D341" s="7"/>
      <c r="E341" s="4"/>
      <c r="F341" s="4"/>
      <c r="G341" s="4"/>
      <c r="H341" s="4"/>
      <c r="I341" s="4"/>
      <c r="J341" s="4"/>
      <c r="K341" s="4"/>
      <c r="L341" s="4"/>
      <c r="M341" s="4"/>
      <c r="N341" s="4"/>
      <c r="O341" s="4"/>
      <c r="P341" s="4"/>
      <c r="Q341" s="4"/>
      <c r="R341" s="4"/>
      <c r="S341" s="4"/>
      <c r="T341" s="4"/>
      <c r="U341" s="4"/>
      <c r="V341" s="4"/>
      <c r="W341" s="4"/>
      <c r="X341" s="4"/>
      <c r="Y341" s="4"/>
      <c r="Z341" s="4"/>
      <c r="AA341" s="4"/>
      <c r="AB341" s="7"/>
      <c r="AC341" s="7"/>
      <c r="AD341" s="4"/>
      <c r="AE341" s="4"/>
      <c r="AF341" s="4"/>
      <c r="AG341" s="4"/>
    </row>
    <row r="342">
      <c r="A342" s="7"/>
      <c r="B342" s="7"/>
      <c r="C342" s="7"/>
      <c r="D342" s="7"/>
      <c r="E342" s="4"/>
      <c r="F342" s="4"/>
      <c r="G342" s="4"/>
      <c r="H342" s="4"/>
      <c r="I342" s="4"/>
      <c r="J342" s="4"/>
      <c r="K342" s="4"/>
      <c r="L342" s="4"/>
      <c r="M342" s="4"/>
      <c r="N342" s="4"/>
      <c r="O342" s="4"/>
      <c r="P342" s="4"/>
      <c r="Q342" s="4"/>
      <c r="R342" s="4"/>
      <c r="S342" s="4"/>
      <c r="T342" s="4"/>
      <c r="U342" s="4"/>
      <c r="V342" s="4"/>
      <c r="W342" s="4"/>
      <c r="X342" s="4"/>
      <c r="Y342" s="4"/>
      <c r="Z342" s="4"/>
      <c r="AA342" s="4"/>
      <c r="AB342" s="7"/>
      <c r="AC342" s="7"/>
      <c r="AD342" s="4"/>
      <c r="AE342" s="4"/>
      <c r="AF342" s="4"/>
      <c r="AG342" s="4"/>
    </row>
    <row r="343">
      <c r="A343" s="7"/>
      <c r="B343" s="7"/>
      <c r="C343" s="7"/>
      <c r="D343" s="7"/>
      <c r="E343" s="4"/>
      <c r="F343" s="4"/>
      <c r="G343" s="4"/>
      <c r="H343" s="4"/>
      <c r="I343" s="4"/>
      <c r="J343" s="4"/>
      <c r="K343" s="4"/>
      <c r="L343" s="4"/>
      <c r="M343" s="4"/>
      <c r="N343" s="4"/>
      <c r="O343" s="4"/>
      <c r="P343" s="4"/>
      <c r="Q343" s="4"/>
      <c r="R343" s="4"/>
      <c r="S343" s="4"/>
      <c r="T343" s="4"/>
      <c r="U343" s="4"/>
      <c r="V343" s="4"/>
      <c r="W343" s="4"/>
      <c r="X343" s="4"/>
      <c r="Y343" s="4"/>
      <c r="Z343" s="4"/>
      <c r="AA343" s="4"/>
      <c r="AB343" s="7"/>
      <c r="AC343" s="7"/>
      <c r="AD343" s="4"/>
      <c r="AE343" s="4"/>
      <c r="AF343" s="4"/>
      <c r="AG343" s="4"/>
    </row>
    <row r="344">
      <c r="A344" s="7"/>
      <c r="B344" s="7"/>
      <c r="C344" s="7"/>
      <c r="D344" s="7"/>
      <c r="E344" s="4"/>
      <c r="F344" s="4"/>
      <c r="G344" s="4"/>
      <c r="H344" s="4"/>
      <c r="I344" s="4"/>
      <c r="J344" s="4"/>
      <c r="K344" s="4"/>
      <c r="L344" s="4"/>
      <c r="M344" s="4"/>
      <c r="N344" s="4"/>
      <c r="O344" s="4"/>
      <c r="P344" s="4"/>
      <c r="Q344" s="4"/>
      <c r="R344" s="4"/>
      <c r="S344" s="4"/>
      <c r="T344" s="4"/>
      <c r="U344" s="4"/>
      <c r="V344" s="4"/>
      <c r="W344" s="4"/>
      <c r="X344" s="4"/>
      <c r="Y344" s="4"/>
      <c r="Z344" s="4"/>
      <c r="AA344" s="4"/>
      <c r="AB344" s="7"/>
      <c r="AC344" s="7"/>
      <c r="AD344" s="4"/>
      <c r="AE344" s="4"/>
      <c r="AF344" s="4"/>
      <c r="AG344" s="4"/>
    </row>
    <row r="345">
      <c r="A345" s="7"/>
      <c r="B345" s="7"/>
      <c r="C345" s="7"/>
      <c r="D345" s="7"/>
      <c r="E345" s="4"/>
      <c r="F345" s="4"/>
      <c r="G345" s="4"/>
      <c r="H345" s="4"/>
      <c r="I345" s="4"/>
      <c r="J345" s="4"/>
      <c r="K345" s="4"/>
      <c r="L345" s="4"/>
      <c r="M345" s="4"/>
      <c r="N345" s="4"/>
      <c r="O345" s="4"/>
      <c r="P345" s="4"/>
      <c r="Q345" s="4"/>
      <c r="R345" s="4"/>
      <c r="S345" s="4"/>
      <c r="T345" s="4"/>
      <c r="U345" s="4"/>
      <c r="V345" s="4"/>
      <c r="W345" s="4"/>
      <c r="X345" s="4"/>
      <c r="Y345" s="4"/>
      <c r="Z345" s="4"/>
      <c r="AA345" s="4"/>
      <c r="AB345" s="7"/>
      <c r="AC345" s="7"/>
      <c r="AD345" s="4"/>
      <c r="AE345" s="4"/>
      <c r="AF345" s="4"/>
      <c r="AG345" s="4"/>
    </row>
    <row r="346">
      <c r="A346" s="7"/>
      <c r="B346" s="7"/>
      <c r="C346" s="7"/>
      <c r="D346" s="7"/>
      <c r="E346" s="4"/>
      <c r="F346" s="4"/>
      <c r="G346" s="4"/>
      <c r="H346" s="4"/>
      <c r="I346" s="4"/>
      <c r="J346" s="4"/>
      <c r="K346" s="4"/>
      <c r="L346" s="4"/>
      <c r="M346" s="4"/>
      <c r="N346" s="4"/>
      <c r="O346" s="4"/>
      <c r="P346" s="4"/>
      <c r="Q346" s="4"/>
      <c r="R346" s="4"/>
      <c r="S346" s="4"/>
      <c r="T346" s="4"/>
      <c r="U346" s="4"/>
      <c r="V346" s="4"/>
      <c r="W346" s="4"/>
      <c r="X346" s="4"/>
      <c r="Y346" s="4"/>
      <c r="Z346" s="4"/>
      <c r="AA346" s="4"/>
      <c r="AB346" s="7"/>
      <c r="AC346" s="7"/>
      <c r="AD346" s="4"/>
      <c r="AE346" s="4"/>
      <c r="AF346" s="4"/>
      <c r="AG346" s="4"/>
    </row>
    <row r="347">
      <c r="A347" s="7"/>
      <c r="B347" s="7"/>
      <c r="C347" s="7"/>
      <c r="D347" s="7"/>
      <c r="E347" s="4"/>
      <c r="F347" s="4"/>
      <c r="G347" s="4"/>
      <c r="H347" s="4"/>
      <c r="I347" s="4"/>
      <c r="J347" s="4"/>
      <c r="K347" s="4"/>
      <c r="L347" s="4"/>
      <c r="M347" s="4"/>
      <c r="N347" s="4"/>
      <c r="O347" s="4"/>
      <c r="P347" s="4"/>
      <c r="Q347" s="4"/>
      <c r="R347" s="4"/>
      <c r="S347" s="4"/>
      <c r="T347" s="4"/>
      <c r="U347" s="4"/>
      <c r="V347" s="4"/>
      <c r="W347" s="4"/>
      <c r="X347" s="4"/>
      <c r="Y347" s="4"/>
      <c r="Z347" s="4"/>
      <c r="AA347" s="4"/>
      <c r="AB347" s="7"/>
      <c r="AC347" s="7"/>
      <c r="AD347" s="4"/>
      <c r="AE347" s="4"/>
      <c r="AF347" s="4"/>
      <c r="AG347" s="4"/>
    </row>
    <row r="348">
      <c r="A348" s="7"/>
      <c r="B348" s="7"/>
      <c r="C348" s="7"/>
      <c r="D348" s="7"/>
      <c r="E348" s="4"/>
      <c r="F348" s="4"/>
      <c r="G348" s="4"/>
      <c r="H348" s="4"/>
      <c r="I348" s="4"/>
      <c r="J348" s="4"/>
      <c r="K348" s="4"/>
      <c r="L348" s="4"/>
      <c r="M348" s="4"/>
      <c r="N348" s="4"/>
      <c r="O348" s="4"/>
      <c r="P348" s="4"/>
      <c r="Q348" s="4"/>
      <c r="R348" s="4"/>
      <c r="S348" s="4"/>
      <c r="T348" s="4"/>
      <c r="U348" s="4"/>
      <c r="V348" s="4"/>
      <c r="W348" s="4"/>
      <c r="X348" s="4"/>
      <c r="Y348" s="4"/>
      <c r="Z348" s="4"/>
      <c r="AA348" s="4"/>
      <c r="AB348" s="7"/>
      <c r="AC348" s="7"/>
      <c r="AD348" s="4"/>
      <c r="AE348" s="4"/>
      <c r="AF348" s="4"/>
      <c r="AG348" s="4"/>
    </row>
    <row r="349">
      <c r="A349" s="7"/>
      <c r="B349" s="7"/>
      <c r="C349" s="7"/>
      <c r="D349" s="7"/>
      <c r="E349" s="4"/>
      <c r="F349" s="4"/>
      <c r="G349" s="4"/>
      <c r="H349" s="4"/>
      <c r="I349" s="4"/>
      <c r="J349" s="4"/>
      <c r="K349" s="4"/>
      <c r="L349" s="4"/>
      <c r="M349" s="4"/>
      <c r="N349" s="4"/>
      <c r="O349" s="4"/>
      <c r="P349" s="4"/>
      <c r="Q349" s="4"/>
      <c r="R349" s="4"/>
      <c r="S349" s="4"/>
      <c r="T349" s="4"/>
      <c r="U349" s="4"/>
      <c r="V349" s="4"/>
      <c r="W349" s="4"/>
      <c r="X349" s="4"/>
      <c r="Y349" s="4"/>
      <c r="Z349" s="4"/>
      <c r="AA349" s="4"/>
      <c r="AB349" s="7"/>
      <c r="AC349" s="7"/>
      <c r="AD349" s="4"/>
      <c r="AE349" s="4"/>
      <c r="AF349" s="4"/>
      <c r="AG349" s="4"/>
    </row>
    <row r="350">
      <c r="A350" s="7"/>
      <c r="B350" s="7"/>
      <c r="C350" s="7"/>
      <c r="D350" s="7"/>
      <c r="E350" s="4"/>
      <c r="F350" s="4"/>
      <c r="G350" s="4"/>
      <c r="H350" s="4"/>
      <c r="I350" s="4"/>
      <c r="J350" s="4"/>
      <c r="K350" s="4"/>
      <c r="L350" s="4"/>
      <c r="M350" s="4"/>
      <c r="N350" s="4"/>
      <c r="O350" s="4"/>
      <c r="P350" s="4"/>
      <c r="Q350" s="4"/>
      <c r="R350" s="4"/>
      <c r="S350" s="4"/>
      <c r="T350" s="4"/>
      <c r="U350" s="4"/>
      <c r="V350" s="4"/>
      <c r="W350" s="4"/>
      <c r="X350" s="4"/>
      <c r="Y350" s="4"/>
      <c r="Z350" s="4"/>
      <c r="AA350" s="4"/>
      <c r="AB350" s="7"/>
      <c r="AC350" s="7"/>
      <c r="AD350" s="4"/>
      <c r="AE350" s="4"/>
      <c r="AF350" s="4"/>
      <c r="AG350" s="4"/>
    </row>
    <row r="351">
      <c r="A351" s="7"/>
      <c r="B351" s="7"/>
      <c r="C351" s="7"/>
      <c r="D351" s="7"/>
      <c r="E351" s="4"/>
      <c r="F351" s="4"/>
      <c r="G351" s="4"/>
      <c r="H351" s="4"/>
      <c r="I351" s="4"/>
      <c r="J351" s="4"/>
      <c r="K351" s="4"/>
      <c r="L351" s="4"/>
      <c r="M351" s="4"/>
      <c r="N351" s="4"/>
      <c r="O351" s="4"/>
      <c r="P351" s="4"/>
      <c r="Q351" s="4"/>
      <c r="R351" s="4"/>
      <c r="S351" s="4"/>
      <c r="T351" s="4"/>
      <c r="U351" s="4"/>
      <c r="V351" s="4"/>
      <c r="W351" s="4"/>
      <c r="X351" s="4"/>
      <c r="Y351" s="4"/>
      <c r="Z351" s="4"/>
      <c r="AA351" s="4"/>
      <c r="AB351" s="7"/>
      <c r="AC351" s="7"/>
      <c r="AD351" s="4"/>
      <c r="AE351" s="4"/>
      <c r="AF351" s="4"/>
      <c r="AG351" s="4"/>
    </row>
    <row r="352">
      <c r="A352" s="7"/>
      <c r="B352" s="7"/>
      <c r="C352" s="7"/>
      <c r="D352" s="7"/>
      <c r="E352" s="4"/>
      <c r="F352" s="4"/>
      <c r="G352" s="4"/>
      <c r="H352" s="4"/>
      <c r="I352" s="4"/>
      <c r="J352" s="4"/>
      <c r="K352" s="4"/>
      <c r="L352" s="4"/>
      <c r="M352" s="4"/>
      <c r="N352" s="4"/>
      <c r="O352" s="4"/>
      <c r="P352" s="4"/>
      <c r="Q352" s="4"/>
      <c r="R352" s="4"/>
      <c r="S352" s="4"/>
      <c r="T352" s="4"/>
      <c r="U352" s="4"/>
      <c r="V352" s="4"/>
      <c r="W352" s="4"/>
      <c r="X352" s="4"/>
      <c r="Y352" s="4"/>
      <c r="Z352" s="4"/>
      <c r="AA352" s="4"/>
      <c r="AB352" s="7"/>
      <c r="AC352" s="7"/>
      <c r="AD352" s="4"/>
      <c r="AE352" s="4"/>
      <c r="AF352" s="4"/>
      <c r="AG352" s="4"/>
    </row>
    <row r="353">
      <c r="A353" s="7"/>
      <c r="B353" s="7"/>
      <c r="C353" s="7"/>
      <c r="D353" s="7"/>
      <c r="E353" s="4"/>
      <c r="F353" s="4"/>
      <c r="G353" s="4"/>
      <c r="H353" s="4"/>
      <c r="I353" s="4"/>
      <c r="J353" s="4"/>
      <c r="K353" s="4"/>
      <c r="L353" s="4"/>
      <c r="M353" s="4"/>
      <c r="N353" s="4"/>
      <c r="O353" s="4"/>
      <c r="P353" s="4"/>
      <c r="Q353" s="4"/>
      <c r="R353" s="4"/>
      <c r="S353" s="4"/>
      <c r="T353" s="4"/>
      <c r="U353" s="4"/>
      <c r="V353" s="4"/>
      <c r="W353" s="4"/>
      <c r="X353" s="4"/>
      <c r="Y353" s="4"/>
      <c r="Z353" s="4"/>
      <c r="AA353" s="4"/>
      <c r="AB353" s="7"/>
      <c r="AC353" s="7"/>
      <c r="AD353" s="4"/>
      <c r="AE353" s="4"/>
      <c r="AF353" s="4"/>
      <c r="AG353" s="4"/>
    </row>
    <row r="354">
      <c r="A354" s="7"/>
      <c r="B354" s="7"/>
      <c r="C354" s="7"/>
      <c r="D354" s="7"/>
      <c r="E354" s="4"/>
      <c r="F354" s="4"/>
      <c r="G354" s="4"/>
      <c r="H354" s="4"/>
      <c r="I354" s="4"/>
      <c r="J354" s="4"/>
      <c r="K354" s="4"/>
      <c r="L354" s="4"/>
      <c r="M354" s="4"/>
      <c r="N354" s="4"/>
      <c r="O354" s="4"/>
      <c r="P354" s="4"/>
      <c r="Q354" s="4"/>
      <c r="R354" s="4"/>
      <c r="S354" s="4"/>
      <c r="T354" s="4"/>
      <c r="U354" s="4"/>
      <c r="V354" s="4"/>
      <c r="W354" s="4"/>
      <c r="X354" s="4"/>
      <c r="Y354" s="4"/>
      <c r="Z354" s="4"/>
      <c r="AA354" s="4"/>
      <c r="AB354" s="7"/>
      <c r="AC354" s="7"/>
      <c r="AD354" s="4"/>
      <c r="AE354" s="4"/>
      <c r="AF354" s="4"/>
      <c r="AG354" s="4"/>
    </row>
    <row r="355">
      <c r="A355" s="7"/>
      <c r="B355" s="7"/>
      <c r="C355" s="7"/>
      <c r="D355" s="7"/>
      <c r="E355" s="4"/>
      <c r="F355" s="4"/>
      <c r="G355" s="4"/>
      <c r="H355" s="4"/>
      <c r="I355" s="4"/>
      <c r="J355" s="4"/>
      <c r="K355" s="4"/>
      <c r="L355" s="4"/>
      <c r="M355" s="4"/>
      <c r="N355" s="4"/>
      <c r="O355" s="4"/>
      <c r="P355" s="4"/>
      <c r="Q355" s="4"/>
      <c r="R355" s="4"/>
      <c r="S355" s="4"/>
      <c r="T355" s="4"/>
      <c r="U355" s="4"/>
      <c r="V355" s="4"/>
      <c r="W355" s="4"/>
      <c r="X355" s="4"/>
      <c r="Y355" s="4"/>
      <c r="Z355" s="4"/>
      <c r="AA355" s="4"/>
      <c r="AB355" s="7"/>
      <c r="AC355" s="7"/>
      <c r="AD355" s="4"/>
      <c r="AE355" s="4"/>
      <c r="AF355" s="4"/>
      <c r="AG355" s="4"/>
    </row>
    <row r="356">
      <c r="A356" s="7"/>
      <c r="B356" s="7"/>
      <c r="C356" s="7"/>
      <c r="D356" s="7"/>
      <c r="E356" s="4"/>
      <c r="F356" s="4"/>
      <c r="G356" s="4"/>
      <c r="H356" s="4"/>
      <c r="I356" s="4"/>
      <c r="J356" s="4"/>
      <c r="K356" s="4"/>
      <c r="L356" s="4"/>
      <c r="M356" s="4"/>
      <c r="N356" s="4"/>
      <c r="O356" s="4"/>
      <c r="P356" s="4"/>
      <c r="Q356" s="4"/>
      <c r="R356" s="4"/>
      <c r="S356" s="4"/>
      <c r="T356" s="4"/>
      <c r="U356" s="4"/>
      <c r="V356" s="4"/>
      <c r="W356" s="4"/>
      <c r="X356" s="4"/>
      <c r="Y356" s="4"/>
      <c r="Z356" s="4"/>
      <c r="AA356" s="4"/>
      <c r="AB356" s="7"/>
      <c r="AC356" s="7"/>
      <c r="AD356" s="4"/>
      <c r="AE356" s="4"/>
      <c r="AF356" s="4"/>
      <c r="AG356" s="4"/>
    </row>
    <row r="357">
      <c r="A357" s="7"/>
      <c r="B357" s="7"/>
      <c r="C357" s="7"/>
      <c r="D357" s="7"/>
      <c r="E357" s="4"/>
      <c r="F357" s="4"/>
      <c r="G357" s="4"/>
      <c r="H357" s="4"/>
      <c r="I357" s="4"/>
      <c r="J357" s="4"/>
      <c r="K357" s="4"/>
      <c r="L357" s="4"/>
      <c r="M357" s="4"/>
      <c r="N357" s="4"/>
      <c r="O357" s="4"/>
      <c r="P357" s="4"/>
      <c r="Q357" s="4"/>
      <c r="R357" s="4"/>
      <c r="S357" s="4"/>
      <c r="T357" s="4"/>
      <c r="U357" s="4"/>
      <c r="V357" s="4"/>
      <c r="W357" s="4"/>
      <c r="X357" s="4"/>
      <c r="Y357" s="4"/>
      <c r="Z357" s="4"/>
      <c r="AA357" s="4"/>
      <c r="AB357" s="7"/>
      <c r="AC357" s="7"/>
      <c r="AD357" s="4"/>
      <c r="AE357" s="4"/>
      <c r="AF357" s="4"/>
      <c r="AG357" s="4"/>
    </row>
    <row r="358">
      <c r="A358" s="7"/>
      <c r="B358" s="7"/>
      <c r="C358" s="7"/>
      <c r="D358" s="7"/>
      <c r="E358" s="4"/>
      <c r="F358" s="4"/>
      <c r="G358" s="4"/>
      <c r="H358" s="4"/>
      <c r="I358" s="4"/>
      <c r="J358" s="4"/>
      <c r="K358" s="4"/>
      <c r="L358" s="4"/>
      <c r="M358" s="4"/>
      <c r="N358" s="4"/>
      <c r="O358" s="4"/>
      <c r="P358" s="4"/>
      <c r="Q358" s="4"/>
      <c r="R358" s="4"/>
      <c r="S358" s="4"/>
      <c r="T358" s="4"/>
      <c r="U358" s="4"/>
      <c r="V358" s="4"/>
      <c r="W358" s="4"/>
      <c r="X358" s="4"/>
      <c r="Y358" s="4"/>
      <c r="Z358" s="4"/>
      <c r="AA358" s="4"/>
      <c r="AB358" s="7"/>
      <c r="AC358" s="7"/>
      <c r="AD358" s="4"/>
      <c r="AE358" s="4"/>
      <c r="AF358" s="4"/>
      <c r="AG358" s="4"/>
    </row>
    <row r="359">
      <c r="A359" s="7"/>
      <c r="B359" s="7"/>
      <c r="C359" s="7"/>
      <c r="D359" s="7"/>
      <c r="E359" s="4"/>
      <c r="F359" s="4"/>
      <c r="G359" s="4"/>
      <c r="H359" s="4"/>
      <c r="I359" s="4"/>
      <c r="J359" s="4"/>
      <c r="K359" s="4"/>
      <c r="L359" s="4"/>
      <c r="M359" s="4"/>
      <c r="N359" s="4"/>
      <c r="O359" s="4"/>
      <c r="P359" s="4"/>
      <c r="Q359" s="4"/>
      <c r="R359" s="4"/>
      <c r="S359" s="4"/>
      <c r="T359" s="4"/>
      <c r="U359" s="4"/>
      <c r="V359" s="4"/>
      <c r="W359" s="4"/>
      <c r="X359" s="4"/>
      <c r="Y359" s="4"/>
      <c r="Z359" s="4"/>
      <c r="AA359" s="4"/>
      <c r="AB359" s="7"/>
      <c r="AC359" s="7"/>
      <c r="AD359" s="4"/>
      <c r="AE359" s="4"/>
      <c r="AF359" s="4"/>
      <c r="AG359" s="4"/>
    </row>
    <row r="360">
      <c r="A360" s="7"/>
      <c r="B360" s="7"/>
      <c r="C360" s="7"/>
      <c r="D360" s="7"/>
      <c r="E360" s="4"/>
      <c r="F360" s="4"/>
      <c r="G360" s="4"/>
      <c r="H360" s="4"/>
      <c r="I360" s="4"/>
      <c r="J360" s="4"/>
      <c r="K360" s="4"/>
      <c r="L360" s="4"/>
      <c r="M360" s="4"/>
      <c r="N360" s="4"/>
      <c r="O360" s="4"/>
      <c r="P360" s="4"/>
      <c r="Q360" s="4"/>
      <c r="R360" s="4"/>
      <c r="S360" s="4"/>
      <c r="T360" s="4"/>
      <c r="U360" s="4"/>
      <c r="V360" s="4"/>
      <c r="W360" s="4"/>
      <c r="X360" s="4"/>
      <c r="Y360" s="4"/>
      <c r="Z360" s="4"/>
      <c r="AA360" s="4"/>
      <c r="AB360" s="7"/>
      <c r="AC360" s="7"/>
      <c r="AD360" s="4"/>
      <c r="AE360" s="4"/>
      <c r="AF360" s="4"/>
      <c r="AG360" s="4"/>
    </row>
    <row r="361">
      <c r="A361" s="7"/>
      <c r="B361" s="7"/>
      <c r="C361" s="7"/>
      <c r="D361" s="7"/>
      <c r="E361" s="4"/>
      <c r="F361" s="4"/>
      <c r="G361" s="7"/>
      <c r="H361" s="4"/>
      <c r="I361" s="7"/>
      <c r="J361" s="4"/>
      <c r="K361" s="4"/>
      <c r="L361" s="4"/>
      <c r="M361" s="7"/>
      <c r="N361" s="7"/>
      <c r="O361" s="7"/>
      <c r="P361" s="4"/>
      <c r="Q361" s="4"/>
      <c r="R361" s="4"/>
      <c r="S361" s="4"/>
      <c r="T361" s="4"/>
      <c r="U361" s="4"/>
      <c r="V361" s="4"/>
      <c r="W361" s="4"/>
      <c r="X361" s="4"/>
      <c r="Y361" s="4"/>
      <c r="Z361" s="4"/>
      <c r="AA361" s="4"/>
      <c r="AB361" s="4"/>
      <c r="AC361" s="4"/>
      <c r="AD361" s="4"/>
      <c r="AE361" s="4"/>
      <c r="AF361" s="4"/>
      <c r="AG361" s="4"/>
    </row>
    <row r="362">
      <c r="A362" s="7"/>
      <c r="B362" s="7"/>
      <c r="C362" s="7"/>
      <c r="D362" s="7"/>
      <c r="E362" s="4"/>
      <c r="F362" s="4"/>
      <c r="G362" s="7"/>
      <c r="H362" s="4"/>
      <c r="I362" s="7"/>
      <c r="J362" s="4"/>
      <c r="K362" s="4"/>
      <c r="L362" s="4"/>
      <c r="M362" s="7"/>
      <c r="N362" s="7"/>
      <c r="O362" s="7"/>
      <c r="P362" s="7"/>
      <c r="Q362" s="4"/>
      <c r="R362" s="4"/>
      <c r="S362" s="4"/>
      <c r="T362" s="4"/>
      <c r="U362" s="4"/>
      <c r="V362" s="4"/>
      <c r="W362" s="4"/>
      <c r="X362" s="4"/>
      <c r="Y362" s="4"/>
      <c r="Z362" s="4"/>
      <c r="AA362" s="4"/>
      <c r="AB362" s="4"/>
      <c r="AC362" s="4"/>
      <c r="AD362" s="4"/>
      <c r="AE362" s="4"/>
      <c r="AF362" s="4"/>
      <c r="AG362" s="4"/>
    </row>
    <row r="363">
      <c r="A363" s="7"/>
      <c r="B363" s="7"/>
      <c r="C363" s="7"/>
      <c r="D363" s="7"/>
      <c r="E363" s="4"/>
      <c r="F363" s="4"/>
      <c r="G363" s="7"/>
      <c r="H363" s="4"/>
      <c r="I363" s="7"/>
      <c r="J363" s="7"/>
      <c r="K363" s="7"/>
      <c r="L363" s="4"/>
      <c r="M363" s="7"/>
      <c r="N363" s="7"/>
      <c r="O363" s="7"/>
      <c r="P363" s="4"/>
      <c r="Q363" s="4"/>
      <c r="R363" s="4"/>
      <c r="S363" s="4"/>
      <c r="T363" s="4"/>
      <c r="U363" s="4"/>
      <c r="V363" s="4"/>
      <c r="W363" s="4"/>
      <c r="X363" s="4"/>
      <c r="Y363" s="4"/>
      <c r="Z363" s="4"/>
      <c r="AA363" s="4"/>
      <c r="AB363" s="4"/>
      <c r="AC363" s="4"/>
      <c r="AD363" s="4"/>
      <c r="AE363" s="4"/>
      <c r="AF363" s="4"/>
      <c r="AG363" s="4"/>
    </row>
    <row r="364">
      <c r="A364" s="7"/>
      <c r="B364" s="7"/>
      <c r="C364" s="7"/>
      <c r="D364" s="7"/>
      <c r="E364" s="4"/>
      <c r="F364" s="4"/>
      <c r="G364" s="7"/>
      <c r="H364" s="4"/>
      <c r="I364" s="7"/>
      <c r="J364" s="7"/>
      <c r="K364" s="7"/>
      <c r="L364" s="4"/>
      <c r="M364" s="7"/>
      <c r="N364" s="7"/>
      <c r="O364" s="7"/>
      <c r="P364" s="7"/>
      <c r="Q364" s="4"/>
      <c r="R364" s="4"/>
      <c r="S364" s="4"/>
      <c r="T364" s="4"/>
      <c r="U364" s="4"/>
      <c r="V364" s="4"/>
      <c r="W364" s="4"/>
      <c r="X364" s="4"/>
      <c r="Y364" s="4"/>
      <c r="Z364" s="4"/>
      <c r="AA364" s="4"/>
      <c r="AB364" s="4"/>
      <c r="AC364" s="4"/>
      <c r="AD364" s="4"/>
      <c r="AE364" s="4"/>
      <c r="AF364" s="4"/>
      <c r="AG364" s="4"/>
    </row>
    <row r="365">
      <c r="A365" s="7"/>
      <c r="B365" s="7"/>
      <c r="C365" s="7"/>
      <c r="D365" s="7"/>
      <c r="E365" s="4"/>
      <c r="F365" s="4"/>
      <c r="G365" s="7"/>
      <c r="H365" s="4"/>
      <c r="I365" s="7"/>
      <c r="J365" s="7"/>
      <c r="K365" s="7"/>
      <c r="L365" s="4"/>
      <c r="M365" s="7"/>
      <c r="N365" s="7"/>
      <c r="O365" s="7"/>
      <c r="P365" s="7"/>
      <c r="Q365" s="4"/>
      <c r="R365" s="4"/>
      <c r="S365" s="4"/>
      <c r="T365" s="4"/>
      <c r="U365" s="4"/>
      <c r="V365" s="4"/>
      <c r="W365" s="4"/>
      <c r="X365" s="4"/>
      <c r="Y365" s="4"/>
      <c r="Z365" s="4"/>
      <c r="AA365" s="4"/>
      <c r="AB365" s="4"/>
      <c r="AC365" s="4"/>
      <c r="AD365" s="4"/>
      <c r="AE365" s="4"/>
      <c r="AF365" s="4"/>
      <c r="AG365" s="4"/>
    </row>
    <row r="366">
      <c r="A366" s="7"/>
      <c r="B366" s="7"/>
      <c r="C366" s="7"/>
      <c r="D366" s="7"/>
      <c r="E366" s="4"/>
      <c r="F366" s="4"/>
      <c r="G366" s="4"/>
      <c r="H366" s="4"/>
      <c r="I366" s="7"/>
      <c r="J366" s="4"/>
      <c r="K366" s="4"/>
      <c r="L366" s="4"/>
      <c r="M366" s="7"/>
      <c r="N366" s="7"/>
      <c r="O366" s="7"/>
      <c r="P366" s="4"/>
      <c r="Q366" s="4"/>
      <c r="R366" s="4"/>
      <c r="S366" s="4"/>
      <c r="T366" s="4"/>
      <c r="U366" s="4"/>
      <c r="V366" s="4"/>
      <c r="W366" s="4"/>
      <c r="X366" s="4"/>
      <c r="Y366" s="4"/>
      <c r="Z366" s="4"/>
      <c r="AA366" s="4"/>
      <c r="AB366" s="4"/>
      <c r="AC366" s="4"/>
      <c r="AD366" s="4"/>
      <c r="AE366" s="4"/>
      <c r="AF366" s="4"/>
      <c r="AG366" s="4"/>
    </row>
    <row r="367">
      <c r="A367" s="7"/>
      <c r="B367" s="7"/>
      <c r="C367" s="7"/>
      <c r="D367" s="7"/>
      <c r="E367" s="4"/>
      <c r="F367" s="4"/>
      <c r="G367" s="7"/>
      <c r="H367" s="7"/>
      <c r="I367" s="7"/>
      <c r="J367" s="4"/>
      <c r="K367" s="4"/>
      <c r="L367" s="4"/>
      <c r="M367" s="7"/>
      <c r="N367" s="7"/>
      <c r="O367" s="7"/>
      <c r="P367" s="7"/>
      <c r="Q367" s="4"/>
      <c r="R367" s="4"/>
      <c r="S367" s="4"/>
      <c r="T367" s="4"/>
      <c r="U367" s="4"/>
      <c r="V367" s="4"/>
      <c r="W367" s="4"/>
      <c r="X367" s="4"/>
      <c r="Y367" s="4"/>
      <c r="Z367" s="4"/>
      <c r="AA367" s="4"/>
      <c r="AB367" s="4"/>
      <c r="AC367" s="4"/>
      <c r="AD367" s="4"/>
      <c r="AE367" s="4"/>
      <c r="AF367" s="4"/>
      <c r="AG367" s="4"/>
    </row>
    <row r="368">
      <c r="A368" s="7"/>
      <c r="B368" s="7"/>
      <c r="C368" s="7"/>
      <c r="D368" s="7"/>
      <c r="E368" s="4"/>
      <c r="F368" s="4"/>
      <c r="G368" s="7"/>
      <c r="H368" s="7"/>
      <c r="I368" s="7"/>
      <c r="J368" s="4"/>
      <c r="K368" s="4"/>
      <c r="L368" s="4"/>
      <c r="M368" s="7"/>
      <c r="N368" s="7"/>
      <c r="O368" s="7"/>
      <c r="P368" s="4"/>
      <c r="Q368" s="4"/>
      <c r="R368" s="4"/>
      <c r="S368" s="4"/>
      <c r="T368" s="4"/>
      <c r="U368" s="4"/>
      <c r="V368" s="4"/>
      <c r="W368" s="4"/>
      <c r="X368" s="4"/>
      <c r="Y368" s="4"/>
      <c r="Z368" s="4"/>
      <c r="AA368" s="4"/>
      <c r="AB368" s="4"/>
      <c r="AC368" s="4"/>
      <c r="AD368" s="4"/>
      <c r="AE368" s="4"/>
      <c r="AF368" s="4"/>
      <c r="AG368" s="4"/>
    </row>
    <row r="369">
      <c r="A369" s="7"/>
      <c r="B369" s="7"/>
      <c r="C369" s="7"/>
      <c r="D369" s="7"/>
      <c r="E369" s="4"/>
      <c r="F369" s="4"/>
      <c r="G369" s="7"/>
      <c r="H369" s="7"/>
      <c r="I369" s="7"/>
      <c r="J369" s="4"/>
      <c r="K369" s="4"/>
      <c r="L369" s="4"/>
      <c r="M369" s="7"/>
      <c r="N369" s="7"/>
      <c r="O369" s="7"/>
      <c r="P369" s="7"/>
      <c r="Q369" s="4"/>
      <c r="R369" s="4"/>
      <c r="S369" s="4"/>
      <c r="T369" s="4"/>
      <c r="U369" s="4"/>
      <c r="V369" s="4"/>
      <c r="W369" s="4"/>
      <c r="X369" s="4"/>
      <c r="Y369" s="4"/>
      <c r="Z369" s="4"/>
      <c r="AA369" s="4"/>
      <c r="AB369" s="4"/>
      <c r="AC369" s="4"/>
      <c r="AD369" s="4"/>
      <c r="AE369" s="4"/>
      <c r="AF369" s="4"/>
      <c r="AG369" s="4"/>
    </row>
    <row r="370">
      <c r="A370" s="7"/>
      <c r="B370" s="7"/>
      <c r="C370" s="7"/>
      <c r="D370" s="7"/>
      <c r="E370" s="4"/>
      <c r="F370" s="4"/>
      <c r="G370" s="7"/>
      <c r="H370" s="7"/>
      <c r="I370" s="7"/>
      <c r="J370" s="4"/>
      <c r="K370" s="4"/>
      <c r="L370" s="4"/>
      <c r="M370" s="7"/>
      <c r="N370" s="7"/>
      <c r="O370" s="7"/>
      <c r="P370" s="7"/>
      <c r="Q370" s="4"/>
      <c r="R370" s="4"/>
      <c r="S370" s="4"/>
      <c r="T370" s="4"/>
      <c r="U370" s="4"/>
      <c r="V370" s="4"/>
      <c r="W370" s="4"/>
      <c r="X370" s="4"/>
      <c r="Y370" s="4"/>
      <c r="Z370" s="4"/>
      <c r="AA370" s="4"/>
      <c r="AB370" s="4"/>
      <c r="AC370" s="4"/>
      <c r="AD370" s="4"/>
      <c r="AE370" s="4"/>
      <c r="AF370" s="4"/>
      <c r="AG370" s="4"/>
    </row>
    <row r="371">
      <c r="A371" s="7"/>
      <c r="B371" s="7"/>
      <c r="C371" s="7"/>
      <c r="D371" s="7"/>
      <c r="E371" s="4"/>
      <c r="F371" s="4"/>
      <c r="G371" s="7"/>
      <c r="H371" s="4"/>
      <c r="I371" s="7"/>
      <c r="J371" s="4"/>
      <c r="K371" s="4"/>
      <c r="L371" s="4"/>
      <c r="M371" s="7"/>
      <c r="N371" s="7"/>
      <c r="O371" s="7"/>
      <c r="P371" s="7"/>
      <c r="Q371" s="4"/>
      <c r="R371" s="4"/>
      <c r="S371" s="4"/>
      <c r="T371" s="4"/>
      <c r="U371" s="4"/>
      <c r="V371" s="4"/>
      <c r="W371" s="4"/>
      <c r="X371" s="4"/>
      <c r="Y371" s="4"/>
      <c r="Z371" s="4"/>
      <c r="AA371" s="4"/>
      <c r="AB371" s="4"/>
      <c r="AC371" s="4"/>
      <c r="AD371" s="4"/>
      <c r="AE371" s="4"/>
      <c r="AF371" s="4"/>
      <c r="AG371" s="4"/>
    </row>
    <row r="372">
      <c r="A372" s="7"/>
      <c r="B372" s="7"/>
      <c r="C372" s="7"/>
      <c r="D372" s="7"/>
      <c r="E372" s="4"/>
      <c r="F372" s="4"/>
      <c r="G372" s="7"/>
      <c r="H372" s="7"/>
      <c r="I372" s="7"/>
      <c r="J372" s="4"/>
      <c r="K372" s="4"/>
      <c r="L372" s="4"/>
      <c r="M372" s="7"/>
      <c r="N372" s="7"/>
      <c r="O372" s="7"/>
      <c r="P372" s="7"/>
      <c r="Q372" s="4"/>
      <c r="R372" s="4"/>
      <c r="S372" s="4"/>
      <c r="T372" s="4"/>
      <c r="U372" s="4"/>
      <c r="V372" s="4"/>
      <c r="W372" s="4"/>
      <c r="X372" s="4"/>
      <c r="Y372" s="4"/>
      <c r="Z372" s="4"/>
      <c r="AA372" s="4"/>
      <c r="AB372" s="4"/>
      <c r="AC372" s="4"/>
      <c r="AD372" s="4"/>
      <c r="AE372" s="4"/>
      <c r="AF372" s="4"/>
      <c r="AG372" s="4"/>
    </row>
    <row r="373">
      <c r="A373" s="7"/>
      <c r="B373" s="7"/>
      <c r="C373" s="7"/>
      <c r="D373" s="7"/>
      <c r="E373" s="4"/>
      <c r="F373" s="4"/>
      <c r="G373" s="7"/>
      <c r="H373" s="4"/>
      <c r="I373" s="7"/>
      <c r="J373" s="4"/>
      <c r="K373" s="4"/>
      <c r="L373" s="4"/>
      <c r="M373" s="7"/>
      <c r="N373" s="7"/>
      <c r="O373" s="7"/>
      <c r="P373" s="7"/>
      <c r="Q373" s="4"/>
      <c r="R373" s="4"/>
      <c r="S373" s="4"/>
      <c r="T373" s="4"/>
      <c r="U373" s="4"/>
      <c r="V373" s="4"/>
      <c r="W373" s="4"/>
      <c r="X373" s="4"/>
      <c r="Y373" s="4"/>
      <c r="Z373" s="4"/>
      <c r="AA373" s="4"/>
      <c r="AB373" s="4"/>
      <c r="AC373" s="4"/>
      <c r="AD373" s="4"/>
      <c r="AE373" s="4"/>
      <c r="AF373" s="4"/>
      <c r="AG373" s="4"/>
    </row>
    <row r="374">
      <c r="A374" s="7"/>
      <c r="B374" s="7"/>
      <c r="C374" s="7"/>
      <c r="D374" s="7"/>
      <c r="E374" s="4"/>
      <c r="F374" s="4"/>
      <c r="G374" s="7"/>
      <c r="H374" s="4"/>
      <c r="I374" s="7"/>
      <c r="J374" s="4"/>
      <c r="K374" s="4"/>
      <c r="L374" s="4"/>
      <c r="M374" s="7"/>
      <c r="N374" s="7"/>
      <c r="O374" s="7"/>
      <c r="P374" s="4"/>
      <c r="Q374" s="4"/>
      <c r="R374" s="4"/>
      <c r="S374" s="4"/>
      <c r="T374" s="4"/>
      <c r="U374" s="4"/>
      <c r="V374" s="4"/>
      <c r="W374" s="4"/>
      <c r="X374" s="4"/>
      <c r="Y374" s="4"/>
      <c r="Z374" s="4"/>
      <c r="AA374" s="4"/>
      <c r="AB374" s="4"/>
      <c r="AC374" s="4"/>
      <c r="AD374" s="4"/>
      <c r="AE374" s="4"/>
      <c r="AF374" s="4"/>
      <c r="AG374" s="4"/>
    </row>
    <row r="375">
      <c r="A375" s="7"/>
      <c r="B375" s="7"/>
      <c r="C375" s="7"/>
      <c r="D375" s="7"/>
      <c r="E375" s="4"/>
      <c r="F375" s="4"/>
      <c r="G375" s="7"/>
      <c r="H375" s="7"/>
      <c r="I375" s="7"/>
      <c r="J375" s="4"/>
      <c r="K375" s="4"/>
      <c r="L375" s="4"/>
      <c r="M375" s="7"/>
      <c r="N375" s="7"/>
      <c r="O375" s="7"/>
      <c r="P375" s="7"/>
      <c r="Q375" s="4"/>
      <c r="R375" s="4"/>
      <c r="S375" s="4"/>
      <c r="T375" s="4"/>
      <c r="U375" s="4"/>
      <c r="V375" s="4"/>
      <c r="W375" s="4"/>
      <c r="X375" s="4"/>
      <c r="Y375" s="4"/>
      <c r="Z375" s="4"/>
      <c r="AA375" s="4"/>
      <c r="AB375" s="4"/>
      <c r="AC375" s="4"/>
      <c r="AD375" s="4"/>
      <c r="AE375" s="4"/>
      <c r="AF375" s="4"/>
      <c r="AG375" s="4"/>
    </row>
    <row r="376">
      <c r="A376" s="7"/>
      <c r="B376" s="7"/>
      <c r="C376" s="7"/>
      <c r="D376" s="7"/>
      <c r="E376" s="4"/>
      <c r="F376" s="4"/>
      <c r="G376" s="7"/>
      <c r="H376" s="7"/>
      <c r="I376" s="7"/>
      <c r="J376" s="4"/>
      <c r="K376" s="4"/>
      <c r="L376" s="4"/>
      <c r="M376" s="7"/>
      <c r="N376" s="7"/>
      <c r="O376" s="7"/>
      <c r="P376" s="7"/>
      <c r="Q376" s="4"/>
      <c r="R376" s="4"/>
      <c r="S376" s="4"/>
      <c r="T376" s="4"/>
      <c r="U376" s="4"/>
      <c r="V376" s="4"/>
      <c r="W376" s="4"/>
      <c r="X376" s="4"/>
      <c r="Y376" s="4"/>
      <c r="Z376" s="4"/>
      <c r="AA376" s="4"/>
      <c r="AB376" s="4"/>
      <c r="AC376" s="4"/>
      <c r="AD376" s="4"/>
      <c r="AE376" s="4"/>
      <c r="AF376" s="4"/>
      <c r="AG376" s="4"/>
    </row>
    <row r="377">
      <c r="A377" s="7"/>
      <c r="B377" s="7"/>
      <c r="C377" s="7"/>
      <c r="D377" s="7"/>
      <c r="E377" s="4"/>
      <c r="F377" s="4"/>
      <c r="G377" s="7"/>
      <c r="H377" s="7"/>
      <c r="I377" s="7"/>
      <c r="J377" s="4"/>
      <c r="K377" s="4"/>
      <c r="L377" s="4"/>
      <c r="M377" s="7"/>
      <c r="N377" s="7"/>
      <c r="O377" s="7"/>
      <c r="P377" s="7"/>
      <c r="Q377" s="4"/>
      <c r="R377" s="4"/>
      <c r="S377" s="4"/>
      <c r="T377" s="4"/>
      <c r="U377" s="4"/>
      <c r="V377" s="4"/>
      <c r="W377" s="4"/>
      <c r="X377" s="4"/>
      <c r="Y377" s="4"/>
      <c r="Z377" s="4"/>
      <c r="AA377" s="4"/>
      <c r="AB377" s="4"/>
      <c r="AC377" s="4"/>
      <c r="AD377" s="4"/>
      <c r="AE377" s="4"/>
      <c r="AF377" s="4"/>
      <c r="AG377" s="4"/>
    </row>
    <row r="378">
      <c r="A378" s="7"/>
      <c r="B378" s="7"/>
      <c r="C378" s="7"/>
      <c r="D378" s="7"/>
      <c r="E378" s="4"/>
      <c r="F378" s="4"/>
      <c r="G378" s="4"/>
      <c r="H378" s="7"/>
      <c r="I378" s="7"/>
      <c r="J378" s="4"/>
      <c r="K378" s="4"/>
      <c r="L378" s="4"/>
      <c r="M378" s="7"/>
      <c r="N378" s="7"/>
      <c r="O378" s="7"/>
      <c r="P378" s="7"/>
      <c r="Q378" s="4"/>
      <c r="R378" s="4"/>
      <c r="S378" s="4"/>
      <c r="T378" s="4"/>
      <c r="U378" s="4"/>
      <c r="V378" s="4"/>
      <c r="W378" s="4"/>
      <c r="X378" s="4"/>
      <c r="Y378" s="4"/>
      <c r="Z378" s="4"/>
      <c r="AA378" s="4"/>
      <c r="AB378" s="4"/>
      <c r="AC378" s="4"/>
      <c r="AD378" s="4"/>
      <c r="AE378" s="4"/>
      <c r="AF378" s="4"/>
      <c r="AG378" s="4"/>
    </row>
    <row r="379">
      <c r="A379" s="7"/>
      <c r="B379" s="7"/>
      <c r="C379" s="7"/>
      <c r="D379" s="7"/>
      <c r="E379" s="4"/>
      <c r="F379" s="4"/>
      <c r="G379" s="7"/>
      <c r="H379" s="4"/>
      <c r="I379" s="7"/>
      <c r="J379" s="4"/>
      <c r="K379" s="4"/>
      <c r="L379" s="4"/>
      <c r="M379" s="7"/>
      <c r="N379" s="7"/>
      <c r="O379" s="7"/>
      <c r="P379" s="7"/>
      <c r="Q379" s="4"/>
      <c r="R379" s="4"/>
      <c r="S379" s="4"/>
      <c r="T379" s="4"/>
      <c r="U379" s="4"/>
      <c r="V379" s="4"/>
      <c r="W379" s="4"/>
      <c r="X379" s="4"/>
      <c r="Y379" s="4"/>
      <c r="Z379" s="4"/>
      <c r="AA379" s="4"/>
      <c r="AB379" s="4"/>
      <c r="AC379" s="4"/>
      <c r="AD379" s="4"/>
      <c r="AE379" s="4"/>
      <c r="AF379" s="4"/>
      <c r="AG379" s="4"/>
    </row>
    <row r="380">
      <c r="A380" s="7"/>
      <c r="B380" s="7"/>
      <c r="C380" s="7"/>
      <c r="D380" s="7"/>
      <c r="E380" s="4"/>
      <c r="F380" s="4"/>
      <c r="G380" s="7"/>
      <c r="H380" s="4"/>
      <c r="I380" s="7"/>
      <c r="J380" s="7"/>
      <c r="K380" s="7"/>
      <c r="L380" s="4"/>
      <c r="M380" s="7"/>
      <c r="N380" s="7"/>
      <c r="O380" s="7"/>
      <c r="P380" s="4"/>
      <c r="Q380" s="4"/>
      <c r="R380" s="4"/>
      <c r="S380" s="4"/>
      <c r="T380" s="4"/>
      <c r="U380" s="4"/>
      <c r="V380" s="4"/>
      <c r="W380" s="4"/>
      <c r="X380" s="4"/>
      <c r="Y380" s="4"/>
      <c r="Z380" s="4"/>
      <c r="AA380" s="4"/>
      <c r="AB380" s="4"/>
      <c r="AC380" s="4"/>
      <c r="AD380" s="4"/>
      <c r="AE380" s="4"/>
      <c r="AF380" s="4"/>
      <c r="AG380" s="4"/>
    </row>
    <row r="381">
      <c r="A381" s="7"/>
      <c r="B381" s="7"/>
      <c r="C381" s="7"/>
      <c r="D381" s="7"/>
      <c r="E381" s="4"/>
      <c r="F381" s="4"/>
      <c r="G381" s="7"/>
      <c r="H381" s="4"/>
      <c r="I381" s="7"/>
      <c r="J381" s="7"/>
      <c r="K381" s="7"/>
      <c r="L381" s="4"/>
      <c r="M381" s="7"/>
      <c r="N381" s="7"/>
      <c r="O381" s="7"/>
      <c r="P381" s="7"/>
      <c r="Q381" s="4"/>
      <c r="R381" s="4"/>
      <c r="S381" s="4"/>
      <c r="T381" s="4"/>
      <c r="U381" s="4"/>
      <c r="V381" s="4"/>
      <c r="W381" s="4"/>
      <c r="X381" s="4"/>
      <c r="Y381" s="4"/>
      <c r="Z381" s="4"/>
      <c r="AA381" s="4"/>
      <c r="AB381" s="4"/>
      <c r="AC381" s="4"/>
      <c r="AD381" s="4"/>
      <c r="AE381" s="4"/>
      <c r="AF381" s="4"/>
      <c r="AG381" s="4"/>
    </row>
    <row r="382">
      <c r="A382" s="7"/>
      <c r="B382" s="7"/>
      <c r="C382" s="7"/>
      <c r="D382" s="7"/>
      <c r="E382" s="4"/>
      <c r="F382" s="4"/>
      <c r="G382" s="7"/>
      <c r="H382" s="4"/>
      <c r="I382" s="7"/>
      <c r="J382" s="7"/>
      <c r="K382" s="7"/>
      <c r="L382" s="4"/>
      <c r="M382" s="7"/>
      <c r="N382" s="7"/>
      <c r="O382" s="7"/>
      <c r="P382" s="7"/>
      <c r="Q382" s="4"/>
      <c r="R382" s="4"/>
      <c r="S382" s="4"/>
      <c r="T382" s="4"/>
      <c r="U382" s="4"/>
      <c r="V382" s="4"/>
      <c r="W382" s="4"/>
      <c r="X382" s="4"/>
      <c r="Y382" s="4"/>
      <c r="Z382" s="4"/>
      <c r="AA382" s="4"/>
      <c r="AB382" s="4"/>
      <c r="AC382" s="4"/>
      <c r="AD382" s="4"/>
      <c r="AE382" s="4"/>
      <c r="AF382" s="4"/>
      <c r="AG382" s="4"/>
    </row>
    <row r="383">
      <c r="A383" s="7"/>
      <c r="B383" s="7"/>
      <c r="C383" s="7"/>
      <c r="D383" s="7"/>
      <c r="E383" s="4"/>
      <c r="F383" s="4"/>
      <c r="G383" s="7"/>
      <c r="H383" s="4"/>
      <c r="I383" s="7"/>
      <c r="J383" s="4"/>
      <c r="K383" s="4"/>
      <c r="L383" s="4"/>
      <c r="M383" s="7"/>
      <c r="N383" s="7"/>
      <c r="O383" s="7"/>
      <c r="P383" s="7"/>
      <c r="Q383" s="4"/>
      <c r="R383" s="4"/>
      <c r="S383" s="4"/>
      <c r="T383" s="4"/>
      <c r="U383" s="4"/>
      <c r="V383" s="4"/>
      <c r="W383" s="4"/>
      <c r="X383" s="4"/>
      <c r="Y383" s="4"/>
      <c r="Z383" s="4"/>
      <c r="AA383" s="4"/>
      <c r="AB383" s="4"/>
      <c r="AC383" s="4"/>
      <c r="AD383" s="4"/>
      <c r="AE383" s="4"/>
      <c r="AF383" s="4"/>
      <c r="AG383" s="4"/>
    </row>
    <row r="384">
      <c r="A384" s="7"/>
      <c r="B384" s="7"/>
      <c r="C384" s="7"/>
      <c r="D384" s="7"/>
      <c r="E384" s="4"/>
      <c r="F384" s="4"/>
      <c r="G384" s="4"/>
      <c r="H384" s="7"/>
      <c r="I384" s="7"/>
      <c r="J384" s="4"/>
      <c r="K384" s="4"/>
      <c r="L384" s="4"/>
      <c r="M384" s="4"/>
      <c r="N384" s="7"/>
      <c r="O384" s="4"/>
      <c r="P384" s="7"/>
      <c r="Q384" s="4"/>
      <c r="R384" s="4"/>
      <c r="S384" s="4"/>
      <c r="T384" s="4"/>
      <c r="U384" s="4"/>
      <c r="V384" s="4"/>
      <c r="W384" s="4"/>
      <c r="X384" s="4"/>
      <c r="Y384" s="4"/>
      <c r="Z384" s="4"/>
      <c r="AA384" s="4"/>
      <c r="AB384" s="4"/>
      <c r="AC384" s="4"/>
      <c r="AD384" s="4"/>
      <c r="AE384" s="4"/>
      <c r="AF384" s="4"/>
      <c r="AG384" s="4"/>
    </row>
    <row r="385">
      <c r="A385" s="7"/>
      <c r="B385" s="7"/>
      <c r="C385" s="7"/>
      <c r="D385" s="7"/>
      <c r="E385" s="4"/>
      <c r="F385" s="4"/>
      <c r="G385" s="7"/>
      <c r="H385" s="4"/>
      <c r="I385" s="7"/>
      <c r="J385" s="4"/>
      <c r="K385" s="4"/>
      <c r="L385" s="4"/>
      <c r="M385" s="4"/>
      <c r="N385" s="7"/>
      <c r="O385" s="7"/>
      <c r="P385" s="4"/>
      <c r="Q385" s="4"/>
      <c r="R385" s="4"/>
      <c r="S385" s="4"/>
      <c r="T385" s="4"/>
      <c r="U385" s="4"/>
      <c r="V385" s="4"/>
      <c r="W385" s="4"/>
      <c r="X385" s="4"/>
      <c r="Y385" s="4"/>
      <c r="Z385" s="4"/>
      <c r="AA385" s="4"/>
      <c r="AB385" s="4"/>
      <c r="AC385" s="4"/>
      <c r="AD385" s="4"/>
      <c r="AE385" s="4"/>
      <c r="AF385" s="4"/>
      <c r="AG385" s="4"/>
    </row>
    <row r="386">
      <c r="A386" s="7"/>
      <c r="B386" s="7"/>
      <c r="C386" s="7"/>
      <c r="D386" s="7"/>
      <c r="E386" s="4"/>
      <c r="F386" s="4"/>
      <c r="G386" s="4"/>
      <c r="H386" s="4"/>
      <c r="I386" s="7"/>
      <c r="J386" s="4"/>
      <c r="K386" s="4"/>
      <c r="L386" s="4"/>
      <c r="M386" s="4"/>
      <c r="N386" s="7"/>
      <c r="O386" s="4"/>
      <c r="P386" s="7"/>
      <c r="Q386" s="4"/>
      <c r="R386" s="4"/>
      <c r="S386" s="4"/>
      <c r="T386" s="4"/>
      <c r="U386" s="4"/>
      <c r="V386" s="4"/>
      <c r="W386" s="4"/>
      <c r="X386" s="4"/>
      <c r="Y386" s="4"/>
      <c r="Z386" s="4"/>
      <c r="AA386" s="4"/>
      <c r="AB386" s="4"/>
      <c r="AC386" s="4"/>
      <c r="AD386" s="4"/>
      <c r="AE386" s="4"/>
      <c r="AF386" s="4"/>
      <c r="AG386" s="4"/>
    </row>
    <row r="387">
      <c r="A387" s="7"/>
      <c r="B387" s="7"/>
      <c r="C387" s="7"/>
      <c r="D387" s="7"/>
      <c r="E387" s="4"/>
      <c r="F387" s="4"/>
      <c r="G387" s="7"/>
      <c r="H387" s="4"/>
      <c r="I387" s="7"/>
      <c r="J387" s="7"/>
      <c r="K387" s="7"/>
      <c r="L387" s="4"/>
      <c r="M387" s="4"/>
      <c r="N387" s="7"/>
      <c r="O387" s="4"/>
      <c r="P387" s="7"/>
      <c r="Q387" s="4"/>
      <c r="R387" s="4"/>
      <c r="S387" s="4"/>
      <c r="T387" s="4"/>
      <c r="U387" s="4"/>
      <c r="V387" s="4"/>
      <c r="W387" s="4"/>
      <c r="X387" s="4"/>
      <c r="Y387" s="4"/>
      <c r="Z387" s="4"/>
      <c r="AA387" s="4"/>
      <c r="AB387" s="4"/>
      <c r="AC387" s="4"/>
      <c r="AD387" s="4"/>
      <c r="AE387" s="4"/>
      <c r="AF387" s="4"/>
      <c r="AG387" s="4"/>
    </row>
    <row r="388">
      <c r="A388" s="7"/>
      <c r="B388" s="7"/>
      <c r="C388" s="7"/>
      <c r="D388" s="7"/>
      <c r="E388" s="4"/>
      <c r="F388" s="4"/>
      <c r="G388" s="7"/>
      <c r="H388" s="4"/>
      <c r="I388" s="7"/>
      <c r="J388" s="4"/>
      <c r="K388" s="7"/>
      <c r="L388" s="4"/>
      <c r="M388" s="4"/>
      <c r="N388" s="7"/>
      <c r="O388" s="4"/>
      <c r="P388" s="7"/>
      <c r="Q388" s="4"/>
      <c r="R388" s="4"/>
      <c r="S388" s="4"/>
      <c r="T388" s="4"/>
      <c r="U388" s="4"/>
      <c r="V388" s="4"/>
      <c r="W388" s="4"/>
      <c r="X388" s="4"/>
      <c r="Y388" s="4"/>
      <c r="Z388" s="4"/>
      <c r="AA388" s="4"/>
      <c r="AB388" s="4"/>
      <c r="AC388" s="4"/>
      <c r="AD388" s="4"/>
      <c r="AE388" s="4"/>
      <c r="AF388" s="4"/>
      <c r="AG388" s="4"/>
    </row>
    <row r="389">
      <c r="A389" s="7"/>
      <c r="B389" s="7"/>
      <c r="C389" s="7"/>
      <c r="D389" s="7"/>
      <c r="E389" s="4"/>
      <c r="F389" s="4"/>
      <c r="G389" s="7"/>
      <c r="H389" s="4"/>
      <c r="I389" s="7"/>
      <c r="J389" s="7"/>
      <c r="K389" s="7"/>
      <c r="L389" s="4"/>
      <c r="M389" s="4"/>
      <c r="N389" s="7"/>
      <c r="O389" s="4"/>
      <c r="P389" s="7"/>
      <c r="Q389" s="4"/>
      <c r="R389" s="4"/>
      <c r="S389" s="4"/>
      <c r="T389" s="4"/>
      <c r="U389" s="4"/>
      <c r="V389" s="4"/>
      <c r="W389" s="4"/>
      <c r="X389" s="4"/>
      <c r="Y389" s="4"/>
      <c r="Z389" s="4"/>
      <c r="AA389" s="4"/>
      <c r="AB389" s="4"/>
      <c r="AC389" s="4"/>
      <c r="AD389" s="4"/>
      <c r="AE389" s="4"/>
      <c r="AF389" s="4"/>
      <c r="AG389" s="4"/>
    </row>
    <row r="390">
      <c r="A390" s="7"/>
      <c r="B390" s="7"/>
      <c r="C390" s="7"/>
      <c r="D390" s="7"/>
      <c r="E390" s="4"/>
      <c r="F390" s="4"/>
      <c r="G390" s="7"/>
      <c r="H390" s="4"/>
      <c r="I390" s="7"/>
      <c r="J390" s="7"/>
      <c r="K390" s="7"/>
      <c r="L390" s="4"/>
      <c r="M390" s="4"/>
      <c r="N390" s="7"/>
      <c r="O390" s="4"/>
      <c r="P390" s="7"/>
      <c r="Q390" s="4"/>
      <c r="R390" s="4"/>
      <c r="S390" s="4"/>
      <c r="T390" s="4"/>
      <c r="U390" s="4"/>
      <c r="V390" s="4"/>
      <c r="W390" s="4"/>
      <c r="X390" s="4"/>
      <c r="Y390" s="4"/>
      <c r="Z390" s="4"/>
      <c r="AA390" s="4"/>
      <c r="AB390" s="4"/>
      <c r="AC390" s="4"/>
      <c r="AD390" s="4"/>
      <c r="AE390" s="4"/>
      <c r="AF390" s="4"/>
      <c r="AG390" s="4"/>
    </row>
    <row r="391">
      <c r="A391" s="7"/>
      <c r="B391" s="7"/>
      <c r="C391" s="7"/>
      <c r="D391" s="7"/>
      <c r="E391" s="4"/>
      <c r="F391" s="4"/>
      <c r="G391" s="7"/>
      <c r="H391" s="4"/>
      <c r="I391" s="7"/>
      <c r="J391" s="7"/>
      <c r="K391" s="7"/>
      <c r="L391" s="4"/>
      <c r="M391" s="4"/>
      <c r="N391" s="7"/>
      <c r="O391" s="4"/>
      <c r="P391" s="7"/>
      <c r="Q391" s="4"/>
      <c r="R391" s="4"/>
      <c r="S391" s="4"/>
      <c r="T391" s="4"/>
      <c r="U391" s="4"/>
      <c r="V391" s="4"/>
      <c r="W391" s="4"/>
      <c r="X391" s="4"/>
      <c r="Y391" s="4"/>
      <c r="Z391" s="4"/>
      <c r="AA391" s="4"/>
      <c r="AB391" s="4"/>
      <c r="AC391" s="4"/>
      <c r="AD391" s="4"/>
      <c r="AE391" s="4"/>
      <c r="AF391" s="4"/>
      <c r="AG391" s="4"/>
    </row>
    <row r="392">
      <c r="A392" s="7"/>
      <c r="B392" s="7"/>
      <c r="C392" s="7"/>
      <c r="D392" s="7"/>
      <c r="E392" s="4"/>
      <c r="F392" s="4"/>
      <c r="G392" s="7"/>
      <c r="H392" s="7"/>
      <c r="I392" s="7"/>
      <c r="J392" s="4"/>
      <c r="K392" s="4"/>
      <c r="L392" s="4"/>
      <c r="M392" s="4"/>
      <c r="N392" s="7"/>
      <c r="O392" s="4"/>
      <c r="P392" s="7"/>
      <c r="Q392" s="4"/>
      <c r="R392" s="4"/>
      <c r="S392" s="4"/>
      <c r="T392" s="4"/>
      <c r="U392" s="4"/>
      <c r="V392" s="4"/>
      <c r="W392" s="4"/>
      <c r="X392" s="4"/>
      <c r="Y392" s="4"/>
      <c r="Z392" s="4"/>
      <c r="AA392" s="4"/>
      <c r="AB392" s="4"/>
      <c r="AC392" s="4"/>
      <c r="AD392" s="4"/>
      <c r="AE392" s="4"/>
      <c r="AF392" s="4"/>
      <c r="AG392" s="4"/>
    </row>
    <row r="393">
      <c r="A393" s="7"/>
      <c r="B393" s="7"/>
      <c r="C393" s="7"/>
      <c r="D393" s="7"/>
      <c r="E393" s="4"/>
      <c r="F393" s="4"/>
      <c r="G393" s="7"/>
      <c r="H393" s="7"/>
      <c r="I393" s="7"/>
      <c r="J393" s="4"/>
      <c r="K393" s="4"/>
      <c r="L393" s="4"/>
      <c r="M393" s="4"/>
      <c r="N393" s="7"/>
      <c r="O393" s="4"/>
      <c r="P393" s="7"/>
      <c r="Q393" s="4"/>
      <c r="R393" s="4"/>
      <c r="S393" s="4"/>
      <c r="T393" s="4"/>
      <c r="U393" s="4"/>
      <c r="V393" s="4"/>
      <c r="W393" s="4"/>
      <c r="X393" s="4"/>
      <c r="Y393" s="4"/>
      <c r="Z393" s="4"/>
      <c r="AA393" s="4"/>
      <c r="AB393" s="4"/>
      <c r="AC393" s="4"/>
      <c r="AD393" s="4"/>
      <c r="AE393" s="4"/>
      <c r="AF393" s="4"/>
      <c r="AG393" s="4"/>
    </row>
    <row r="394">
      <c r="A394" s="7"/>
      <c r="B394" s="7"/>
      <c r="C394" s="7"/>
      <c r="D394" s="7"/>
      <c r="E394" s="4"/>
      <c r="F394" s="4"/>
      <c r="G394" s="7"/>
      <c r="H394" s="4"/>
      <c r="I394" s="7"/>
      <c r="J394" s="7"/>
      <c r="K394" s="4"/>
      <c r="L394" s="4"/>
      <c r="M394" s="4"/>
      <c r="N394" s="7"/>
      <c r="O394" s="4"/>
      <c r="P394" s="4"/>
      <c r="Q394" s="4"/>
      <c r="R394" s="4"/>
      <c r="S394" s="4"/>
      <c r="T394" s="4"/>
      <c r="U394" s="4"/>
      <c r="V394" s="4"/>
      <c r="W394" s="4"/>
      <c r="X394" s="4"/>
      <c r="Y394" s="4"/>
      <c r="Z394" s="4"/>
      <c r="AA394" s="4"/>
      <c r="AB394" s="4"/>
      <c r="AC394" s="4"/>
      <c r="AD394" s="4"/>
      <c r="AE394" s="4"/>
      <c r="AF394" s="4"/>
      <c r="AG394" s="4"/>
    </row>
    <row r="395">
      <c r="A395" s="7"/>
      <c r="B395" s="7"/>
      <c r="C395" s="7"/>
      <c r="D395" s="7"/>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row>
    <row r="396">
      <c r="A396" s="7"/>
      <c r="B396" s="7"/>
      <c r="C396" s="7"/>
      <c r="D396" s="7"/>
      <c r="E396" s="4"/>
      <c r="F396" s="4"/>
      <c r="G396" s="7"/>
      <c r="H396" s="4"/>
      <c r="I396" s="7"/>
      <c r="J396" s="7"/>
      <c r="K396" s="7"/>
      <c r="L396" s="4"/>
      <c r="M396" s="4"/>
      <c r="N396" s="7"/>
      <c r="O396" s="4"/>
      <c r="P396" s="7"/>
      <c r="Q396" s="4"/>
      <c r="R396" s="4"/>
      <c r="S396" s="4"/>
      <c r="T396" s="4"/>
      <c r="U396" s="4"/>
      <c r="V396" s="4"/>
      <c r="W396" s="4"/>
      <c r="X396" s="4"/>
      <c r="Y396" s="4"/>
      <c r="Z396" s="4"/>
      <c r="AA396" s="4"/>
      <c r="AB396" s="4"/>
      <c r="AC396" s="4"/>
      <c r="AD396" s="4"/>
      <c r="AE396" s="4"/>
      <c r="AF396" s="4"/>
      <c r="AG396" s="4"/>
    </row>
    <row r="397">
      <c r="A397" s="7"/>
      <c r="B397" s="7"/>
      <c r="C397" s="7"/>
      <c r="D397" s="7"/>
      <c r="E397" s="4"/>
      <c r="F397" s="4"/>
      <c r="G397" s="7"/>
      <c r="H397" s="4"/>
      <c r="I397" s="7"/>
      <c r="J397" s="4"/>
      <c r="K397" s="4"/>
      <c r="L397" s="4"/>
      <c r="M397" s="4"/>
      <c r="N397" s="7"/>
      <c r="O397" s="4"/>
      <c r="P397" s="7"/>
      <c r="Q397" s="4"/>
      <c r="R397" s="4"/>
      <c r="S397" s="4"/>
      <c r="T397" s="4"/>
      <c r="U397" s="4"/>
      <c r="V397" s="4"/>
      <c r="W397" s="4"/>
      <c r="X397" s="4"/>
      <c r="Y397" s="4"/>
      <c r="Z397" s="4"/>
      <c r="AA397" s="4"/>
      <c r="AB397" s="4"/>
      <c r="AC397" s="4"/>
      <c r="AD397" s="4"/>
      <c r="AE397" s="4"/>
      <c r="AF397" s="4"/>
      <c r="AG397" s="4"/>
    </row>
    <row r="398">
      <c r="A398" s="7"/>
      <c r="B398" s="7"/>
      <c r="C398" s="7"/>
      <c r="D398" s="7"/>
      <c r="E398" s="4"/>
      <c r="F398" s="4"/>
      <c r="G398" s="7"/>
      <c r="H398" s="4"/>
      <c r="I398" s="7"/>
      <c r="J398" s="4"/>
      <c r="K398" s="4"/>
      <c r="L398" s="4"/>
      <c r="M398" s="4"/>
      <c r="N398" s="7"/>
      <c r="O398" s="4"/>
      <c r="P398" s="7"/>
      <c r="Q398" s="4"/>
      <c r="R398" s="4"/>
      <c r="S398" s="4"/>
      <c r="T398" s="4"/>
      <c r="U398" s="4"/>
      <c r="V398" s="4"/>
      <c r="W398" s="4"/>
      <c r="X398" s="4"/>
      <c r="Y398" s="4"/>
      <c r="Z398" s="4"/>
      <c r="AA398" s="4"/>
      <c r="AB398" s="4"/>
      <c r="AC398" s="4"/>
      <c r="AD398" s="4"/>
      <c r="AE398" s="4"/>
      <c r="AF398" s="4"/>
      <c r="AG398" s="4"/>
    </row>
    <row r="399">
      <c r="A399" s="7"/>
      <c r="B399" s="7"/>
      <c r="C399" s="7"/>
      <c r="D399" s="7"/>
      <c r="E399" s="4"/>
      <c r="F399" s="4"/>
      <c r="G399" s="7"/>
      <c r="H399" s="4"/>
      <c r="I399" s="7"/>
      <c r="J399" s="4"/>
      <c r="K399" s="4"/>
      <c r="L399" s="4"/>
      <c r="M399" s="4"/>
      <c r="N399" s="7"/>
      <c r="O399" s="7"/>
      <c r="P399" s="4"/>
      <c r="Q399" s="4"/>
      <c r="R399" s="4"/>
      <c r="S399" s="4"/>
      <c r="T399" s="4"/>
      <c r="U399" s="4"/>
      <c r="V399" s="4"/>
      <c r="W399" s="4"/>
      <c r="X399" s="4"/>
      <c r="Y399" s="4"/>
      <c r="Z399" s="4"/>
      <c r="AA399" s="4"/>
      <c r="AB399" s="4"/>
      <c r="AC399" s="4"/>
      <c r="AD399" s="4"/>
      <c r="AE399" s="4"/>
      <c r="AF399" s="4"/>
      <c r="AG399" s="4"/>
    </row>
    <row r="400">
      <c r="A400" s="7"/>
      <c r="B400" s="7"/>
      <c r="C400" s="7"/>
      <c r="D400" s="7"/>
      <c r="E400" s="4"/>
      <c r="F400" s="4"/>
      <c r="G400" s="4"/>
      <c r="H400" s="4"/>
      <c r="I400" s="7"/>
      <c r="J400" s="4"/>
      <c r="K400" s="4"/>
      <c r="L400" s="4"/>
      <c r="M400" s="4"/>
      <c r="N400" s="7"/>
      <c r="O400" s="4"/>
      <c r="P400" s="4"/>
      <c r="Q400" s="4"/>
      <c r="R400" s="4"/>
      <c r="S400" s="4"/>
      <c r="T400" s="4"/>
      <c r="U400" s="4"/>
      <c r="V400" s="4"/>
      <c r="W400" s="4"/>
      <c r="X400" s="4"/>
      <c r="Y400" s="4"/>
      <c r="Z400" s="4"/>
      <c r="AA400" s="4"/>
      <c r="AB400" s="4"/>
      <c r="AC400" s="4"/>
      <c r="AD400" s="4"/>
      <c r="AE400" s="4"/>
      <c r="AF400" s="4"/>
      <c r="AG400" s="4"/>
    </row>
    <row r="401">
      <c r="A401" s="7"/>
      <c r="B401" s="7"/>
      <c r="C401" s="7"/>
      <c r="D401" s="7"/>
      <c r="E401" s="4"/>
      <c r="F401" s="4"/>
      <c r="G401" s="7"/>
      <c r="H401" s="7"/>
      <c r="I401" s="7"/>
      <c r="J401" s="7"/>
      <c r="K401" s="4"/>
      <c r="L401" s="4"/>
      <c r="M401" s="7"/>
      <c r="N401" s="7"/>
      <c r="O401" s="7"/>
      <c r="P401" s="7"/>
      <c r="Q401" s="4"/>
      <c r="R401" s="4"/>
      <c r="S401" s="4"/>
      <c r="T401" s="4"/>
      <c r="U401" s="4"/>
      <c r="V401" s="7"/>
      <c r="W401" s="7"/>
      <c r="X401" s="4"/>
      <c r="Y401" s="4"/>
      <c r="Z401" s="4"/>
      <c r="AA401" s="4"/>
      <c r="AB401" s="7"/>
      <c r="AC401" s="7"/>
      <c r="AD401" s="4"/>
      <c r="AE401" s="4"/>
      <c r="AF401" s="4"/>
      <c r="AG401" s="4"/>
    </row>
    <row r="402">
      <c r="A402" s="7"/>
      <c r="B402" s="7"/>
      <c r="C402" s="7"/>
      <c r="D402" s="7"/>
      <c r="E402" s="4"/>
      <c r="F402" s="4"/>
      <c r="G402" s="7"/>
      <c r="H402" s="4"/>
      <c r="I402" s="7"/>
      <c r="J402" s="7"/>
      <c r="K402" s="7"/>
      <c r="L402" s="4"/>
      <c r="M402" s="7"/>
      <c r="N402" s="7"/>
      <c r="O402" s="7"/>
      <c r="P402" s="4"/>
      <c r="Q402" s="4"/>
      <c r="R402" s="4"/>
      <c r="S402" s="4"/>
      <c r="T402" s="4"/>
      <c r="U402" s="4"/>
      <c r="V402" s="4"/>
      <c r="W402" s="4"/>
      <c r="X402" s="4"/>
      <c r="Y402" s="4"/>
      <c r="Z402" s="4"/>
      <c r="AA402" s="4"/>
      <c r="AB402" s="4"/>
      <c r="AC402" s="4"/>
      <c r="AD402" s="4"/>
      <c r="AE402" s="4"/>
      <c r="AF402" s="4"/>
      <c r="AG402" s="4"/>
    </row>
    <row r="403">
      <c r="A403" s="7"/>
      <c r="B403" s="7"/>
      <c r="C403" s="7"/>
      <c r="D403" s="7"/>
      <c r="E403" s="4"/>
      <c r="F403" s="4"/>
      <c r="G403" s="7"/>
      <c r="H403" s="4"/>
      <c r="I403" s="7"/>
      <c r="J403" s="7"/>
      <c r="K403" s="7"/>
      <c r="L403" s="4"/>
      <c r="M403" s="7"/>
      <c r="N403" s="7"/>
      <c r="O403" s="7"/>
      <c r="P403" s="4"/>
      <c r="Q403" s="7"/>
      <c r="R403" s="7"/>
      <c r="S403" s="4"/>
      <c r="T403" s="4"/>
      <c r="U403" s="4"/>
      <c r="V403" s="4"/>
      <c r="W403" s="4"/>
      <c r="X403" s="4"/>
      <c r="Y403" s="4"/>
      <c r="Z403" s="4"/>
      <c r="AA403" s="4"/>
      <c r="AB403" s="4"/>
      <c r="AC403" s="4"/>
      <c r="AD403" s="4"/>
      <c r="AE403" s="4"/>
      <c r="AF403" s="4"/>
      <c r="AG403" s="4"/>
    </row>
    <row r="404">
      <c r="A404" s="7"/>
      <c r="B404" s="7"/>
      <c r="C404" s="7"/>
      <c r="D404" s="7"/>
      <c r="E404" s="4"/>
      <c r="F404" s="4"/>
      <c r="G404" s="7"/>
      <c r="H404" s="4"/>
      <c r="I404" s="7"/>
      <c r="J404" s="4"/>
      <c r="K404" s="4"/>
      <c r="L404" s="4"/>
      <c r="M404" s="7"/>
      <c r="N404" s="7"/>
      <c r="O404" s="7"/>
      <c r="P404" s="7"/>
      <c r="Q404" s="4"/>
      <c r="R404" s="4"/>
      <c r="S404" s="4"/>
      <c r="T404" s="4"/>
      <c r="U404" s="4"/>
      <c r="V404" s="4"/>
      <c r="W404" s="4"/>
      <c r="X404" s="4"/>
      <c r="Y404" s="4"/>
      <c r="Z404" s="4"/>
      <c r="AA404" s="4"/>
      <c r="AB404" s="4"/>
      <c r="AC404" s="4"/>
      <c r="AD404" s="4"/>
      <c r="AE404" s="4"/>
      <c r="AF404" s="4"/>
      <c r="AG404" s="4"/>
    </row>
    <row r="405">
      <c r="A405" s="7"/>
      <c r="B405" s="7"/>
      <c r="C405" s="7"/>
      <c r="D405" s="7"/>
      <c r="E405" s="4"/>
      <c r="F405" s="4"/>
      <c r="G405" s="7"/>
      <c r="H405" s="4"/>
      <c r="I405" s="7"/>
      <c r="J405" s="7"/>
      <c r="K405" s="7"/>
      <c r="L405" s="4"/>
      <c r="M405" s="4"/>
      <c r="N405" s="7"/>
      <c r="O405" s="4"/>
      <c r="P405" s="7"/>
      <c r="Q405" s="4"/>
      <c r="R405" s="4"/>
      <c r="S405" s="4"/>
      <c r="T405" s="4"/>
      <c r="U405" s="4"/>
      <c r="V405" s="4"/>
      <c r="W405" s="4"/>
      <c r="X405" s="4"/>
      <c r="Y405" s="4"/>
      <c r="Z405" s="4"/>
      <c r="AA405" s="4"/>
      <c r="AB405" s="4"/>
      <c r="AC405" s="4"/>
      <c r="AD405" s="4"/>
      <c r="AE405" s="4"/>
      <c r="AF405" s="4"/>
      <c r="AG405" s="4"/>
    </row>
    <row r="406">
      <c r="A406" s="7"/>
      <c r="B406" s="7"/>
      <c r="C406" s="7"/>
      <c r="D406" s="7"/>
      <c r="E406" s="4"/>
      <c r="F406" s="4"/>
      <c r="G406" s="7"/>
      <c r="H406" s="4"/>
      <c r="I406" s="7"/>
      <c r="J406" s="7"/>
      <c r="K406" s="7"/>
      <c r="L406" s="4"/>
      <c r="M406" s="4"/>
      <c r="N406" s="7"/>
      <c r="O406" s="4"/>
      <c r="P406" s="7"/>
      <c r="Q406" s="4"/>
      <c r="R406" s="4"/>
      <c r="S406" s="4"/>
      <c r="T406" s="4"/>
      <c r="U406" s="4"/>
      <c r="V406" s="4"/>
      <c r="W406" s="4"/>
      <c r="X406" s="4"/>
      <c r="Y406" s="4"/>
      <c r="Z406" s="4"/>
      <c r="AA406" s="4"/>
      <c r="AB406" s="4"/>
      <c r="AC406" s="4"/>
      <c r="AD406" s="4"/>
      <c r="AE406" s="4"/>
      <c r="AF406" s="4"/>
      <c r="AG406" s="4"/>
    </row>
    <row r="407">
      <c r="A407" s="7"/>
      <c r="B407" s="7"/>
      <c r="C407" s="7"/>
      <c r="D407" s="7"/>
      <c r="E407" s="4"/>
      <c r="F407" s="4"/>
      <c r="G407" s="7"/>
      <c r="H407" s="4"/>
      <c r="I407" s="7"/>
      <c r="J407" s="7"/>
      <c r="K407" s="7"/>
      <c r="L407" s="4"/>
      <c r="M407" s="4"/>
      <c r="N407" s="7"/>
      <c r="O407" s="4"/>
      <c r="P407" s="7"/>
      <c r="Q407" s="4"/>
      <c r="R407" s="4"/>
      <c r="S407" s="4"/>
      <c r="T407" s="4"/>
      <c r="U407" s="4"/>
      <c r="V407" s="4"/>
      <c r="W407" s="4"/>
      <c r="X407" s="4"/>
      <c r="Y407" s="4"/>
      <c r="Z407" s="4"/>
      <c r="AA407" s="4"/>
      <c r="AB407" s="4"/>
      <c r="AC407" s="4"/>
      <c r="AD407" s="4"/>
      <c r="AE407" s="4"/>
      <c r="AF407" s="4"/>
      <c r="AG407" s="4"/>
    </row>
    <row r="408">
      <c r="A408" s="7"/>
      <c r="B408" s="7"/>
      <c r="C408" s="7"/>
      <c r="D408" s="7"/>
      <c r="E408" s="4"/>
      <c r="F408" s="4"/>
      <c r="G408" s="7"/>
      <c r="H408" s="7"/>
      <c r="I408" s="7"/>
      <c r="J408" s="4"/>
      <c r="K408" s="4"/>
      <c r="L408" s="4"/>
      <c r="M408" s="4"/>
      <c r="N408" s="7"/>
      <c r="O408" s="4"/>
      <c r="P408" s="7"/>
      <c r="Q408" s="4"/>
      <c r="R408" s="4"/>
      <c r="S408" s="4"/>
      <c r="T408" s="4"/>
      <c r="U408" s="4"/>
      <c r="V408" s="4"/>
      <c r="W408" s="4"/>
      <c r="X408" s="4"/>
      <c r="Y408" s="4"/>
      <c r="Z408" s="4"/>
      <c r="AA408" s="4"/>
      <c r="AB408" s="4"/>
      <c r="AC408" s="4"/>
      <c r="AD408" s="4"/>
      <c r="AE408" s="4"/>
      <c r="AF408" s="4"/>
      <c r="AG408" s="4"/>
    </row>
    <row r="409">
      <c r="A409" s="7"/>
      <c r="B409" s="7"/>
      <c r="C409" s="7"/>
      <c r="D409" s="7"/>
      <c r="E409" s="4"/>
      <c r="F409" s="4"/>
      <c r="G409" s="4"/>
      <c r="H409" s="7"/>
      <c r="I409" s="7"/>
      <c r="J409" s="4"/>
      <c r="K409" s="4"/>
      <c r="L409" s="4"/>
      <c r="M409" s="7"/>
      <c r="N409" s="7"/>
      <c r="O409" s="4"/>
      <c r="P409" s="7"/>
      <c r="Q409" s="4"/>
      <c r="R409" s="4"/>
      <c r="S409" s="4"/>
      <c r="T409" s="4"/>
      <c r="U409" s="4"/>
      <c r="V409" s="4"/>
      <c r="W409" s="4"/>
      <c r="X409" s="4"/>
      <c r="Y409" s="4"/>
      <c r="Z409" s="4"/>
      <c r="AA409" s="4"/>
      <c r="AB409" s="4"/>
      <c r="AC409" s="4"/>
      <c r="AD409" s="4"/>
      <c r="AE409" s="4"/>
      <c r="AF409" s="4"/>
      <c r="AG409" s="4"/>
    </row>
    <row r="410">
      <c r="A410" s="7"/>
      <c r="B410" s="7"/>
      <c r="C410" s="7"/>
      <c r="D410" s="7"/>
      <c r="E410" s="4"/>
      <c r="F410" s="4"/>
      <c r="G410" s="7"/>
      <c r="H410" s="4"/>
      <c r="I410" s="7"/>
      <c r="J410" s="4"/>
      <c r="K410" s="7"/>
      <c r="L410" s="4"/>
      <c r="M410" s="7"/>
      <c r="N410" s="7"/>
      <c r="O410" s="7"/>
      <c r="P410" s="4"/>
      <c r="Q410" s="4"/>
      <c r="R410" s="4"/>
      <c r="S410" s="4"/>
      <c r="T410" s="4"/>
      <c r="U410" s="4"/>
      <c r="V410" s="4"/>
      <c r="W410" s="4"/>
      <c r="X410" s="4"/>
      <c r="Y410" s="4"/>
      <c r="Z410" s="4"/>
      <c r="AA410" s="4"/>
      <c r="AB410" s="4"/>
      <c r="AC410" s="4"/>
      <c r="AD410" s="4"/>
      <c r="AE410" s="4"/>
      <c r="AF410" s="4"/>
      <c r="AG410" s="4"/>
    </row>
    <row r="411">
      <c r="A411" s="7"/>
      <c r="B411" s="7"/>
      <c r="C411" s="7"/>
      <c r="D411" s="7"/>
      <c r="E411" s="4"/>
      <c r="F411" s="4"/>
      <c r="G411" s="4"/>
      <c r="H411" s="4"/>
      <c r="I411" s="7"/>
      <c r="J411" s="4"/>
      <c r="K411" s="4"/>
      <c r="L411" s="4"/>
      <c r="M411" s="4"/>
      <c r="N411" s="7"/>
      <c r="O411" s="4"/>
      <c r="P411" s="7"/>
      <c r="Q411" s="4"/>
      <c r="R411" s="4"/>
      <c r="S411" s="4"/>
      <c r="T411" s="4"/>
      <c r="U411" s="4"/>
      <c r="V411" s="4"/>
      <c r="W411" s="4"/>
      <c r="X411" s="4"/>
      <c r="Y411" s="4"/>
      <c r="Z411" s="4"/>
      <c r="AA411" s="4"/>
      <c r="AB411" s="4"/>
      <c r="AC411" s="4"/>
      <c r="AD411" s="4"/>
      <c r="AE411" s="4"/>
      <c r="AF411" s="4"/>
      <c r="AG411" s="4"/>
    </row>
    <row r="412">
      <c r="A412" s="7"/>
      <c r="B412" s="7"/>
      <c r="C412" s="7"/>
      <c r="D412" s="7"/>
      <c r="E412" s="4"/>
      <c r="F412" s="4"/>
      <c r="G412" s="7"/>
      <c r="H412" s="7"/>
      <c r="I412" s="7"/>
      <c r="J412" s="7"/>
      <c r="K412" s="4"/>
      <c r="L412" s="4"/>
      <c r="M412" s="7"/>
      <c r="N412" s="7"/>
      <c r="O412" s="7"/>
      <c r="P412" s="7"/>
      <c r="Q412" s="4"/>
      <c r="R412" s="4"/>
      <c r="S412" s="4"/>
      <c r="T412" s="4"/>
      <c r="U412" s="4"/>
      <c r="V412" s="4"/>
      <c r="W412" s="4"/>
      <c r="X412" s="4"/>
      <c r="Y412" s="4"/>
      <c r="Z412" s="4"/>
      <c r="AA412" s="4"/>
      <c r="AB412" s="4"/>
      <c r="AC412" s="4"/>
      <c r="AD412" s="4"/>
      <c r="AE412" s="4"/>
      <c r="AF412" s="4"/>
      <c r="AG412" s="4"/>
    </row>
    <row r="413">
      <c r="A413" s="7"/>
      <c r="B413" s="7"/>
      <c r="C413" s="7"/>
      <c r="D413" s="7"/>
      <c r="E413" s="4"/>
      <c r="F413" s="4"/>
      <c r="G413" s="7"/>
      <c r="H413" s="7"/>
      <c r="I413" s="7"/>
      <c r="J413" s="4"/>
      <c r="K413" s="4"/>
      <c r="L413" s="4"/>
      <c r="M413" s="7"/>
      <c r="N413" s="7"/>
      <c r="O413" s="7"/>
      <c r="P413" s="7"/>
      <c r="Q413" s="4"/>
      <c r="R413" s="4"/>
      <c r="S413" s="4"/>
      <c r="T413" s="4"/>
      <c r="U413" s="4"/>
      <c r="V413" s="4"/>
      <c r="W413" s="4"/>
      <c r="X413" s="4"/>
      <c r="Y413" s="4"/>
      <c r="Z413" s="4"/>
      <c r="AA413" s="4"/>
      <c r="AB413" s="4"/>
      <c r="AC413" s="4"/>
      <c r="AD413" s="4"/>
      <c r="AE413" s="4"/>
      <c r="AF413" s="4"/>
      <c r="AG413" s="4"/>
    </row>
    <row r="414">
      <c r="A414" s="7"/>
      <c r="B414" s="7"/>
      <c r="C414" s="7"/>
      <c r="D414" s="7"/>
      <c r="E414" s="4"/>
      <c r="F414" s="4"/>
      <c r="G414" s="4"/>
      <c r="H414" s="4"/>
      <c r="I414" s="7"/>
      <c r="J414" s="4"/>
      <c r="K414" s="4"/>
      <c r="L414" s="4"/>
      <c r="M414" s="4"/>
      <c r="N414" s="7"/>
      <c r="O414" s="4"/>
      <c r="P414" s="4"/>
      <c r="Q414" s="4"/>
      <c r="R414" s="4"/>
      <c r="S414" s="4"/>
      <c r="T414" s="4"/>
      <c r="U414" s="4"/>
      <c r="V414" s="4"/>
      <c r="W414" s="4"/>
      <c r="X414" s="4"/>
      <c r="Y414" s="4"/>
      <c r="Z414" s="4"/>
      <c r="AA414" s="4"/>
      <c r="AB414" s="4"/>
      <c r="AC414" s="4"/>
      <c r="AD414" s="4"/>
      <c r="AE414" s="4"/>
      <c r="AF414" s="4"/>
      <c r="AG414" s="4"/>
    </row>
    <row r="415">
      <c r="A415" s="7"/>
      <c r="B415" s="7"/>
      <c r="C415" s="7"/>
      <c r="D415" s="7"/>
      <c r="E415" s="4"/>
      <c r="F415" s="4"/>
      <c r="G415" s="7"/>
      <c r="H415" s="4"/>
      <c r="I415" s="7"/>
      <c r="J415" s="4"/>
      <c r="K415" s="4"/>
      <c r="L415" s="4"/>
      <c r="M415" s="4"/>
      <c r="N415" s="7"/>
      <c r="O415" s="4"/>
      <c r="P415" s="4"/>
      <c r="Q415" s="4"/>
      <c r="R415" s="4"/>
      <c r="S415" s="4"/>
      <c r="T415" s="4"/>
      <c r="U415" s="4"/>
      <c r="V415" s="4"/>
      <c r="W415" s="4"/>
      <c r="X415" s="4"/>
      <c r="Y415" s="4"/>
      <c r="Z415" s="4"/>
      <c r="AA415" s="4"/>
      <c r="AB415" s="4"/>
      <c r="AC415" s="4"/>
      <c r="AD415" s="4"/>
      <c r="AE415" s="4"/>
      <c r="AF415" s="4"/>
      <c r="AG415" s="4"/>
    </row>
    <row r="416">
      <c r="A416" s="7"/>
      <c r="B416" s="7"/>
      <c r="C416" s="7"/>
      <c r="D416" s="7"/>
      <c r="E416" s="4"/>
      <c r="F416" s="4"/>
      <c r="G416" s="7"/>
      <c r="H416" s="4"/>
      <c r="I416" s="4"/>
      <c r="J416" s="4"/>
      <c r="K416" s="4"/>
      <c r="L416" s="4"/>
      <c r="M416" s="7"/>
      <c r="N416" s="4"/>
      <c r="O416" s="7"/>
      <c r="P416" s="4"/>
      <c r="Q416" s="4"/>
      <c r="R416" s="4"/>
      <c r="S416" s="4"/>
      <c r="T416" s="4"/>
      <c r="U416" s="4"/>
      <c r="V416" s="4"/>
      <c r="W416" s="4"/>
      <c r="X416" s="4"/>
      <c r="Y416" s="4"/>
      <c r="Z416" s="4"/>
      <c r="AA416" s="4"/>
      <c r="AB416" s="4"/>
      <c r="AC416" s="4"/>
      <c r="AD416" s="4"/>
      <c r="AE416" s="4"/>
      <c r="AF416" s="4"/>
      <c r="AG416" s="4"/>
    </row>
    <row r="417">
      <c r="A417" s="7"/>
      <c r="B417" s="7"/>
      <c r="C417" s="7"/>
      <c r="D417" s="7"/>
      <c r="E417" s="4"/>
      <c r="F417" s="4"/>
      <c r="G417" s="7"/>
      <c r="H417" s="4"/>
      <c r="I417" s="7"/>
      <c r="J417" s="7"/>
      <c r="K417" s="7"/>
      <c r="L417" s="4"/>
      <c r="M417" s="7"/>
      <c r="N417" s="7"/>
      <c r="O417" s="7"/>
      <c r="P417" s="7"/>
      <c r="Q417" s="4"/>
      <c r="R417" s="4"/>
      <c r="S417" s="4"/>
      <c r="T417" s="4"/>
      <c r="U417" s="7"/>
      <c r="V417" s="7"/>
      <c r="W417" s="7"/>
      <c r="X417" s="4"/>
      <c r="Y417" s="4"/>
      <c r="Z417" s="4"/>
      <c r="AA417" s="4"/>
      <c r="AB417" s="7"/>
      <c r="AC417" s="7"/>
      <c r="AD417" s="4"/>
      <c r="AE417" s="4"/>
      <c r="AF417" s="4"/>
      <c r="AG417" s="4"/>
    </row>
    <row r="418">
      <c r="A418" s="7"/>
      <c r="B418" s="7"/>
      <c r="C418" s="7"/>
      <c r="D418" s="7"/>
      <c r="E418" s="4"/>
      <c r="F418" s="4"/>
      <c r="G418" s="7"/>
      <c r="H418" s="4"/>
      <c r="I418" s="7"/>
      <c r="J418" s="4"/>
      <c r="K418" s="4"/>
      <c r="L418" s="4"/>
      <c r="M418" s="7"/>
      <c r="N418" s="7"/>
      <c r="O418" s="7"/>
      <c r="P418" s="7"/>
      <c r="Q418" s="4"/>
      <c r="R418" s="4"/>
      <c r="S418" s="4"/>
      <c r="T418" s="4"/>
      <c r="U418" s="4"/>
      <c r="V418" s="4"/>
      <c r="W418" s="4"/>
      <c r="X418" s="4"/>
      <c r="Y418" s="4"/>
      <c r="Z418" s="4"/>
      <c r="AA418" s="4"/>
      <c r="AB418" s="4"/>
      <c r="AC418" s="4"/>
      <c r="AD418" s="4"/>
      <c r="AE418" s="4"/>
      <c r="AF418" s="4"/>
      <c r="AG418" s="4"/>
    </row>
    <row r="419">
      <c r="A419" s="7"/>
      <c r="B419" s="7"/>
      <c r="C419" s="7"/>
      <c r="D419" s="7"/>
      <c r="E419" s="7"/>
      <c r="F419" s="4"/>
      <c r="G419" s="7"/>
      <c r="H419" s="7"/>
      <c r="I419" s="7"/>
      <c r="J419" s="7"/>
      <c r="K419" s="7"/>
      <c r="L419" s="4"/>
      <c r="M419" s="7"/>
      <c r="N419" s="7"/>
      <c r="O419" s="7"/>
      <c r="P419" s="4"/>
      <c r="Q419" s="4"/>
      <c r="R419" s="4"/>
      <c r="S419" s="4"/>
      <c r="T419" s="7"/>
      <c r="U419" s="7"/>
      <c r="V419" s="7"/>
      <c r="W419" s="7"/>
      <c r="X419" s="7"/>
      <c r="Y419" s="4"/>
      <c r="Z419" s="4"/>
      <c r="AA419" s="4"/>
      <c r="AB419" s="7"/>
      <c r="AC419" s="7"/>
      <c r="AD419" s="4"/>
      <c r="AE419" s="4"/>
      <c r="AF419" s="4"/>
      <c r="AG419" s="4"/>
    </row>
    <row r="420">
      <c r="A420" s="7"/>
      <c r="B420" s="7"/>
      <c r="C420" s="7"/>
      <c r="D420" s="7"/>
      <c r="E420" s="7"/>
      <c r="F420" s="4"/>
      <c r="G420" s="7"/>
      <c r="H420" s="7"/>
      <c r="I420" s="7"/>
      <c r="J420" s="7"/>
      <c r="K420" s="7"/>
      <c r="L420" s="4"/>
      <c r="M420" s="7"/>
      <c r="N420" s="7"/>
      <c r="O420" s="7"/>
      <c r="P420" s="7"/>
      <c r="Q420" s="4"/>
      <c r="R420" s="4"/>
      <c r="S420" s="4"/>
      <c r="T420" s="7"/>
      <c r="U420" s="7"/>
      <c r="V420" s="4"/>
      <c r="W420" s="4"/>
      <c r="X420" s="4"/>
      <c r="Y420" s="4"/>
      <c r="Z420" s="4"/>
      <c r="AA420" s="4"/>
      <c r="AB420" s="4"/>
      <c r="AC420" s="4"/>
      <c r="AD420" s="4"/>
      <c r="AE420" s="4"/>
      <c r="AF420" s="4"/>
      <c r="AG420" s="4"/>
    </row>
    <row r="421">
      <c r="A421" s="7"/>
      <c r="B421" s="7"/>
      <c r="C421" s="7"/>
      <c r="D421" s="7"/>
      <c r="E421" s="7"/>
      <c r="F421" s="4"/>
      <c r="G421" s="4"/>
      <c r="H421" s="7"/>
      <c r="I421" s="7"/>
      <c r="J421" s="4"/>
      <c r="K421" s="4"/>
      <c r="L421" s="4"/>
      <c r="M421" s="7"/>
      <c r="N421" s="7"/>
      <c r="O421" s="7"/>
      <c r="P421" s="7"/>
      <c r="Q421" s="4"/>
      <c r="R421" s="4"/>
      <c r="S421" s="4"/>
      <c r="T421" s="7"/>
      <c r="U421" s="7"/>
      <c r="V421" s="4"/>
      <c r="W421" s="4"/>
      <c r="X421" s="4"/>
      <c r="Y421" s="4"/>
      <c r="Z421" s="4"/>
      <c r="AA421" s="4"/>
      <c r="AB421" s="4"/>
      <c r="AC421" s="4"/>
      <c r="AD421" s="4"/>
      <c r="AE421" s="4"/>
      <c r="AF421" s="4"/>
      <c r="AG421" s="4"/>
    </row>
    <row r="422">
      <c r="A422" s="7"/>
      <c r="B422" s="7"/>
      <c r="C422" s="7"/>
      <c r="D422" s="7"/>
      <c r="E422" s="7"/>
      <c r="F422" s="4"/>
      <c r="G422" s="7"/>
      <c r="H422" s="7"/>
      <c r="I422" s="7"/>
      <c r="J422" s="4"/>
      <c r="K422" s="4"/>
      <c r="L422" s="4"/>
      <c r="M422" s="7"/>
      <c r="N422" s="7"/>
      <c r="O422" s="7"/>
      <c r="P422" s="7"/>
      <c r="Q422" s="4"/>
      <c r="R422" s="4"/>
      <c r="S422" s="4"/>
      <c r="T422" s="7"/>
      <c r="U422" s="7"/>
      <c r="V422" s="4"/>
      <c r="W422" s="4"/>
      <c r="X422" s="4"/>
      <c r="Y422" s="4"/>
      <c r="Z422" s="4"/>
      <c r="AA422" s="4"/>
      <c r="AB422" s="4"/>
      <c r="AC422" s="4"/>
      <c r="AD422" s="4"/>
      <c r="AE422" s="4"/>
      <c r="AF422" s="4"/>
      <c r="AG422" s="4"/>
    </row>
    <row r="423">
      <c r="A423" s="7"/>
      <c r="B423" s="7"/>
      <c r="C423" s="7"/>
      <c r="D423" s="7"/>
      <c r="E423" s="7"/>
      <c r="F423" s="4"/>
      <c r="G423" s="7"/>
      <c r="H423" s="7"/>
      <c r="I423" s="7"/>
      <c r="J423" s="4"/>
      <c r="K423" s="4"/>
      <c r="L423" s="4"/>
      <c r="M423" s="7"/>
      <c r="N423" s="7"/>
      <c r="O423" s="7"/>
      <c r="P423" s="7"/>
      <c r="Q423" s="4"/>
      <c r="R423" s="4"/>
      <c r="S423" s="4"/>
      <c r="T423" s="7"/>
      <c r="U423" s="7"/>
      <c r="V423" s="4"/>
      <c r="W423" s="4"/>
      <c r="X423" s="4"/>
      <c r="Y423" s="4"/>
      <c r="Z423" s="4"/>
      <c r="AA423" s="4"/>
      <c r="AB423" s="4"/>
      <c r="AC423" s="4"/>
      <c r="AD423" s="4"/>
      <c r="AE423" s="4"/>
      <c r="AF423" s="4"/>
      <c r="AG423" s="4"/>
    </row>
    <row r="424">
      <c r="A424" s="7"/>
      <c r="B424" s="7"/>
      <c r="C424" s="7"/>
      <c r="D424" s="7"/>
      <c r="E424" s="7"/>
      <c r="F424" s="4"/>
      <c r="G424" s="7"/>
      <c r="H424" s="7"/>
      <c r="I424" s="7"/>
      <c r="J424" s="4"/>
      <c r="K424" s="4"/>
      <c r="L424" s="4"/>
      <c r="M424" s="7"/>
      <c r="N424" s="7"/>
      <c r="O424" s="7"/>
      <c r="P424" s="7"/>
      <c r="Q424" s="4"/>
      <c r="R424" s="4"/>
      <c r="S424" s="4"/>
      <c r="T424" s="7"/>
      <c r="U424" s="7"/>
      <c r="V424" s="4"/>
      <c r="W424" s="4"/>
      <c r="X424" s="4"/>
      <c r="Y424" s="4"/>
      <c r="Z424" s="4"/>
      <c r="AA424" s="4"/>
      <c r="AB424" s="4"/>
      <c r="AC424" s="4"/>
      <c r="AD424" s="4"/>
      <c r="AE424" s="4"/>
      <c r="AF424" s="4"/>
      <c r="AG424" s="4"/>
    </row>
    <row r="425">
      <c r="A425" s="7"/>
      <c r="B425" s="7"/>
      <c r="C425" s="7"/>
      <c r="D425" s="7"/>
      <c r="E425" s="7"/>
      <c r="F425" s="4"/>
      <c r="G425" s="4"/>
      <c r="H425" s="7"/>
      <c r="I425" s="7"/>
      <c r="J425" s="4"/>
      <c r="K425" s="4"/>
      <c r="L425" s="4"/>
      <c r="M425" s="7"/>
      <c r="N425" s="7"/>
      <c r="O425" s="7"/>
      <c r="P425" s="7"/>
      <c r="Q425" s="4"/>
      <c r="R425" s="4"/>
      <c r="S425" s="4"/>
      <c r="T425" s="7"/>
      <c r="U425" s="7"/>
      <c r="V425" s="4"/>
      <c r="W425" s="4"/>
      <c r="X425" s="7"/>
      <c r="Y425" s="4"/>
      <c r="Z425" s="4"/>
      <c r="AA425" s="4"/>
      <c r="AB425" s="4"/>
      <c r="AC425" s="4"/>
      <c r="AD425" s="4"/>
      <c r="AE425" s="4"/>
      <c r="AF425" s="4"/>
      <c r="AG425" s="4"/>
    </row>
    <row r="426">
      <c r="A426" s="7"/>
      <c r="B426" s="7"/>
      <c r="C426" s="7"/>
      <c r="D426" s="7"/>
      <c r="E426" s="7"/>
      <c r="F426" s="4"/>
      <c r="G426" s="7"/>
      <c r="H426" s="4"/>
      <c r="I426" s="4"/>
      <c r="J426" s="4"/>
      <c r="K426" s="4"/>
      <c r="L426" s="4"/>
      <c r="M426" s="7"/>
      <c r="N426" s="4"/>
      <c r="O426" s="4"/>
      <c r="P426" s="4"/>
      <c r="Q426" s="4"/>
      <c r="R426" s="4"/>
      <c r="S426" s="4"/>
      <c r="T426" s="4"/>
      <c r="U426" s="4"/>
      <c r="V426" s="4"/>
      <c r="W426" s="4"/>
      <c r="X426" s="4"/>
      <c r="Y426" s="4"/>
      <c r="Z426" s="4"/>
      <c r="AA426" s="4"/>
      <c r="AB426" s="4"/>
      <c r="AC426" s="4"/>
      <c r="AD426" s="4"/>
      <c r="AE426" s="4"/>
      <c r="AF426" s="4"/>
      <c r="AG426" s="4"/>
    </row>
    <row r="427">
      <c r="A427" s="7"/>
      <c r="B427" s="7"/>
      <c r="C427" s="7"/>
      <c r="D427" s="7"/>
      <c r="E427" s="7"/>
      <c r="F427" s="4"/>
      <c r="G427" s="7"/>
      <c r="H427" s="7"/>
      <c r="I427" s="7"/>
      <c r="J427" s="4"/>
      <c r="K427" s="4"/>
      <c r="L427" s="4"/>
      <c r="M427" s="7"/>
      <c r="N427" s="7"/>
      <c r="O427" s="7"/>
      <c r="P427" s="7"/>
      <c r="Q427" s="4"/>
      <c r="R427" s="4"/>
      <c r="S427" s="4"/>
      <c r="T427" s="7"/>
      <c r="U427" s="7"/>
      <c r="V427" s="4"/>
      <c r="W427" s="4"/>
      <c r="X427" s="4"/>
      <c r="Y427" s="4"/>
      <c r="Z427" s="4"/>
      <c r="AA427" s="4"/>
      <c r="AB427" s="4"/>
      <c r="AC427" s="4"/>
      <c r="AD427" s="4"/>
      <c r="AE427" s="4"/>
      <c r="AF427" s="4"/>
      <c r="AG427" s="4"/>
    </row>
    <row r="428">
      <c r="A428" s="7"/>
      <c r="B428" s="7"/>
      <c r="C428" s="7"/>
      <c r="D428" s="7"/>
      <c r="E428" s="7"/>
      <c r="F428" s="4"/>
      <c r="G428" s="7"/>
      <c r="H428" s="7"/>
      <c r="I428" s="7"/>
      <c r="J428" s="4"/>
      <c r="K428" s="4"/>
      <c r="L428" s="4"/>
      <c r="M428" s="7"/>
      <c r="N428" s="7"/>
      <c r="O428" s="7"/>
      <c r="P428" s="4"/>
      <c r="Q428" s="4"/>
      <c r="R428" s="4"/>
      <c r="S428" s="4"/>
      <c r="T428" s="7"/>
      <c r="U428" s="7"/>
      <c r="V428" s="7"/>
      <c r="W428" s="7"/>
      <c r="X428" s="4"/>
      <c r="Y428" s="4"/>
      <c r="Z428" s="4"/>
      <c r="AA428" s="4"/>
      <c r="AB428" s="7"/>
      <c r="AC428" s="7"/>
      <c r="AD428" s="4"/>
      <c r="AE428" s="4"/>
      <c r="AF428" s="4"/>
      <c r="AG428" s="4"/>
    </row>
    <row r="429">
      <c r="A429" s="7"/>
      <c r="B429" s="7"/>
      <c r="C429" s="7"/>
      <c r="D429" s="7"/>
      <c r="E429" s="7"/>
      <c r="F429" s="4"/>
      <c r="G429" s="7"/>
      <c r="H429" s="4"/>
      <c r="I429" s="7"/>
      <c r="J429" s="4"/>
      <c r="K429" s="4"/>
      <c r="L429" s="4"/>
      <c r="M429" s="7"/>
      <c r="N429" s="7"/>
      <c r="O429" s="7"/>
      <c r="P429" s="4"/>
      <c r="Q429" s="4"/>
      <c r="R429" s="4"/>
      <c r="S429" s="4"/>
      <c r="T429" s="4"/>
      <c r="U429" s="4"/>
      <c r="V429" s="4"/>
      <c r="W429" s="4"/>
      <c r="X429" s="4"/>
      <c r="Y429" s="4"/>
      <c r="Z429" s="4"/>
      <c r="AA429" s="4"/>
      <c r="AB429" s="7"/>
      <c r="AC429" s="7"/>
      <c r="AD429" s="4"/>
      <c r="AE429" s="4"/>
      <c r="AF429" s="4"/>
      <c r="AG429" s="4"/>
    </row>
    <row r="430">
      <c r="A430" s="7"/>
      <c r="B430" s="7"/>
      <c r="C430" s="7"/>
      <c r="D430" s="7"/>
      <c r="E430" s="7"/>
      <c r="F430" s="4"/>
      <c r="G430" s="7"/>
      <c r="H430" s="7"/>
      <c r="I430" s="7"/>
      <c r="J430" s="4"/>
      <c r="K430" s="4"/>
      <c r="L430" s="4"/>
      <c r="M430" s="7"/>
      <c r="N430" s="7"/>
      <c r="O430" s="7"/>
      <c r="P430" s="7"/>
      <c r="Q430" s="4"/>
      <c r="R430" s="4"/>
      <c r="S430" s="4"/>
      <c r="T430" s="7"/>
      <c r="U430" s="7"/>
      <c r="V430" s="4"/>
      <c r="W430" s="4"/>
      <c r="X430" s="4"/>
      <c r="Y430" s="4"/>
      <c r="Z430" s="4"/>
      <c r="AA430" s="4"/>
      <c r="AB430" s="4"/>
      <c r="AC430" s="4"/>
      <c r="AD430" s="4"/>
      <c r="AE430" s="4"/>
      <c r="AF430" s="4"/>
      <c r="AG430" s="4"/>
    </row>
    <row r="431">
      <c r="A431" s="7"/>
      <c r="B431" s="7"/>
      <c r="C431" s="7"/>
      <c r="D431" s="7"/>
      <c r="E431" s="7"/>
      <c r="F431" s="4"/>
      <c r="G431" s="7"/>
      <c r="H431" s="7"/>
      <c r="I431" s="7"/>
      <c r="J431" s="4"/>
      <c r="K431" s="4"/>
      <c r="L431" s="4"/>
      <c r="M431" s="7"/>
      <c r="N431" s="7"/>
      <c r="O431" s="7"/>
      <c r="P431" s="7"/>
      <c r="Q431" s="4"/>
      <c r="R431" s="4"/>
      <c r="S431" s="4"/>
      <c r="T431" s="7"/>
      <c r="U431" s="7"/>
      <c r="V431" s="4"/>
      <c r="W431" s="4"/>
      <c r="X431" s="4"/>
      <c r="Y431" s="4"/>
      <c r="Z431" s="4"/>
      <c r="AA431" s="4"/>
      <c r="AB431" s="4"/>
      <c r="AC431" s="4"/>
      <c r="AD431" s="4"/>
      <c r="AE431" s="4"/>
      <c r="AF431" s="4"/>
      <c r="AG431" s="4"/>
    </row>
    <row r="432">
      <c r="A432" s="7"/>
      <c r="B432" s="7"/>
      <c r="C432" s="7"/>
      <c r="D432" s="7"/>
      <c r="E432" s="7"/>
      <c r="F432" s="4"/>
      <c r="G432" s="4"/>
      <c r="H432" s="7"/>
      <c r="I432" s="7"/>
      <c r="J432" s="4"/>
      <c r="K432" s="4"/>
      <c r="L432" s="4"/>
      <c r="M432" s="7"/>
      <c r="N432" s="7"/>
      <c r="O432" s="7"/>
      <c r="P432" s="7"/>
      <c r="Q432" s="4"/>
      <c r="R432" s="4"/>
      <c r="S432" s="4"/>
      <c r="T432" s="7"/>
      <c r="U432" s="7"/>
      <c r="V432" s="4"/>
      <c r="W432" s="4"/>
      <c r="X432" s="4"/>
      <c r="Y432" s="4"/>
      <c r="Z432" s="4"/>
      <c r="AA432" s="4"/>
      <c r="AB432" s="4"/>
      <c r="AC432" s="4"/>
      <c r="AD432" s="4"/>
      <c r="AE432" s="4"/>
      <c r="AF432" s="4"/>
      <c r="AG432" s="4"/>
    </row>
    <row r="433">
      <c r="A433" s="7"/>
      <c r="B433" s="7"/>
      <c r="C433" s="7"/>
      <c r="D433" s="7"/>
      <c r="E433" s="7"/>
      <c r="F433" s="4"/>
      <c r="G433" s="7"/>
      <c r="H433" s="7"/>
      <c r="I433" s="7"/>
      <c r="J433" s="4"/>
      <c r="K433" s="4"/>
      <c r="L433" s="4"/>
      <c r="M433" s="7"/>
      <c r="N433" s="7"/>
      <c r="O433" s="7"/>
      <c r="P433" s="7"/>
      <c r="Q433" s="4"/>
      <c r="R433" s="4"/>
      <c r="S433" s="4"/>
      <c r="T433" s="7"/>
      <c r="U433" s="7"/>
      <c r="V433" s="7"/>
      <c r="W433" s="7"/>
      <c r="X433" s="7"/>
      <c r="Y433" s="4"/>
      <c r="Z433" s="4"/>
      <c r="AA433" s="4"/>
      <c r="AB433" s="7"/>
      <c r="AC433" s="7"/>
      <c r="AD433" s="4"/>
      <c r="AE433" s="4"/>
      <c r="AF433" s="4"/>
      <c r="AG433" s="4"/>
    </row>
    <row r="434">
      <c r="A434" s="7"/>
      <c r="B434" s="7"/>
      <c r="C434" s="7"/>
      <c r="D434" s="7"/>
      <c r="E434" s="7"/>
      <c r="F434" s="4"/>
      <c r="G434" s="7"/>
      <c r="H434" s="7"/>
      <c r="I434" s="7"/>
      <c r="J434" s="4"/>
      <c r="K434" s="4"/>
      <c r="L434" s="4"/>
      <c r="M434" s="7"/>
      <c r="N434" s="7"/>
      <c r="O434" s="7"/>
      <c r="P434" s="7"/>
      <c r="Q434" s="4"/>
      <c r="R434" s="4"/>
      <c r="S434" s="4"/>
      <c r="T434" s="7"/>
      <c r="U434" s="7"/>
      <c r="V434" s="4"/>
      <c r="W434" s="4"/>
      <c r="X434" s="4"/>
      <c r="Y434" s="4"/>
      <c r="Z434" s="4"/>
      <c r="AA434" s="4"/>
      <c r="AB434" s="4"/>
      <c r="AC434" s="4"/>
      <c r="AD434" s="4"/>
      <c r="AE434" s="4"/>
      <c r="AF434" s="4"/>
      <c r="AG434" s="4"/>
    </row>
    <row r="435">
      <c r="A435" s="7"/>
      <c r="B435" s="7"/>
      <c r="C435" s="7"/>
      <c r="D435" s="7"/>
      <c r="E435" s="7"/>
      <c r="F435" s="4"/>
      <c r="G435" s="7"/>
      <c r="H435" s="7"/>
      <c r="I435" s="7"/>
      <c r="J435" s="4"/>
      <c r="K435" s="4"/>
      <c r="L435" s="4"/>
      <c r="M435" s="7"/>
      <c r="N435" s="7"/>
      <c r="O435" s="7"/>
      <c r="P435" s="7"/>
      <c r="Q435" s="4"/>
      <c r="R435" s="4"/>
      <c r="S435" s="4"/>
      <c r="T435" s="7"/>
      <c r="U435" s="7"/>
      <c r="V435" s="4"/>
      <c r="W435" s="4"/>
      <c r="X435" s="7"/>
      <c r="Y435" s="4"/>
      <c r="Z435" s="4"/>
      <c r="AA435" s="4"/>
      <c r="AB435" s="4"/>
      <c r="AC435" s="4"/>
      <c r="AD435" s="4"/>
      <c r="AE435" s="4"/>
      <c r="AF435" s="4"/>
      <c r="AG435" s="4"/>
    </row>
    <row r="436">
      <c r="A436" s="7"/>
      <c r="B436" s="7"/>
      <c r="C436" s="7"/>
      <c r="D436" s="7"/>
      <c r="E436" s="7"/>
      <c r="F436" s="4"/>
      <c r="G436" s="7"/>
      <c r="H436" s="4"/>
      <c r="I436" s="7"/>
      <c r="J436" s="4"/>
      <c r="K436" s="4"/>
      <c r="L436" s="4"/>
      <c r="M436" s="7"/>
      <c r="N436" s="7"/>
      <c r="O436" s="7"/>
      <c r="P436" s="4"/>
      <c r="Q436" s="4"/>
      <c r="R436" s="4"/>
      <c r="S436" s="4"/>
      <c r="T436" s="4"/>
      <c r="U436" s="4"/>
      <c r="V436" s="7"/>
      <c r="W436" s="7"/>
      <c r="X436" s="4"/>
      <c r="Y436" s="4"/>
      <c r="Z436" s="4"/>
      <c r="AA436" s="4"/>
      <c r="AB436" s="7"/>
      <c r="AC436" s="7"/>
      <c r="AD436" s="4"/>
      <c r="AE436" s="4"/>
      <c r="AF436" s="4"/>
      <c r="AG436" s="4"/>
    </row>
    <row r="437">
      <c r="A437" s="7"/>
      <c r="B437" s="7"/>
      <c r="C437" s="7"/>
      <c r="D437" s="7"/>
      <c r="E437" s="7"/>
      <c r="F437" s="4"/>
      <c r="G437" s="4"/>
      <c r="H437" s="4"/>
      <c r="I437" s="4"/>
      <c r="J437" s="4"/>
      <c r="K437" s="4"/>
      <c r="L437" s="4"/>
      <c r="M437" s="7"/>
      <c r="N437" s="4"/>
      <c r="O437" s="4"/>
      <c r="P437" s="4"/>
      <c r="Q437" s="4"/>
      <c r="R437" s="4"/>
      <c r="S437" s="4"/>
      <c r="T437" s="4"/>
      <c r="U437" s="4"/>
      <c r="V437" s="4"/>
      <c r="W437" s="4"/>
      <c r="X437" s="4"/>
      <c r="Y437" s="4"/>
      <c r="Z437" s="4"/>
      <c r="AA437" s="4"/>
      <c r="AB437" s="4"/>
      <c r="AC437" s="4"/>
      <c r="AD437" s="4"/>
      <c r="AE437" s="4"/>
      <c r="AF437" s="4"/>
      <c r="AG437" s="4"/>
    </row>
    <row r="438">
      <c r="A438" s="7"/>
      <c r="B438" s="7"/>
      <c r="C438" s="7"/>
      <c r="D438" s="7"/>
      <c r="E438" s="7"/>
      <c r="F438" s="4"/>
      <c r="G438" s="7"/>
      <c r="H438" s="4"/>
      <c r="I438" s="7"/>
      <c r="J438" s="4"/>
      <c r="K438" s="4"/>
      <c r="L438" s="4"/>
      <c r="M438" s="7"/>
      <c r="N438" s="7"/>
      <c r="O438" s="7"/>
      <c r="P438" s="4"/>
      <c r="Q438" s="4"/>
      <c r="R438" s="4"/>
      <c r="S438" s="4"/>
      <c r="T438" s="4"/>
      <c r="U438" s="7"/>
      <c r="V438" s="4"/>
      <c r="W438" s="4"/>
      <c r="X438" s="4"/>
      <c r="Y438" s="4"/>
      <c r="Z438" s="4"/>
      <c r="AA438" s="4"/>
      <c r="AB438" s="7"/>
      <c r="AC438" s="7"/>
      <c r="AD438" s="4"/>
      <c r="AE438" s="4"/>
      <c r="AF438" s="4"/>
      <c r="AG438" s="4"/>
    </row>
    <row r="439">
      <c r="A439" s="7"/>
      <c r="B439" s="7"/>
      <c r="C439" s="7"/>
      <c r="D439" s="7"/>
      <c r="E439" s="7"/>
      <c r="F439" s="4"/>
      <c r="G439" s="7"/>
      <c r="H439" s="7"/>
      <c r="I439" s="7"/>
      <c r="J439" s="4"/>
      <c r="K439" s="4"/>
      <c r="L439" s="4"/>
      <c r="M439" s="7"/>
      <c r="N439" s="7"/>
      <c r="O439" s="7"/>
      <c r="P439" s="4"/>
      <c r="Q439" s="4"/>
      <c r="R439" s="4"/>
      <c r="S439" s="4"/>
      <c r="T439" s="7"/>
      <c r="U439" s="7"/>
      <c r="V439" s="4"/>
      <c r="W439" s="4"/>
      <c r="X439" s="7"/>
      <c r="Y439" s="4"/>
      <c r="Z439" s="4"/>
      <c r="AA439" s="4"/>
      <c r="AB439" s="4"/>
      <c r="AC439" s="4"/>
      <c r="AD439" s="4"/>
      <c r="AE439" s="4"/>
      <c r="AF439" s="4"/>
      <c r="AG439" s="4"/>
    </row>
    <row r="440">
      <c r="A440" s="7"/>
      <c r="B440" s="7"/>
      <c r="C440" s="7"/>
      <c r="D440" s="7"/>
      <c r="E440" s="7"/>
      <c r="F440" s="4"/>
      <c r="G440" s="7"/>
      <c r="H440" s="4"/>
      <c r="I440" s="7"/>
      <c r="J440" s="4"/>
      <c r="K440" s="4"/>
      <c r="L440" s="4"/>
      <c r="M440" s="7"/>
      <c r="N440" s="7"/>
      <c r="O440" s="7"/>
      <c r="P440" s="4"/>
      <c r="Q440" s="4"/>
      <c r="R440" s="4"/>
      <c r="S440" s="4"/>
      <c r="T440" s="4"/>
      <c r="U440" s="4"/>
      <c r="V440" s="4"/>
      <c r="W440" s="4"/>
      <c r="X440" s="4"/>
      <c r="Y440" s="4"/>
      <c r="Z440" s="4"/>
      <c r="AA440" s="4"/>
      <c r="AB440" s="4"/>
      <c r="AC440" s="4"/>
      <c r="AD440" s="4"/>
      <c r="AE440" s="4"/>
      <c r="AF440" s="4"/>
      <c r="AG440" s="4"/>
    </row>
    <row r="441">
      <c r="A441" s="7"/>
      <c r="B441" s="7"/>
      <c r="C441" s="7"/>
      <c r="D441" s="7"/>
      <c r="E441" s="7"/>
      <c r="F441" s="4"/>
      <c r="G441" s="7"/>
      <c r="H441" s="7"/>
      <c r="I441" s="7"/>
      <c r="J441" s="4"/>
      <c r="K441" s="4"/>
      <c r="L441" s="4"/>
      <c r="M441" s="7"/>
      <c r="N441" s="7"/>
      <c r="O441" s="7"/>
      <c r="P441" s="4"/>
      <c r="Q441" s="4"/>
      <c r="R441" s="4"/>
      <c r="S441" s="4"/>
      <c r="T441" s="7"/>
      <c r="U441" s="7"/>
      <c r="V441" s="4"/>
      <c r="W441" s="4"/>
      <c r="X441" s="4"/>
      <c r="Y441" s="4"/>
      <c r="Z441" s="4"/>
      <c r="AA441" s="4"/>
      <c r="AB441" s="4"/>
      <c r="AC441" s="4"/>
      <c r="AD441" s="4"/>
      <c r="AE441" s="4"/>
      <c r="AF441" s="4"/>
      <c r="AG441" s="4"/>
    </row>
    <row r="442">
      <c r="A442" s="7"/>
      <c r="B442" s="7"/>
      <c r="C442" s="7"/>
      <c r="D442" s="7"/>
      <c r="E442" s="7"/>
      <c r="F442" s="4"/>
      <c r="G442" s="7"/>
      <c r="H442" s="4"/>
      <c r="I442" s="7"/>
      <c r="J442" s="4"/>
      <c r="K442" s="4"/>
      <c r="L442" s="4"/>
      <c r="M442" s="7"/>
      <c r="N442" s="7"/>
      <c r="O442" s="7"/>
      <c r="P442" s="4"/>
      <c r="Q442" s="4"/>
      <c r="R442" s="4"/>
      <c r="S442" s="4"/>
      <c r="T442" s="4"/>
      <c r="U442" s="4"/>
      <c r="V442" s="4"/>
      <c r="W442" s="4"/>
      <c r="X442" s="4"/>
      <c r="Y442" s="4"/>
      <c r="Z442" s="4"/>
      <c r="AA442" s="4"/>
      <c r="AB442" s="4"/>
      <c r="AC442" s="4"/>
      <c r="AD442" s="4"/>
      <c r="AE442" s="4"/>
      <c r="AF442" s="4"/>
      <c r="AG442" s="4"/>
    </row>
    <row r="443">
      <c r="A443" s="7"/>
      <c r="B443" s="7"/>
      <c r="C443" s="7"/>
      <c r="D443" s="7"/>
      <c r="E443" s="7"/>
      <c r="F443" s="4"/>
      <c r="G443" s="7"/>
      <c r="H443" s="7"/>
      <c r="I443" s="7"/>
      <c r="J443" s="4"/>
      <c r="K443" s="4"/>
      <c r="L443" s="4"/>
      <c r="M443" s="7"/>
      <c r="N443" s="7"/>
      <c r="O443" s="7"/>
      <c r="P443" s="7"/>
      <c r="Q443" s="4"/>
      <c r="R443" s="4"/>
      <c r="S443" s="4"/>
      <c r="T443" s="7"/>
      <c r="U443" s="7"/>
      <c r="V443" s="4"/>
      <c r="W443" s="4"/>
      <c r="X443" s="4"/>
      <c r="Y443" s="4"/>
      <c r="Z443" s="4"/>
      <c r="AA443" s="4"/>
      <c r="AB443" s="4"/>
      <c r="AC443" s="4"/>
      <c r="AD443" s="4"/>
      <c r="AE443" s="4"/>
      <c r="AF443" s="4"/>
      <c r="AG443" s="4"/>
    </row>
    <row r="444">
      <c r="A444" s="7"/>
      <c r="B444" s="7"/>
      <c r="C444" s="7"/>
      <c r="D444" s="7"/>
      <c r="E444" s="7"/>
      <c r="F444" s="4"/>
      <c r="G444" s="7"/>
      <c r="H444" s="4"/>
      <c r="I444" s="7"/>
      <c r="J444" s="7"/>
      <c r="K444" s="7"/>
      <c r="L444" s="4"/>
      <c r="M444" s="7"/>
      <c r="N444" s="7"/>
      <c r="O444" s="7"/>
      <c r="P444" s="7"/>
      <c r="Q444" s="4"/>
      <c r="R444" s="4"/>
      <c r="S444" s="4"/>
      <c r="T444" s="7"/>
      <c r="U444" s="7"/>
      <c r="V444" s="4"/>
      <c r="W444" s="4"/>
      <c r="X444" s="4"/>
      <c r="Y444" s="4"/>
      <c r="Z444" s="4"/>
      <c r="AA444" s="4"/>
      <c r="AB444" s="4"/>
      <c r="AC444" s="4"/>
      <c r="AD444" s="4"/>
      <c r="AE444" s="4"/>
      <c r="AF444" s="4"/>
      <c r="AG444" s="4"/>
    </row>
    <row r="445">
      <c r="A445" s="7"/>
      <c r="B445" s="7"/>
      <c r="C445" s="7"/>
      <c r="D445" s="7"/>
      <c r="E445" s="7"/>
      <c r="F445" s="4"/>
      <c r="G445" s="7"/>
      <c r="H445" s="4"/>
      <c r="I445" s="7"/>
      <c r="J445" s="7"/>
      <c r="K445" s="7"/>
      <c r="L445" s="4"/>
      <c r="M445" s="7"/>
      <c r="N445" s="7"/>
      <c r="O445" s="7"/>
      <c r="P445" s="7"/>
      <c r="Q445" s="4"/>
      <c r="R445" s="4"/>
      <c r="S445" s="4"/>
      <c r="T445" s="7"/>
      <c r="U445" s="7"/>
      <c r="V445" s="7"/>
      <c r="W445" s="7"/>
      <c r="X445" s="4"/>
      <c r="Y445" s="4"/>
      <c r="Z445" s="4"/>
      <c r="AA445" s="4"/>
      <c r="AB445" s="7"/>
      <c r="AC445" s="7"/>
      <c r="AD445" s="4"/>
      <c r="AE445" s="4"/>
      <c r="AF445" s="4"/>
      <c r="AG445" s="4"/>
    </row>
    <row r="446">
      <c r="A446" s="7"/>
      <c r="B446" s="7"/>
      <c r="C446" s="7"/>
      <c r="D446" s="7"/>
      <c r="E446" s="7"/>
      <c r="F446" s="4"/>
      <c r="G446" s="4"/>
      <c r="H446" s="7"/>
      <c r="I446" s="7"/>
      <c r="J446" s="4"/>
      <c r="K446" s="4"/>
      <c r="L446" s="4"/>
      <c r="M446" s="7"/>
      <c r="N446" s="4"/>
      <c r="O446" s="7"/>
      <c r="P446" s="7"/>
      <c r="Q446" s="4"/>
      <c r="R446" s="4"/>
      <c r="S446" s="4"/>
      <c r="T446" s="7"/>
      <c r="U446" s="7"/>
      <c r="V446" s="4"/>
      <c r="W446" s="4"/>
      <c r="X446" s="4"/>
      <c r="Y446" s="4"/>
      <c r="Z446" s="4"/>
      <c r="AA446" s="4"/>
      <c r="AB446" s="4"/>
      <c r="AC446" s="4"/>
      <c r="AD446" s="4"/>
      <c r="AE446" s="4"/>
      <c r="AF446" s="4"/>
      <c r="AG446" s="4"/>
    </row>
    <row r="447">
      <c r="A447" s="7"/>
      <c r="B447" s="7"/>
      <c r="C447" s="7"/>
      <c r="D447" s="7"/>
      <c r="E447" s="7"/>
      <c r="F447" s="4"/>
      <c r="G447" s="7"/>
      <c r="H447" s="7"/>
      <c r="I447" s="7"/>
      <c r="J447" s="4"/>
      <c r="K447" s="4"/>
      <c r="L447" s="4"/>
      <c r="M447" s="7"/>
      <c r="N447" s="7"/>
      <c r="O447" s="7"/>
      <c r="P447" s="7"/>
      <c r="Q447" s="4"/>
      <c r="R447" s="4"/>
      <c r="S447" s="4"/>
      <c r="T447" s="7"/>
      <c r="U447" s="7"/>
      <c r="V447" s="4"/>
      <c r="W447" s="4"/>
      <c r="X447" s="4"/>
      <c r="Y447" s="4"/>
      <c r="Z447" s="4"/>
      <c r="AA447" s="4"/>
      <c r="AB447" s="4"/>
      <c r="AC447" s="4"/>
      <c r="AD447" s="4"/>
      <c r="AE447" s="4"/>
      <c r="AF447" s="4"/>
      <c r="AG447" s="4"/>
    </row>
    <row r="448">
      <c r="A448" s="7"/>
      <c r="B448" s="7"/>
      <c r="C448" s="7"/>
      <c r="D448" s="7"/>
      <c r="E448" s="7"/>
      <c r="F448" s="4"/>
      <c r="G448" s="7"/>
      <c r="H448" s="7"/>
      <c r="I448" s="7"/>
      <c r="J448" s="4"/>
      <c r="K448" s="4"/>
      <c r="L448" s="4"/>
      <c r="M448" s="7"/>
      <c r="N448" s="7"/>
      <c r="O448" s="7"/>
      <c r="P448" s="7"/>
      <c r="Q448" s="4"/>
      <c r="R448" s="4"/>
      <c r="S448" s="4"/>
      <c r="T448" s="7"/>
      <c r="U448" s="7"/>
      <c r="V448" s="4"/>
      <c r="W448" s="4"/>
      <c r="X448" s="4"/>
      <c r="Y448" s="4"/>
      <c r="Z448" s="4"/>
      <c r="AA448" s="4"/>
      <c r="AB448" s="4"/>
      <c r="AC448" s="4"/>
      <c r="AD448" s="4"/>
      <c r="AE448" s="4"/>
      <c r="AF448" s="4"/>
      <c r="AG448" s="4"/>
    </row>
    <row r="449">
      <c r="A449" s="7"/>
      <c r="B449" s="7"/>
      <c r="C449" s="7"/>
      <c r="D449" s="7"/>
      <c r="E449" s="7"/>
      <c r="F449" s="4"/>
      <c r="G449" s="7"/>
      <c r="H449" s="7"/>
      <c r="I449" s="7"/>
      <c r="J449" s="4"/>
      <c r="K449" s="4"/>
      <c r="L449" s="4"/>
      <c r="M449" s="7"/>
      <c r="N449" s="7"/>
      <c r="O449" s="7"/>
      <c r="P449" s="7"/>
      <c r="Q449" s="4"/>
      <c r="R449" s="4"/>
      <c r="S449" s="4"/>
      <c r="T449" s="7"/>
      <c r="U449" s="7"/>
      <c r="V449" s="4"/>
      <c r="W449" s="4"/>
      <c r="X449" s="4"/>
      <c r="Y449" s="4"/>
      <c r="Z449" s="4"/>
      <c r="AA449" s="4"/>
      <c r="AB449" s="4"/>
      <c r="AC449" s="4"/>
      <c r="AD449" s="4"/>
      <c r="AE449" s="4"/>
      <c r="AF449" s="4"/>
      <c r="AG449" s="4"/>
    </row>
    <row r="450">
      <c r="A450" s="7"/>
      <c r="B450" s="7"/>
      <c r="C450" s="7"/>
      <c r="D450" s="7"/>
      <c r="E450" s="7"/>
      <c r="F450" s="4"/>
      <c r="G450" s="4"/>
      <c r="H450" s="4"/>
      <c r="I450" s="4"/>
      <c r="J450" s="4"/>
      <c r="K450" s="4"/>
      <c r="L450" s="4"/>
      <c r="M450" s="7"/>
      <c r="N450" s="4"/>
      <c r="O450" s="7"/>
      <c r="P450" s="4"/>
      <c r="Q450" s="4"/>
      <c r="R450" s="4"/>
      <c r="S450" s="4"/>
      <c r="T450" s="4"/>
      <c r="U450" s="4"/>
      <c r="V450" s="4"/>
      <c r="W450" s="4"/>
      <c r="X450" s="4"/>
      <c r="Y450" s="4"/>
      <c r="Z450" s="4"/>
      <c r="AA450" s="4"/>
      <c r="AB450" s="4"/>
      <c r="AC450" s="4"/>
      <c r="AD450" s="4"/>
      <c r="AE450" s="4"/>
      <c r="AF450" s="4"/>
      <c r="AG450" s="4"/>
    </row>
    <row r="451">
      <c r="A451" s="7"/>
      <c r="B451" s="7"/>
      <c r="C451" s="7"/>
      <c r="D451" s="7"/>
      <c r="E451" s="7"/>
      <c r="F451" s="4"/>
      <c r="G451" s="4"/>
      <c r="H451" s="7"/>
      <c r="I451" s="7"/>
      <c r="J451" s="4"/>
      <c r="K451" s="4"/>
      <c r="L451" s="4"/>
      <c r="M451" s="7"/>
      <c r="N451" s="7"/>
      <c r="O451" s="7"/>
      <c r="P451" s="4"/>
      <c r="Q451" s="4"/>
      <c r="R451" s="4"/>
      <c r="S451" s="4"/>
      <c r="T451" s="7"/>
      <c r="U451" s="7"/>
      <c r="V451" s="4"/>
      <c r="W451" s="4"/>
      <c r="X451" s="4"/>
      <c r="Y451" s="4"/>
      <c r="Z451" s="4"/>
      <c r="AA451" s="4"/>
      <c r="AB451" s="4"/>
      <c r="AC451" s="4"/>
      <c r="AD451" s="4"/>
      <c r="AE451" s="4"/>
      <c r="AF451" s="4"/>
      <c r="AG451" s="4"/>
    </row>
    <row r="452">
      <c r="A452" s="7"/>
      <c r="B452" s="7"/>
      <c r="C452" s="7"/>
      <c r="D452" s="7"/>
      <c r="E452" s="7"/>
      <c r="F452" s="4"/>
      <c r="G452" s="4"/>
      <c r="H452" s="7"/>
      <c r="I452" s="7"/>
      <c r="J452" s="4"/>
      <c r="K452" s="4"/>
      <c r="L452" s="4"/>
      <c r="M452" s="4"/>
      <c r="N452" s="7"/>
      <c r="O452" s="7"/>
      <c r="P452" s="4"/>
      <c r="Q452" s="4"/>
      <c r="R452" s="4"/>
      <c r="S452" s="4"/>
      <c r="T452" s="7"/>
      <c r="U452" s="7"/>
      <c r="V452" s="4"/>
      <c r="W452" s="4"/>
      <c r="X452" s="4"/>
      <c r="Y452" s="4"/>
      <c r="Z452" s="4"/>
      <c r="AA452" s="4"/>
      <c r="AB452" s="4"/>
      <c r="AC452" s="4"/>
      <c r="AD452" s="4"/>
      <c r="AE452" s="4"/>
      <c r="AF452" s="4"/>
      <c r="AG452" s="4"/>
    </row>
    <row r="453">
      <c r="A453" s="7"/>
      <c r="B453" s="7"/>
      <c r="C453" s="7"/>
      <c r="D453" s="7"/>
      <c r="E453" s="7"/>
      <c r="F453" s="4"/>
      <c r="G453" s="7"/>
      <c r="H453" s="7"/>
      <c r="I453" s="7"/>
      <c r="J453" s="4"/>
      <c r="K453" s="4"/>
      <c r="L453" s="4"/>
      <c r="M453" s="7"/>
      <c r="N453" s="7"/>
      <c r="O453" s="7"/>
      <c r="P453" s="7"/>
      <c r="Q453" s="4"/>
      <c r="R453" s="4"/>
      <c r="S453" s="4"/>
      <c r="T453" s="7"/>
      <c r="U453" s="7"/>
      <c r="V453" s="4"/>
      <c r="W453" s="4"/>
      <c r="X453" s="4"/>
      <c r="Y453" s="4"/>
      <c r="Z453" s="4"/>
      <c r="AA453" s="4"/>
      <c r="AB453" s="4"/>
      <c r="AC453" s="4"/>
      <c r="AD453" s="4"/>
      <c r="AE453" s="4"/>
      <c r="AF453" s="4"/>
      <c r="AG453" s="4"/>
    </row>
    <row r="454">
      <c r="A454" s="7"/>
      <c r="B454" s="7"/>
      <c r="C454" s="7"/>
      <c r="D454" s="7"/>
      <c r="E454" s="7"/>
      <c r="F454" s="4"/>
      <c r="G454" s="7"/>
      <c r="H454" s="7"/>
      <c r="I454" s="7"/>
      <c r="J454" s="4"/>
      <c r="K454" s="4"/>
      <c r="L454" s="4"/>
      <c r="M454" s="7"/>
      <c r="N454" s="7"/>
      <c r="O454" s="7"/>
      <c r="P454" s="7"/>
      <c r="Q454" s="4"/>
      <c r="R454" s="4"/>
      <c r="S454" s="4"/>
      <c r="T454" s="7"/>
      <c r="U454" s="7"/>
      <c r="V454" s="4"/>
      <c r="W454" s="4"/>
      <c r="X454" s="4"/>
      <c r="Y454" s="4"/>
      <c r="Z454" s="4"/>
      <c r="AA454" s="4"/>
      <c r="AB454" s="4"/>
      <c r="AC454" s="4"/>
      <c r="AD454" s="4"/>
      <c r="AE454" s="4"/>
      <c r="AF454" s="4"/>
      <c r="AG454" s="4"/>
    </row>
    <row r="455">
      <c r="A455" s="7"/>
      <c r="B455" s="7"/>
      <c r="C455" s="7"/>
      <c r="D455" s="7"/>
      <c r="E455" s="7"/>
      <c r="F455" s="4"/>
      <c r="G455" s="7"/>
      <c r="H455" s="7"/>
      <c r="I455" s="7"/>
      <c r="J455" s="4"/>
      <c r="K455" s="4"/>
      <c r="L455" s="4"/>
      <c r="M455" s="7"/>
      <c r="N455" s="7"/>
      <c r="O455" s="7"/>
      <c r="P455" s="4"/>
      <c r="Q455" s="4"/>
      <c r="R455" s="4"/>
      <c r="S455" s="4"/>
      <c r="T455" s="7"/>
      <c r="U455" s="7"/>
      <c r="V455" s="4"/>
      <c r="W455" s="4"/>
      <c r="X455" s="4"/>
      <c r="Y455" s="4"/>
      <c r="Z455" s="4"/>
      <c r="AA455" s="4"/>
      <c r="AB455" s="4"/>
      <c r="AC455" s="4"/>
      <c r="AD455" s="4"/>
      <c r="AE455" s="4"/>
      <c r="AF455" s="4"/>
      <c r="AG455" s="4"/>
    </row>
    <row r="456">
      <c r="A456" s="7"/>
      <c r="B456" s="7"/>
      <c r="C456" s="7"/>
      <c r="D456" s="7"/>
      <c r="E456" s="7"/>
      <c r="F456" s="4"/>
      <c r="G456" s="4"/>
      <c r="H456" s="7"/>
      <c r="I456" s="7"/>
      <c r="J456" s="4"/>
      <c r="K456" s="4"/>
      <c r="L456" s="4"/>
      <c r="M456" s="4"/>
      <c r="N456" s="7"/>
      <c r="O456" s="7"/>
      <c r="P456" s="4"/>
      <c r="Q456" s="4"/>
      <c r="R456" s="4"/>
      <c r="S456" s="4"/>
      <c r="T456" s="7"/>
      <c r="U456" s="7"/>
      <c r="V456" s="4"/>
      <c r="W456" s="4"/>
      <c r="X456" s="4"/>
      <c r="Y456" s="4"/>
      <c r="Z456" s="4"/>
      <c r="AA456" s="4"/>
      <c r="AB456" s="4"/>
      <c r="AC456" s="4"/>
      <c r="AD456" s="4"/>
      <c r="AE456" s="4"/>
      <c r="AF456" s="4"/>
      <c r="AG456" s="4"/>
    </row>
    <row r="457">
      <c r="A457" s="7"/>
      <c r="B457" s="7"/>
      <c r="C457" s="7"/>
      <c r="D457" s="7"/>
      <c r="E457" s="4"/>
      <c r="F457" s="4"/>
      <c r="G457" s="7"/>
      <c r="H457" s="4"/>
      <c r="I457" s="7"/>
      <c r="J457" s="4"/>
      <c r="K457" s="4"/>
      <c r="L457" s="4"/>
      <c r="M457" s="7"/>
      <c r="N457" s="7"/>
      <c r="O457" s="7"/>
      <c r="P457" s="4"/>
      <c r="Q457" s="4"/>
      <c r="R457" s="4"/>
      <c r="S457" s="4"/>
      <c r="T457" s="4"/>
      <c r="U457" s="4"/>
      <c r="V457" s="4"/>
      <c r="W457" s="4"/>
      <c r="X457" s="4"/>
      <c r="Y457" s="4"/>
      <c r="Z457" s="4"/>
      <c r="AA457" s="4"/>
      <c r="AB457" s="4"/>
      <c r="AC457" s="4"/>
      <c r="AD457" s="4"/>
      <c r="AE457" s="4"/>
      <c r="AF457" s="4"/>
      <c r="AG457" s="4"/>
    </row>
    <row r="458">
      <c r="A458" s="7"/>
      <c r="B458" s="7"/>
      <c r="C458" s="7"/>
      <c r="D458" s="7"/>
      <c r="E458" s="4"/>
      <c r="F458" s="4"/>
      <c r="G458" s="7"/>
      <c r="H458" s="7"/>
      <c r="I458" s="7"/>
      <c r="J458" s="4"/>
      <c r="K458" s="4"/>
      <c r="L458" s="4"/>
      <c r="M458" s="7"/>
      <c r="N458" s="7"/>
      <c r="O458" s="4"/>
      <c r="P458" s="7"/>
      <c r="Q458" s="4"/>
      <c r="R458" s="4"/>
      <c r="S458" s="4"/>
      <c r="T458" s="4"/>
      <c r="U458" s="4"/>
      <c r="V458" s="4"/>
      <c r="W458" s="4"/>
      <c r="X458" s="4"/>
      <c r="Y458" s="4"/>
      <c r="Z458" s="4"/>
      <c r="AA458" s="4"/>
      <c r="AB458" s="4"/>
      <c r="AC458" s="4"/>
      <c r="AD458" s="4"/>
      <c r="AE458" s="4"/>
      <c r="AF458" s="4"/>
      <c r="AG458" s="4"/>
    </row>
    <row r="459">
      <c r="A459" s="7"/>
      <c r="B459" s="7"/>
      <c r="C459" s="7"/>
      <c r="D459" s="7"/>
      <c r="E459" s="4"/>
      <c r="F459" s="4"/>
      <c r="G459" s="7"/>
      <c r="H459" s="4"/>
      <c r="I459" s="7"/>
      <c r="J459" s="4"/>
      <c r="K459" s="4"/>
      <c r="L459" s="4"/>
      <c r="M459" s="7"/>
      <c r="N459" s="7"/>
      <c r="O459" s="4"/>
      <c r="P459" s="7"/>
      <c r="Q459" s="4"/>
      <c r="R459" s="4"/>
      <c r="S459" s="4"/>
      <c r="T459" s="4"/>
      <c r="U459" s="4"/>
      <c r="V459" s="4"/>
      <c r="W459" s="4"/>
      <c r="X459" s="4"/>
      <c r="Y459" s="4"/>
      <c r="Z459" s="4"/>
      <c r="AA459" s="4"/>
      <c r="AB459" s="4"/>
      <c r="AC459" s="4"/>
      <c r="AD459" s="4"/>
      <c r="AE459" s="4"/>
      <c r="AF459" s="4"/>
      <c r="AG459" s="4"/>
    </row>
    <row r="460">
      <c r="A460" s="7"/>
      <c r="B460" s="7"/>
      <c r="C460" s="7"/>
      <c r="D460" s="7"/>
      <c r="E460" s="4"/>
      <c r="F460" s="4"/>
      <c r="G460" s="4"/>
      <c r="H460" s="4"/>
      <c r="I460" s="7"/>
      <c r="J460" s="4"/>
      <c r="K460" s="4"/>
      <c r="L460" s="4"/>
      <c r="M460" s="4"/>
      <c r="N460" s="7"/>
      <c r="O460" s="4"/>
      <c r="P460" s="4"/>
      <c r="Q460" s="4"/>
      <c r="R460" s="4"/>
      <c r="S460" s="4"/>
      <c r="T460" s="4"/>
      <c r="U460" s="4"/>
      <c r="V460" s="4"/>
      <c r="W460" s="4"/>
      <c r="X460" s="4"/>
      <c r="Y460" s="4"/>
      <c r="Z460" s="4"/>
      <c r="AA460" s="4"/>
      <c r="AB460" s="4"/>
      <c r="AC460" s="4"/>
      <c r="AD460" s="4"/>
      <c r="AE460" s="4"/>
      <c r="AF460" s="4"/>
      <c r="AG460" s="4"/>
    </row>
    <row r="461">
      <c r="A461" s="7"/>
      <c r="B461" s="7"/>
      <c r="C461" s="7"/>
      <c r="D461" s="7"/>
      <c r="E461" s="4"/>
      <c r="F461" s="4"/>
      <c r="G461" s="4"/>
      <c r="H461" s="4"/>
      <c r="I461" s="7"/>
      <c r="J461" s="4"/>
      <c r="K461" s="4"/>
      <c r="L461" s="4"/>
      <c r="M461" s="4"/>
      <c r="N461" s="7"/>
      <c r="O461" s="4"/>
      <c r="P461" s="7"/>
      <c r="Q461" s="4"/>
      <c r="R461" s="4"/>
      <c r="S461" s="4"/>
      <c r="T461" s="4"/>
      <c r="U461" s="4"/>
      <c r="V461" s="4"/>
      <c r="W461" s="4"/>
      <c r="X461" s="4"/>
      <c r="Y461" s="4"/>
      <c r="Z461" s="4"/>
      <c r="AA461" s="4"/>
      <c r="AB461" s="4"/>
      <c r="AC461" s="4"/>
      <c r="AD461" s="4"/>
      <c r="AE461" s="4"/>
      <c r="AF461" s="4"/>
      <c r="AG461" s="4"/>
    </row>
    <row r="462">
      <c r="A462" s="7"/>
      <c r="B462" s="7"/>
      <c r="C462" s="7"/>
      <c r="D462" s="7"/>
      <c r="E462" s="7"/>
      <c r="F462" s="4"/>
      <c r="G462" s="4"/>
      <c r="H462" s="4"/>
      <c r="I462" s="7"/>
      <c r="J462" s="7"/>
      <c r="K462" s="7"/>
      <c r="L462" s="4"/>
      <c r="M462" s="7"/>
      <c r="N462" s="7"/>
      <c r="O462" s="7"/>
      <c r="P462" s="7"/>
      <c r="Q462" s="7"/>
      <c r="R462" s="7"/>
      <c r="S462" s="4"/>
      <c r="T462" s="7"/>
      <c r="U462" s="7"/>
      <c r="V462" s="4"/>
      <c r="W462" s="4"/>
      <c r="X462" s="4"/>
      <c r="Y462" s="7"/>
      <c r="Z462" s="4"/>
      <c r="AA462" s="4"/>
      <c r="AB462" s="4"/>
      <c r="AC462" s="4"/>
      <c r="AD462" s="4"/>
      <c r="AE462" s="4"/>
      <c r="AF462" s="4"/>
      <c r="AG462" s="4"/>
    </row>
    <row r="463">
      <c r="A463" s="7"/>
      <c r="B463" s="7"/>
      <c r="C463" s="7"/>
      <c r="D463" s="7"/>
      <c r="E463" s="4"/>
      <c r="F463" s="4"/>
      <c r="G463" s="7"/>
      <c r="H463" s="7"/>
      <c r="I463" s="7"/>
      <c r="J463" s="4"/>
      <c r="K463" s="4"/>
      <c r="L463" s="4"/>
      <c r="M463" s="7"/>
      <c r="N463" s="7"/>
      <c r="O463" s="4"/>
      <c r="P463" s="4"/>
      <c r="Q463" s="4"/>
      <c r="R463" s="4"/>
      <c r="S463" s="4"/>
      <c r="T463" s="4"/>
      <c r="U463" s="4"/>
      <c r="V463" s="4"/>
      <c r="W463" s="4"/>
      <c r="X463" s="4"/>
      <c r="Y463" s="4"/>
      <c r="Z463" s="4"/>
      <c r="AA463" s="4"/>
      <c r="AB463" s="4"/>
      <c r="AC463" s="4"/>
      <c r="AD463" s="4"/>
      <c r="AE463" s="4"/>
      <c r="AF463" s="4"/>
      <c r="AG463" s="4"/>
    </row>
    <row r="464">
      <c r="A464" s="7"/>
      <c r="B464" s="7"/>
      <c r="C464" s="7"/>
      <c r="D464" s="7"/>
      <c r="E464" s="4"/>
      <c r="F464" s="4"/>
      <c r="G464" s="4"/>
      <c r="H464" s="4"/>
      <c r="I464" s="7"/>
      <c r="J464" s="4"/>
      <c r="K464" s="4"/>
      <c r="L464" s="4"/>
      <c r="M464" s="7"/>
      <c r="N464" s="7"/>
      <c r="O464" s="4"/>
      <c r="P464" s="4"/>
      <c r="Q464" s="4"/>
      <c r="R464" s="4"/>
      <c r="S464" s="4"/>
      <c r="T464" s="4"/>
      <c r="U464" s="4"/>
      <c r="V464" s="7"/>
      <c r="W464" s="7"/>
      <c r="X464" s="4"/>
      <c r="Y464" s="4"/>
      <c r="Z464" s="4"/>
      <c r="AA464" s="4"/>
      <c r="AB464" s="7"/>
      <c r="AC464" s="7"/>
      <c r="AD464" s="4"/>
      <c r="AE464" s="4"/>
      <c r="AF464" s="4"/>
      <c r="AG464" s="4"/>
    </row>
    <row r="465">
      <c r="A465" s="7"/>
      <c r="B465" s="7"/>
      <c r="C465" s="7"/>
      <c r="D465" s="7"/>
      <c r="E465" s="4"/>
      <c r="F465" s="4"/>
      <c r="G465" s="4"/>
      <c r="H465" s="7"/>
      <c r="I465" s="7"/>
      <c r="J465" s="4"/>
      <c r="K465" s="4"/>
      <c r="L465" s="4"/>
      <c r="M465" s="7"/>
      <c r="N465" s="7"/>
      <c r="O465" s="4"/>
      <c r="P465" s="7"/>
      <c r="Q465" s="4"/>
      <c r="R465" s="4"/>
      <c r="S465" s="4"/>
      <c r="T465" s="4"/>
      <c r="U465" s="4"/>
      <c r="V465" s="4"/>
      <c r="W465" s="4"/>
      <c r="X465" s="4"/>
      <c r="Y465" s="4"/>
      <c r="Z465" s="4"/>
      <c r="AA465" s="4"/>
      <c r="AB465" s="4"/>
      <c r="AC465" s="4"/>
      <c r="AD465" s="4"/>
      <c r="AE465" s="4"/>
      <c r="AF465" s="4"/>
      <c r="AG465" s="4"/>
    </row>
    <row r="466">
      <c r="A466" s="7"/>
      <c r="B466" s="7"/>
      <c r="C466" s="7"/>
      <c r="D466" s="7"/>
      <c r="E466" s="4"/>
      <c r="F466" s="4"/>
      <c r="G466" s="4"/>
      <c r="H466" s="4"/>
      <c r="I466" s="7"/>
      <c r="J466" s="4"/>
      <c r="K466" s="4"/>
      <c r="L466" s="4"/>
      <c r="M466" s="4"/>
      <c r="N466" s="7"/>
      <c r="O466" s="4"/>
      <c r="P466" s="4"/>
      <c r="Q466" s="4"/>
      <c r="R466" s="4"/>
      <c r="S466" s="4"/>
      <c r="T466" s="4"/>
      <c r="U466" s="4"/>
      <c r="V466" s="4"/>
      <c r="W466" s="4"/>
      <c r="X466" s="4"/>
      <c r="Y466" s="4"/>
      <c r="Z466" s="4"/>
      <c r="AA466" s="4"/>
      <c r="AB466" s="4"/>
      <c r="AC466" s="4"/>
      <c r="AD466" s="4"/>
      <c r="AE466" s="4"/>
      <c r="AF466" s="4"/>
      <c r="AG466" s="4"/>
    </row>
    <row r="467">
      <c r="A467" s="7"/>
      <c r="B467" s="7"/>
      <c r="C467" s="7"/>
      <c r="D467" s="7"/>
      <c r="E467" s="4"/>
      <c r="F467" s="4"/>
      <c r="G467" s="7"/>
      <c r="H467" s="7"/>
      <c r="I467" s="7"/>
      <c r="J467" s="4"/>
      <c r="K467" s="4"/>
      <c r="L467" s="4"/>
      <c r="M467" s="7"/>
      <c r="N467" s="7"/>
      <c r="O467" s="4"/>
      <c r="P467" s="7"/>
      <c r="Q467" s="4"/>
      <c r="R467" s="4"/>
      <c r="S467" s="4"/>
      <c r="T467" s="4"/>
      <c r="U467" s="4"/>
      <c r="V467" s="4"/>
      <c r="W467" s="4"/>
      <c r="X467" s="4"/>
      <c r="Y467" s="4"/>
      <c r="Z467" s="4"/>
      <c r="AA467" s="4"/>
      <c r="AB467" s="4"/>
      <c r="AC467" s="4"/>
      <c r="AD467" s="4"/>
      <c r="AE467" s="4"/>
      <c r="AF467" s="4"/>
      <c r="AG467" s="4"/>
    </row>
    <row r="468">
      <c r="A468" s="7"/>
      <c r="B468" s="7"/>
      <c r="C468" s="7"/>
      <c r="D468" s="7"/>
      <c r="E468" s="4"/>
      <c r="F468" s="4"/>
      <c r="G468" s="7"/>
      <c r="H468" s="7"/>
      <c r="I468" s="7"/>
      <c r="J468" s="4"/>
      <c r="K468" s="4"/>
      <c r="L468" s="4"/>
      <c r="M468" s="7"/>
      <c r="N468" s="7"/>
      <c r="O468" s="4"/>
      <c r="P468" s="7"/>
      <c r="Q468" s="4"/>
      <c r="R468" s="4"/>
      <c r="S468" s="4"/>
      <c r="T468" s="4"/>
      <c r="U468" s="4"/>
      <c r="V468" s="4"/>
      <c r="W468" s="4"/>
      <c r="X468" s="4"/>
      <c r="Y468" s="4"/>
      <c r="Z468" s="4"/>
      <c r="AA468" s="4"/>
      <c r="AB468" s="4"/>
      <c r="AC468" s="4"/>
      <c r="AD468" s="4"/>
      <c r="AE468" s="4"/>
      <c r="AF468" s="4"/>
      <c r="AG468" s="4"/>
    </row>
    <row r="469">
      <c r="A469" s="7"/>
      <c r="B469" s="7"/>
      <c r="C469" s="7"/>
      <c r="D469" s="7"/>
      <c r="E469" s="7"/>
      <c r="F469" s="4"/>
      <c r="G469" s="7"/>
      <c r="H469" s="4"/>
      <c r="I469" s="7"/>
      <c r="J469" s="7"/>
      <c r="K469" s="7"/>
      <c r="L469" s="4"/>
      <c r="M469" s="7"/>
      <c r="N469" s="7"/>
      <c r="O469" s="7"/>
      <c r="P469" s="7"/>
      <c r="Q469" s="4"/>
      <c r="R469" s="4"/>
      <c r="S469" s="4"/>
      <c r="T469" s="7"/>
      <c r="U469" s="7"/>
      <c r="V469" s="4"/>
      <c r="W469" s="4"/>
      <c r="X469" s="4"/>
      <c r="Y469" s="4"/>
      <c r="Z469" s="4"/>
      <c r="AA469" s="4"/>
      <c r="AB469" s="4"/>
      <c r="AC469" s="4"/>
      <c r="AD469" s="4"/>
      <c r="AE469" s="4"/>
      <c r="AF469" s="4"/>
      <c r="AG469" s="4"/>
    </row>
    <row r="470">
      <c r="A470" s="7"/>
      <c r="B470" s="7"/>
      <c r="C470" s="7"/>
      <c r="D470" s="7"/>
      <c r="E470" s="7"/>
      <c r="F470" s="4"/>
      <c r="G470" s="7"/>
      <c r="H470" s="4"/>
      <c r="I470" s="7"/>
      <c r="J470" s="7"/>
      <c r="K470" s="7"/>
      <c r="L470" s="4"/>
      <c r="M470" s="7"/>
      <c r="N470" s="7"/>
      <c r="O470" s="7"/>
      <c r="P470" s="7"/>
      <c r="Q470" s="4"/>
      <c r="R470" s="4"/>
      <c r="S470" s="4"/>
      <c r="T470" s="4"/>
      <c r="U470" s="4"/>
      <c r="V470" s="7"/>
      <c r="W470" s="7"/>
      <c r="X470" s="4"/>
      <c r="Y470" s="4"/>
      <c r="Z470" s="4"/>
      <c r="AA470" s="4"/>
      <c r="AB470" s="7"/>
      <c r="AC470" s="7"/>
      <c r="AD470" s="4"/>
      <c r="AE470" s="4"/>
      <c r="AF470" s="4"/>
      <c r="AG470" s="4"/>
    </row>
    <row r="471">
      <c r="A471" s="7"/>
      <c r="B471" s="7"/>
      <c r="C471" s="7"/>
      <c r="D471" s="7"/>
      <c r="E471" s="7"/>
      <c r="F471" s="4"/>
      <c r="G471" s="7"/>
      <c r="H471" s="4"/>
      <c r="I471" s="7"/>
      <c r="J471" s="7"/>
      <c r="K471" s="7"/>
      <c r="L471" s="4"/>
      <c r="M471" s="7"/>
      <c r="N471" s="7"/>
      <c r="O471" s="7"/>
      <c r="P471" s="7"/>
      <c r="Q471" s="4"/>
      <c r="R471" s="4"/>
      <c r="S471" s="4"/>
      <c r="T471" s="4"/>
      <c r="U471" s="4"/>
      <c r="V471" s="4"/>
      <c r="W471" s="4"/>
      <c r="X471" s="4"/>
      <c r="Y471" s="4"/>
      <c r="Z471" s="4"/>
      <c r="AA471" s="4"/>
      <c r="AB471" s="4"/>
      <c r="AC471" s="4"/>
      <c r="AD471" s="4"/>
      <c r="AE471" s="4"/>
      <c r="AF471" s="4"/>
      <c r="AG471" s="4"/>
    </row>
    <row r="472">
      <c r="A472" s="7"/>
      <c r="B472" s="7"/>
      <c r="C472" s="7"/>
      <c r="D472" s="7"/>
      <c r="E472" s="4"/>
      <c r="F472" s="4"/>
      <c r="G472" s="7"/>
      <c r="H472" s="4"/>
      <c r="I472" s="7"/>
      <c r="J472" s="7"/>
      <c r="K472" s="7"/>
      <c r="L472" s="4"/>
      <c r="M472" s="7"/>
      <c r="N472" s="7"/>
      <c r="O472" s="7"/>
      <c r="P472" s="4"/>
      <c r="Q472" s="4"/>
      <c r="R472" s="4"/>
      <c r="S472" s="4"/>
      <c r="T472" s="4"/>
      <c r="U472" s="4"/>
      <c r="V472" s="7"/>
      <c r="W472" s="7"/>
      <c r="X472" s="4"/>
      <c r="Y472" s="4"/>
      <c r="Z472" s="4"/>
      <c r="AA472" s="4"/>
      <c r="AB472" s="7"/>
      <c r="AC472" s="7"/>
      <c r="AD472" s="4"/>
      <c r="AE472" s="4"/>
      <c r="AF472" s="4"/>
      <c r="AG472" s="4"/>
    </row>
    <row r="473">
      <c r="A473" s="7"/>
      <c r="B473" s="7"/>
      <c r="C473" s="7"/>
      <c r="D473" s="7"/>
      <c r="E473" s="4"/>
      <c r="F473" s="4"/>
      <c r="G473" s="4"/>
      <c r="H473" s="7"/>
      <c r="I473" s="7"/>
      <c r="J473" s="4"/>
      <c r="K473" s="4"/>
      <c r="L473" s="4"/>
      <c r="M473" s="4"/>
      <c r="N473" s="7"/>
      <c r="O473" s="4"/>
      <c r="P473" s="4"/>
      <c r="Q473" s="4"/>
      <c r="R473" s="4"/>
      <c r="S473" s="4"/>
      <c r="T473" s="4"/>
      <c r="U473" s="4"/>
      <c r="V473" s="4"/>
      <c r="W473" s="4"/>
      <c r="X473" s="4"/>
      <c r="Y473" s="4"/>
      <c r="Z473" s="4"/>
      <c r="AA473" s="4"/>
      <c r="AB473" s="4"/>
      <c r="AC473" s="4"/>
      <c r="AD473" s="4"/>
      <c r="AE473" s="4"/>
      <c r="AF473" s="4"/>
      <c r="AG473" s="4"/>
    </row>
    <row r="474">
      <c r="A474" s="7"/>
      <c r="B474" s="7"/>
      <c r="C474" s="7"/>
      <c r="D474" s="7"/>
      <c r="E474" s="4"/>
      <c r="F474" s="4"/>
      <c r="G474" s="7"/>
      <c r="H474" s="7"/>
      <c r="I474" s="7"/>
      <c r="J474" s="4"/>
      <c r="K474" s="4"/>
      <c r="L474" s="4"/>
      <c r="M474" s="7"/>
      <c r="N474" s="7"/>
      <c r="O474" s="7"/>
      <c r="P474" s="4"/>
      <c r="Q474" s="4"/>
      <c r="R474" s="4"/>
      <c r="S474" s="4"/>
      <c r="T474" s="4"/>
      <c r="U474" s="4"/>
      <c r="V474" s="4"/>
      <c r="W474" s="4"/>
      <c r="X474" s="4"/>
      <c r="Y474" s="4"/>
      <c r="Z474" s="4"/>
      <c r="AA474" s="4"/>
      <c r="AB474" s="4"/>
      <c r="AC474" s="4"/>
      <c r="AD474" s="4"/>
      <c r="AE474" s="4"/>
      <c r="AF474" s="4"/>
      <c r="AG474" s="4"/>
    </row>
    <row r="475">
      <c r="A475" s="7"/>
      <c r="B475" s="7"/>
      <c r="C475" s="7"/>
      <c r="D475" s="7"/>
      <c r="E475" s="4"/>
      <c r="F475" s="4"/>
      <c r="G475" s="7"/>
      <c r="H475" s="7"/>
      <c r="I475" s="7"/>
      <c r="J475" s="4"/>
      <c r="K475" s="4"/>
      <c r="L475" s="4"/>
      <c r="M475" s="7"/>
      <c r="N475" s="7"/>
      <c r="O475" s="7"/>
      <c r="P475" s="7"/>
      <c r="Q475" s="4"/>
      <c r="R475" s="4"/>
      <c r="S475" s="4"/>
      <c r="T475" s="4"/>
      <c r="U475" s="4"/>
      <c r="V475" s="4"/>
      <c r="W475" s="4"/>
      <c r="X475" s="4"/>
      <c r="Y475" s="4"/>
      <c r="Z475" s="4"/>
      <c r="AA475" s="4"/>
      <c r="AB475" s="4"/>
      <c r="AC475" s="4"/>
      <c r="AD475" s="4"/>
      <c r="AE475" s="4"/>
      <c r="AF475" s="4"/>
      <c r="AG475" s="4"/>
    </row>
    <row r="476">
      <c r="A476" s="7"/>
      <c r="B476" s="7"/>
      <c r="C476" s="7"/>
      <c r="D476" s="7"/>
      <c r="E476" s="7"/>
      <c r="F476" s="4"/>
      <c r="G476" s="7"/>
      <c r="H476" s="7"/>
      <c r="I476" s="7"/>
      <c r="J476" s="4"/>
      <c r="K476" s="4"/>
      <c r="L476" s="4"/>
      <c r="M476" s="4"/>
      <c r="N476" s="7"/>
      <c r="O476" s="4"/>
      <c r="P476" s="4"/>
      <c r="Q476" s="4"/>
      <c r="R476" s="4"/>
      <c r="S476" s="4"/>
      <c r="T476" s="4"/>
      <c r="U476" s="4"/>
      <c r="V476" s="4"/>
      <c r="W476" s="4"/>
      <c r="X476" s="4"/>
      <c r="Y476" s="4"/>
      <c r="Z476" s="4"/>
      <c r="AA476" s="4"/>
      <c r="AB476" s="4"/>
      <c r="AC476" s="4"/>
      <c r="AD476" s="4"/>
      <c r="AE476" s="4"/>
      <c r="AF476" s="4"/>
      <c r="AG476" s="4"/>
    </row>
    <row r="477">
      <c r="A477" s="7"/>
      <c r="B477" s="7"/>
      <c r="C477" s="7"/>
      <c r="D477" s="7"/>
      <c r="E477" s="4"/>
      <c r="F477" s="4"/>
      <c r="G477" s="7"/>
      <c r="H477" s="4"/>
      <c r="I477" s="7"/>
      <c r="J477" s="4"/>
      <c r="K477" s="4"/>
      <c r="L477" s="4"/>
      <c r="M477" s="4"/>
      <c r="N477" s="7"/>
      <c r="O477" s="4"/>
      <c r="P477" s="4"/>
      <c r="Q477" s="4"/>
      <c r="R477" s="4"/>
      <c r="S477" s="4"/>
      <c r="T477" s="4"/>
      <c r="U477" s="4"/>
      <c r="V477" s="4"/>
      <c r="W477" s="4"/>
      <c r="X477" s="4"/>
      <c r="Y477" s="4"/>
      <c r="Z477" s="4"/>
      <c r="AA477" s="4"/>
      <c r="AB477" s="4"/>
      <c r="AC477" s="4"/>
      <c r="AD477" s="4"/>
      <c r="AE477" s="4"/>
      <c r="AF477" s="4"/>
      <c r="AG477" s="4"/>
    </row>
    <row r="478">
      <c r="A478" s="7"/>
      <c r="B478" s="7"/>
      <c r="C478" s="7"/>
      <c r="D478" s="7"/>
      <c r="E478" s="4"/>
      <c r="F478" s="4"/>
      <c r="G478" s="4"/>
      <c r="H478" s="7"/>
      <c r="I478" s="7"/>
      <c r="J478" s="4"/>
      <c r="K478" s="4"/>
      <c r="L478" s="4"/>
      <c r="M478" s="7"/>
      <c r="N478" s="7"/>
      <c r="O478" s="7"/>
      <c r="P478" s="7"/>
      <c r="Q478" s="4"/>
      <c r="R478" s="4"/>
      <c r="S478" s="4"/>
      <c r="T478" s="4"/>
      <c r="U478" s="4"/>
      <c r="V478" s="4"/>
      <c r="W478" s="4"/>
      <c r="X478" s="4"/>
      <c r="Y478" s="4"/>
      <c r="Z478" s="4"/>
      <c r="AA478" s="4"/>
      <c r="AB478" s="4"/>
      <c r="AC478" s="4"/>
      <c r="AD478" s="4"/>
      <c r="AE478" s="4"/>
      <c r="AF478" s="4"/>
      <c r="AG478" s="4"/>
    </row>
    <row r="479">
      <c r="A479" s="7"/>
      <c r="B479" s="7"/>
      <c r="C479" s="7"/>
      <c r="D479" s="7"/>
      <c r="E479" s="4"/>
      <c r="F479" s="4"/>
      <c r="G479" s="4"/>
      <c r="H479" s="7"/>
      <c r="I479" s="7"/>
      <c r="J479" s="4"/>
      <c r="K479" s="4"/>
      <c r="L479" s="4"/>
      <c r="M479" s="7"/>
      <c r="N479" s="7"/>
      <c r="O479" s="4"/>
      <c r="P479" s="7"/>
      <c r="Q479" s="4"/>
      <c r="R479" s="4"/>
      <c r="S479" s="4"/>
      <c r="T479" s="4"/>
      <c r="U479" s="4"/>
      <c r="V479" s="4"/>
      <c r="W479" s="4"/>
      <c r="X479" s="4"/>
      <c r="Y479" s="4"/>
      <c r="Z479" s="4"/>
      <c r="AA479" s="4"/>
      <c r="AB479" s="4"/>
      <c r="AC479" s="4"/>
      <c r="AD479" s="4"/>
      <c r="AE479" s="4"/>
      <c r="AF479" s="4"/>
      <c r="AG479" s="4"/>
    </row>
    <row r="480">
      <c r="A480" s="7"/>
      <c r="B480" s="7"/>
      <c r="C480" s="7"/>
      <c r="D480" s="7"/>
      <c r="E480" s="4"/>
      <c r="F480" s="4"/>
      <c r="G480" s="7"/>
      <c r="H480" s="7"/>
      <c r="I480" s="7"/>
      <c r="J480" s="4"/>
      <c r="K480" s="4"/>
      <c r="L480" s="4"/>
      <c r="M480" s="7"/>
      <c r="N480" s="7"/>
      <c r="O480" s="7"/>
      <c r="P480" s="4"/>
      <c r="Q480" s="4"/>
      <c r="R480" s="4"/>
      <c r="S480" s="4"/>
      <c r="T480" s="4"/>
      <c r="U480" s="4"/>
      <c r="V480" s="4"/>
      <c r="W480" s="4"/>
      <c r="X480" s="4"/>
      <c r="Y480" s="4"/>
      <c r="Z480" s="4"/>
      <c r="AA480" s="4"/>
      <c r="AB480" s="4"/>
      <c r="AC480" s="4"/>
      <c r="AD480" s="4"/>
      <c r="AE480" s="4"/>
      <c r="AF480" s="4"/>
      <c r="AG480" s="4"/>
    </row>
    <row r="481">
      <c r="A481" s="7"/>
      <c r="B481" s="7"/>
      <c r="C481" s="7"/>
      <c r="D481" s="7"/>
      <c r="E481" s="4"/>
      <c r="F481" s="4"/>
      <c r="G481" s="7"/>
      <c r="H481" s="4"/>
      <c r="I481" s="7"/>
      <c r="J481" s="4"/>
      <c r="K481" s="4"/>
      <c r="L481" s="4"/>
      <c r="M481" s="7"/>
      <c r="N481" s="7"/>
      <c r="O481" s="4"/>
      <c r="P481" s="7"/>
      <c r="Q481" s="4"/>
      <c r="R481" s="4"/>
      <c r="S481" s="4"/>
      <c r="T481" s="4"/>
      <c r="U481" s="4"/>
      <c r="V481" s="4"/>
      <c r="W481" s="4"/>
      <c r="X481" s="4"/>
      <c r="Y481" s="4"/>
      <c r="Z481" s="4"/>
      <c r="AA481" s="4"/>
      <c r="AB481" s="4"/>
      <c r="AC481" s="4"/>
      <c r="AD481" s="4"/>
      <c r="AE481" s="4"/>
      <c r="AF481" s="4"/>
      <c r="AG481" s="4"/>
    </row>
    <row r="482">
      <c r="A482" s="7"/>
      <c r="B482" s="7"/>
      <c r="C482" s="7"/>
      <c r="D482" s="7"/>
      <c r="E482" s="4"/>
      <c r="F482" s="4"/>
      <c r="G482" s="7"/>
      <c r="H482" s="7"/>
      <c r="I482" s="7"/>
      <c r="J482" s="4"/>
      <c r="K482" s="4"/>
      <c r="L482" s="4"/>
      <c r="M482" s="7"/>
      <c r="N482" s="7"/>
      <c r="O482" s="4"/>
      <c r="P482" s="7"/>
      <c r="Q482" s="4"/>
      <c r="R482" s="4"/>
      <c r="S482" s="4"/>
      <c r="T482" s="4"/>
      <c r="U482" s="4"/>
      <c r="V482" s="4"/>
      <c r="W482" s="4"/>
      <c r="X482" s="4"/>
      <c r="Y482" s="4"/>
      <c r="Z482" s="4"/>
      <c r="AA482" s="4"/>
      <c r="AB482" s="4"/>
      <c r="AC482" s="4"/>
      <c r="AD482" s="4"/>
      <c r="AE482" s="4"/>
      <c r="AF482" s="4"/>
      <c r="AG482" s="4"/>
    </row>
    <row r="483">
      <c r="A483" s="7"/>
      <c r="B483" s="7"/>
      <c r="C483" s="7"/>
      <c r="D483" s="7"/>
      <c r="E483" s="7"/>
      <c r="F483" s="4"/>
      <c r="G483" s="7"/>
      <c r="H483" s="4"/>
      <c r="I483" s="7"/>
      <c r="J483" s="4"/>
      <c r="K483" s="4"/>
      <c r="L483" s="4"/>
      <c r="M483" s="4"/>
      <c r="N483" s="7"/>
      <c r="O483" s="4"/>
      <c r="P483" s="4"/>
      <c r="Q483" s="4"/>
      <c r="R483" s="4"/>
      <c r="S483" s="4"/>
      <c r="T483" s="4"/>
      <c r="U483" s="4"/>
      <c r="V483" s="4"/>
      <c r="W483" s="4"/>
      <c r="X483" s="7"/>
      <c r="Y483" s="4"/>
      <c r="Z483" s="4"/>
      <c r="AA483" s="4"/>
      <c r="AB483" s="7"/>
      <c r="AC483" s="7"/>
      <c r="AD483" s="4"/>
      <c r="AE483" s="4"/>
      <c r="AF483" s="4"/>
      <c r="AG483" s="4"/>
    </row>
    <row r="484">
      <c r="A484" s="7"/>
      <c r="B484" s="7"/>
      <c r="C484" s="7"/>
      <c r="D484" s="7"/>
      <c r="E484" s="7"/>
      <c r="F484" s="4"/>
      <c r="G484" s="7"/>
      <c r="H484" s="4"/>
      <c r="I484" s="7"/>
      <c r="J484" s="4"/>
      <c r="K484" s="4"/>
      <c r="L484" s="4"/>
      <c r="M484" s="4"/>
      <c r="N484" s="7"/>
      <c r="O484" s="4"/>
      <c r="P484" s="4"/>
      <c r="Q484" s="4"/>
      <c r="R484" s="4"/>
      <c r="S484" s="4"/>
      <c r="T484" s="4"/>
      <c r="U484" s="4"/>
      <c r="V484" s="4"/>
      <c r="W484" s="4"/>
      <c r="X484" s="4"/>
      <c r="Y484" s="4"/>
      <c r="Z484" s="4"/>
      <c r="AA484" s="4"/>
      <c r="AB484" s="7"/>
      <c r="AC484" s="7"/>
      <c r="AD484" s="4"/>
      <c r="AE484" s="4"/>
      <c r="AF484" s="4"/>
      <c r="AG484" s="4"/>
    </row>
    <row r="485">
      <c r="A485" s="7"/>
      <c r="B485" s="7"/>
      <c r="C485" s="7"/>
      <c r="D485" s="7"/>
      <c r="E485" s="4"/>
      <c r="F485" s="4"/>
      <c r="G485" s="4"/>
      <c r="H485" s="4"/>
      <c r="I485" s="7"/>
      <c r="J485" s="4"/>
      <c r="K485" s="4"/>
      <c r="L485" s="4"/>
      <c r="M485" s="7"/>
      <c r="N485" s="7"/>
      <c r="O485" s="4"/>
      <c r="P485" s="4"/>
      <c r="Q485" s="4"/>
      <c r="R485" s="4"/>
      <c r="S485" s="4"/>
      <c r="T485" s="4"/>
      <c r="U485" s="4"/>
      <c r="V485" s="4"/>
      <c r="W485" s="4"/>
      <c r="X485" s="4"/>
      <c r="Y485" s="4"/>
      <c r="Z485" s="4"/>
      <c r="AA485" s="4"/>
      <c r="AB485" s="4"/>
      <c r="AC485" s="4"/>
      <c r="AD485" s="4"/>
      <c r="AE485" s="4"/>
      <c r="AF485" s="4"/>
      <c r="AG485" s="4"/>
    </row>
    <row r="486">
      <c r="A486" s="7"/>
      <c r="B486" s="7"/>
      <c r="C486" s="7"/>
      <c r="D486" s="7"/>
      <c r="E486" s="4"/>
      <c r="F486" s="4"/>
      <c r="G486" s="7"/>
      <c r="H486" s="4"/>
      <c r="I486" s="7"/>
      <c r="J486" s="4"/>
      <c r="K486" s="4"/>
      <c r="L486" s="4"/>
      <c r="M486" s="7"/>
      <c r="N486" s="7"/>
      <c r="O486" s="7"/>
      <c r="P486" s="4"/>
      <c r="Q486" s="4"/>
      <c r="R486" s="4"/>
      <c r="S486" s="4"/>
      <c r="T486" s="4"/>
      <c r="U486" s="4"/>
      <c r="V486" s="4"/>
      <c r="W486" s="4"/>
      <c r="X486" s="4"/>
      <c r="Y486" s="4"/>
      <c r="Z486" s="4"/>
      <c r="AA486" s="4"/>
      <c r="AB486" s="4"/>
      <c r="AC486" s="4"/>
      <c r="AD486" s="4"/>
      <c r="AE486" s="7"/>
      <c r="AF486" s="7"/>
      <c r="AG486" s="7"/>
    </row>
    <row r="487">
      <c r="A487" s="7"/>
      <c r="B487" s="7"/>
      <c r="C487" s="7"/>
      <c r="D487" s="7"/>
      <c r="E487" s="4"/>
      <c r="F487" s="4"/>
      <c r="G487" s="4"/>
      <c r="H487" s="4"/>
      <c r="I487" s="7"/>
      <c r="J487" s="4"/>
      <c r="K487" s="4"/>
      <c r="L487" s="4"/>
      <c r="M487" s="4"/>
      <c r="N487" s="7"/>
      <c r="O487" s="4"/>
      <c r="P487" s="4"/>
      <c r="Q487" s="4"/>
      <c r="R487" s="4"/>
      <c r="S487" s="4"/>
      <c r="T487" s="4"/>
      <c r="U487" s="4"/>
      <c r="V487" s="4"/>
      <c r="W487" s="4"/>
      <c r="X487" s="4"/>
      <c r="Y487" s="4"/>
      <c r="Z487" s="4"/>
      <c r="AA487" s="4"/>
      <c r="AB487" s="4"/>
      <c r="AC487" s="4"/>
      <c r="AD487" s="4"/>
      <c r="AE487" s="7"/>
      <c r="AF487" s="7"/>
      <c r="AG487" s="7"/>
    </row>
    <row r="488">
      <c r="A488" s="7"/>
      <c r="B488" s="7"/>
      <c r="C488" s="7"/>
      <c r="D488" s="7"/>
      <c r="E488" s="4"/>
      <c r="F488" s="4"/>
      <c r="G488" s="7"/>
      <c r="H488" s="4"/>
      <c r="I488" s="7"/>
      <c r="J488" s="4"/>
      <c r="K488" s="4"/>
      <c r="L488" s="4"/>
      <c r="M488" s="7"/>
      <c r="N488" s="7"/>
      <c r="O488" s="7"/>
      <c r="P488" s="4"/>
      <c r="Q488" s="4"/>
      <c r="R488" s="4"/>
      <c r="S488" s="4"/>
      <c r="T488" s="4"/>
      <c r="U488" s="4"/>
      <c r="V488" s="4"/>
      <c r="W488" s="4"/>
      <c r="X488" s="4"/>
      <c r="Y488" s="4"/>
      <c r="Z488" s="4"/>
      <c r="AA488" s="4"/>
      <c r="AB488" s="4"/>
      <c r="AC488" s="4"/>
      <c r="AD488" s="4"/>
      <c r="AE488" s="7"/>
      <c r="AF488" s="7"/>
      <c r="AG488" s="7"/>
    </row>
    <row r="489">
      <c r="A489" s="7"/>
      <c r="B489" s="7"/>
      <c r="C489" s="7"/>
      <c r="D489" s="7"/>
      <c r="E489" s="4"/>
      <c r="F489" s="4"/>
      <c r="G489" s="4"/>
      <c r="H489" s="4"/>
      <c r="I489" s="7"/>
      <c r="J489" s="4"/>
      <c r="K489" s="4"/>
      <c r="L489" s="4"/>
      <c r="M489" s="4"/>
      <c r="N489" s="7"/>
      <c r="O489" s="4"/>
      <c r="P489" s="4"/>
      <c r="Q489" s="4"/>
      <c r="R489" s="4"/>
      <c r="S489" s="4"/>
      <c r="T489" s="4"/>
      <c r="U489" s="4"/>
      <c r="V489" s="4"/>
      <c r="W489" s="4"/>
      <c r="X489" s="4"/>
      <c r="Y489" s="4"/>
      <c r="Z489" s="4"/>
      <c r="AA489" s="4"/>
      <c r="AB489" s="4"/>
      <c r="AC489" s="4"/>
      <c r="AD489" s="4"/>
      <c r="AE489" s="7"/>
      <c r="AF489" s="7"/>
      <c r="AG489" s="7"/>
    </row>
    <row r="490">
      <c r="A490" s="7"/>
      <c r="B490" s="7"/>
      <c r="C490" s="7"/>
      <c r="D490" s="7"/>
      <c r="E490" s="4"/>
      <c r="F490" s="4"/>
      <c r="G490" s="4"/>
      <c r="H490" s="4"/>
      <c r="I490" s="7"/>
      <c r="J490" s="4"/>
      <c r="K490" s="4"/>
      <c r="L490" s="4"/>
      <c r="M490" s="4"/>
      <c r="N490" s="7"/>
      <c r="O490" s="4"/>
      <c r="P490" s="4"/>
      <c r="Q490" s="4"/>
      <c r="R490" s="4"/>
      <c r="S490" s="4"/>
      <c r="T490" s="4"/>
      <c r="U490" s="4"/>
      <c r="V490" s="4"/>
      <c r="W490" s="4"/>
      <c r="X490" s="4"/>
      <c r="Y490" s="4"/>
      <c r="Z490" s="4"/>
      <c r="AA490" s="4"/>
      <c r="AB490" s="4"/>
      <c r="AC490" s="4"/>
      <c r="AD490" s="4"/>
      <c r="AE490" s="4"/>
      <c r="AF490" s="7"/>
      <c r="AG490" s="7"/>
    </row>
    <row r="491">
      <c r="A491" s="7"/>
      <c r="B491" s="7"/>
      <c r="C491" s="7"/>
      <c r="D491" s="7"/>
      <c r="E491" s="4"/>
      <c r="F491" s="4"/>
      <c r="G491" s="7"/>
      <c r="H491" s="4"/>
      <c r="I491" s="7"/>
      <c r="J491" s="4"/>
      <c r="K491" s="4"/>
      <c r="L491" s="4"/>
      <c r="M491" s="7"/>
      <c r="N491" s="7"/>
      <c r="O491" s="7"/>
      <c r="P491" s="4"/>
      <c r="Q491" s="4"/>
      <c r="R491" s="4"/>
      <c r="S491" s="4"/>
      <c r="T491" s="4"/>
      <c r="U491" s="4"/>
      <c r="V491" s="4"/>
      <c r="W491" s="4"/>
      <c r="X491" s="4"/>
      <c r="Y491" s="4"/>
      <c r="Z491" s="4"/>
      <c r="AA491" s="4"/>
      <c r="AB491" s="4"/>
      <c r="AC491" s="4"/>
      <c r="AD491" s="4"/>
      <c r="AE491" s="7"/>
      <c r="AF491" s="7"/>
      <c r="AG491" s="7"/>
    </row>
    <row r="492">
      <c r="A492" s="7"/>
      <c r="B492" s="7"/>
      <c r="C492" s="7"/>
      <c r="D492" s="7"/>
      <c r="E492" s="4"/>
      <c r="F492" s="4"/>
      <c r="G492" s="7"/>
      <c r="H492" s="7"/>
      <c r="I492" s="7"/>
      <c r="J492" s="4"/>
      <c r="K492" s="4"/>
      <c r="L492" s="4"/>
      <c r="M492" s="7"/>
      <c r="N492" s="7"/>
      <c r="O492" s="7"/>
      <c r="P492" s="7"/>
      <c r="Q492" s="4"/>
      <c r="R492" s="4"/>
      <c r="S492" s="4"/>
      <c r="T492" s="4"/>
      <c r="U492" s="4"/>
      <c r="V492" s="4"/>
      <c r="W492" s="4"/>
      <c r="X492" s="4"/>
      <c r="Y492" s="4"/>
      <c r="Z492" s="4"/>
      <c r="AA492" s="4"/>
      <c r="AB492" s="4"/>
      <c r="AC492" s="4"/>
      <c r="AD492" s="4"/>
      <c r="AE492" s="7"/>
      <c r="AF492" s="7"/>
      <c r="AG492" s="7"/>
    </row>
    <row r="493">
      <c r="A493" s="7"/>
      <c r="B493" s="7"/>
      <c r="C493" s="7"/>
      <c r="D493" s="7"/>
      <c r="E493" s="4"/>
      <c r="F493" s="4"/>
      <c r="G493" s="7"/>
      <c r="H493" s="4"/>
      <c r="I493" s="7"/>
      <c r="J493" s="4"/>
      <c r="K493" s="4"/>
      <c r="L493" s="4"/>
      <c r="M493" s="7"/>
      <c r="N493" s="7"/>
      <c r="O493" s="7"/>
      <c r="P493" s="4"/>
      <c r="Q493" s="4"/>
      <c r="R493" s="4"/>
      <c r="S493" s="4"/>
      <c r="T493" s="4"/>
      <c r="U493" s="4"/>
      <c r="V493" s="4"/>
      <c r="W493" s="4"/>
      <c r="X493" s="4"/>
      <c r="Y493" s="4"/>
      <c r="Z493" s="4"/>
      <c r="AA493" s="4"/>
      <c r="AB493" s="4"/>
      <c r="AC493" s="4"/>
      <c r="AD493" s="4"/>
      <c r="AE493" s="7"/>
      <c r="AF493" s="7"/>
      <c r="AG493" s="7"/>
    </row>
    <row r="494">
      <c r="A494" s="7"/>
      <c r="B494" s="7"/>
      <c r="C494" s="7"/>
      <c r="D494" s="7"/>
      <c r="E494" s="4"/>
      <c r="F494" s="4"/>
      <c r="G494" s="7"/>
      <c r="H494" s="4"/>
      <c r="I494" s="7"/>
      <c r="J494" s="4"/>
      <c r="K494" s="4"/>
      <c r="L494" s="4"/>
      <c r="M494" s="7"/>
      <c r="N494" s="7"/>
      <c r="O494" s="7"/>
      <c r="P494" s="4"/>
      <c r="Q494" s="4"/>
      <c r="R494" s="4"/>
      <c r="S494" s="4"/>
      <c r="T494" s="4"/>
      <c r="U494" s="4"/>
      <c r="V494" s="4"/>
      <c r="W494" s="4"/>
      <c r="X494" s="4"/>
      <c r="Y494" s="4"/>
      <c r="Z494" s="4"/>
      <c r="AA494" s="4"/>
      <c r="AB494" s="4"/>
      <c r="AC494" s="4"/>
      <c r="AD494" s="4"/>
      <c r="AE494" s="7"/>
      <c r="AF494" s="7"/>
      <c r="AG494" s="7"/>
    </row>
    <row r="495">
      <c r="A495" s="7"/>
      <c r="B495" s="7"/>
      <c r="C495" s="7"/>
      <c r="D495" s="7"/>
      <c r="E495" s="7"/>
      <c r="F495" s="4"/>
      <c r="G495" s="7"/>
      <c r="H495" s="7"/>
      <c r="I495" s="7"/>
      <c r="J495" s="4"/>
      <c r="K495" s="4"/>
      <c r="L495" s="4"/>
      <c r="M495" s="7"/>
      <c r="N495" s="7"/>
      <c r="O495" s="7"/>
      <c r="P495" s="7"/>
      <c r="Q495" s="4"/>
      <c r="R495" s="4"/>
      <c r="S495" s="4"/>
      <c r="T495" s="7"/>
      <c r="U495" s="7"/>
      <c r="V495" s="4"/>
      <c r="W495" s="4"/>
      <c r="X495" s="4"/>
      <c r="Y495" s="4"/>
      <c r="Z495" s="4"/>
      <c r="AA495" s="4"/>
      <c r="AB495" s="4"/>
      <c r="AC495" s="4"/>
      <c r="AD495" s="4"/>
      <c r="AE495" s="4"/>
      <c r="AF495" s="7"/>
      <c r="AG495" s="7"/>
    </row>
    <row r="496">
      <c r="A496" s="7"/>
      <c r="B496" s="7"/>
      <c r="C496" s="7"/>
      <c r="D496" s="7"/>
      <c r="E496" s="4"/>
      <c r="F496" s="4"/>
      <c r="G496" s="7"/>
      <c r="H496" s="4"/>
      <c r="I496" s="7"/>
      <c r="J496" s="4"/>
      <c r="K496" s="4"/>
      <c r="L496" s="4"/>
      <c r="M496" s="7"/>
      <c r="N496" s="7"/>
      <c r="O496" s="7"/>
      <c r="P496" s="4"/>
      <c r="Q496" s="4"/>
      <c r="R496" s="4"/>
      <c r="S496" s="4"/>
      <c r="T496" s="4"/>
      <c r="U496" s="4"/>
      <c r="V496" s="7"/>
      <c r="W496" s="7"/>
      <c r="X496" s="4"/>
      <c r="Y496" s="4"/>
      <c r="Z496" s="4"/>
      <c r="AA496" s="4"/>
      <c r="AB496" s="7"/>
      <c r="AC496" s="7"/>
      <c r="AD496" s="4"/>
      <c r="AE496" s="4"/>
      <c r="AF496" s="7"/>
      <c r="AG496" s="7"/>
    </row>
    <row r="497">
      <c r="A497" s="7"/>
      <c r="B497" s="7"/>
      <c r="C497" s="7"/>
      <c r="D497" s="7"/>
      <c r="E497" s="4"/>
      <c r="F497" s="4"/>
      <c r="G497" s="7"/>
      <c r="H497" s="4"/>
      <c r="I497" s="7"/>
      <c r="J497" s="4"/>
      <c r="K497" s="4"/>
      <c r="L497" s="4"/>
      <c r="M497" s="7"/>
      <c r="N497" s="7"/>
      <c r="O497" s="7"/>
      <c r="P497" s="4"/>
      <c r="Q497" s="4"/>
      <c r="R497" s="4"/>
      <c r="S497" s="4"/>
      <c r="T497" s="4"/>
      <c r="U497" s="4"/>
      <c r="V497" s="4"/>
      <c r="W497" s="4"/>
      <c r="X497" s="4"/>
      <c r="Y497" s="4"/>
      <c r="Z497" s="4"/>
      <c r="AA497" s="4"/>
      <c r="AB497" s="4"/>
      <c r="AC497" s="4"/>
      <c r="AD497" s="4"/>
      <c r="AE497" s="4"/>
      <c r="AF497" s="7"/>
      <c r="AG497" s="7"/>
    </row>
    <row r="498">
      <c r="A498" s="7"/>
      <c r="B498" s="7"/>
      <c r="C498" s="7"/>
      <c r="D498" s="7"/>
      <c r="E498" s="4"/>
      <c r="F498" s="4"/>
      <c r="G498" s="7"/>
      <c r="H498" s="4"/>
      <c r="I498" s="7"/>
      <c r="J498" s="4"/>
      <c r="K498" s="4"/>
      <c r="L498" s="4"/>
      <c r="M498" s="7"/>
      <c r="N498" s="7"/>
      <c r="O498" s="7"/>
      <c r="P498" s="4"/>
      <c r="Q498" s="4"/>
      <c r="R498" s="4"/>
      <c r="S498" s="4"/>
      <c r="T498" s="4"/>
      <c r="U498" s="4"/>
      <c r="V498" s="4"/>
      <c r="W498" s="4"/>
      <c r="X498" s="4"/>
      <c r="Y498" s="4"/>
      <c r="Z498" s="4"/>
      <c r="AA498" s="4"/>
      <c r="AB498" s="4"/>
      <c r="AC498" s="4"/>
      <c r="AD498" s="4"/>
      <c r="AE498" s="4"/>
      <c r="AF498" s="7"/>
      <c r="AG498" s="7"/>
    </row>
    <row r="499">
      <c r="A499" s="7"/>
      <c r="B499" s="7"/>
      <c r="C499" s="7"/>
      <c r="D499" s="7"/>
      <c r="E499" s="7"/>
      <c r="F499" s="4"/>
      <c r="G499" s="7"/>
      <c r="H499" s="7"/>
      <c r="I499" s="7"/>
      <c r="J499" s="4"/>
      <c r="K499" s="4"/>
      <c r="L499" s="4"/>
      <c r="M499" s="7"/>
      <c r="N499" s="7"/>
      <c r="O499" s="7"/>
      <c r="P499" s="7"/>
      <c r="Q499" s="4"/>
      <c r="R499" s="4"/>
      <c r="S499" s="4"/>
      <c r="T499" s="7"/>
      <c r="U499" s="7"/>
      <c r="V499" s="7"/>
      <c r="W499" s="7"/>
      <c r="X499" s="4"/>
      <c r="Y499" s="4"/>
      <c r="Z499" s="4"/>
      <c r="AA499" s="4"/>
      <c r="AB499" s="7"/>
      <c r="AC499" s="7"/>
      <c r="AD499" s="4"/>
      <c r="AE499" s="4"/>
      <c r="AF499" s="7"/>
      <c r="AG499" s="7"/>
    </row>
    <row r="500">
      <c r="A500" s="7"/>
      <c r="B500" s="7"/>
      <c r="C500" s="7"/>
      <c r="D500" s="7"/>
      <c r="E500" s="4"/>
      <c r="F500" s="4"/>
      <c r="G500" s="7"/>
      <c r="H500" s="4"/>
      <c r="I500" s="7"/>
      <c r="J500" s="4"/>
      <c r="K500" s="4"/>
      <c r="L500" s="4"/>
      <c r="M500" s="7"/>
      <c r="N500" s="7"/>
      <c r="O500" s="7"/>
      <c r="P500" s="4"/>
      <c r="Q500" s="4"/>
      <c r="R500" s="4"/>
      <c r="S500" s="4"/>
      <c r="T500" s="4"/>
      <c r="U500" s="4"/>
      <c r="V500" s="4"/>
      <c r="W500" s="4"/>
      <c r="X500" s="4"/>
      <c r="Y500" s="4"/>
      <c r="Z500" s="4"/>
      <c r="AA500" s="4"/>
      <c r="AB500" s="4"/>
      <c r="AC500" s="4"/>
      <c r="AD500" s="4"/>
      <c r="AE500" s="4"/>
      <c r="AF500" s="7"/>
      <c r="AG500" s="7"/>
    </row>
    <row r="501">
      <c r="A501" s="7"/>
      <c r="B501" s="7"/>
      <c r="C501" s="7"/>
      <c r="D501" s="7"/>
      <c r="E501" s="4"/>
      <c r="F501" s="4"/>
      <c r="G501" s="7"/>
      <c r="H501" s="4"/>
      <c r="I501" s="7"/>
      <c r="J501" s="4"/>
      <c r="K501" s="4"/>
      <c r="L501" s="4"/>
      <c r="M501" s="7"/>
      <c r="N501" s="7"/>
      <c r="O501" s="7"/>
      <c r="P501" s="7"/>
      <c r="Q501" s="4"/>
      <c r="R501" s="4"/>
      <c r="S501" s="4"/>
      <c r="T501" s="4"/>
      <c r="U501" s="4"/>
      <c r="V501" s="4"/>
      <c r="W501" s="4"/>
      <c r="X501" s="4"/>
      <c r="Y501" s="4"/>
      <c r="Z501" s="4"/>
      <c r="AA501" s="4"/>
      <c r="AB501" s="4"/>
      <c r="AC501" s="4"/>
      <c r="AD501" s="4"/>
      <c r="AE501" s="4"/>
      <c r="AF501" s="7"/>
      <c r="AG501" s="7"/>
    </row>
    <row r="502">
      <c r="A502" s="7"/>
      <c r="B502" s="7"/>
      <c r="C502" s="7"/>
      <c r="D502" s="7"/>
      <c r="E502" s="4"/>
      <c r="F502" s="4"/>
      <c r="G502" s="7"/>
      <c r="H502" s="4"/>
      <c r="I502" s="7"/>
      <c r="J502" s="4"/>
      <c r="K502" s="4"/>
      <c r="L502" s="4"/>
      <c r="M502" s="7"/>
      <c r="N502" s="7"/>
      <c r="O502" s="7"/>
      <c r="P502" s="4"/>
      <c r="Q502" s="4"/>
      <c r="R502" s="4"/>
      <c r="S502" s="4"/>
      <c r="T502" s="4"/>
      <c r="U502" s="4"/>
      <c r="V502" s="7"/>
      <c r="W502" s="7"/>
      <c r="X502" s="4"/>
      <c r="Y502" s="4"/>
      <c r="Z502" s="4"/>
      <c r="AA502" s="4"/>
      <c r="AB502" s="7"/>
      <c r="AC502" s="7"/>
      <c r="AD502" s="4"/>
      <c r="AE502" s="4"/>
      <c r="AF502" s="7"/>
      <c r="AG502" s="7"/>
    </row>
    <row r="503">
      <c r="A503" s="7"/>
      <c r="B503" s="7"/>
      <c r="C503" s="7"/>
      <c r="D503" s="7"/>
      <c r="E503" s="4"/>
      <c r="F503" s="4"/>
      <c r="G503" s="7"/>
      <c r="H503" s="4"/>
      <c r="I503" s="7"/>
      <c r="J503" s="4"/>
      <c r="K503" s="4"/>
      <c r="L503" s="4"/>
      <c r="M503" s="7"/>
      <c r="N503" s="7"/>
      <c r="O503" s="7"/>
      <c r="P503" s="4"/>
      <c r="Q503" s="4"/>
      <c r="R503" s="4"/>
      <c r="S503" s="4"/>
      <c r="T503" s="4"/>
      <c r="U503" s="4"/>
      <c r="V503" s="4"/>
      <c r="W503" s="4"/>
      <c r="X503" s="4"/>
      <c r="Y503" s="4"/>
      <c r="Z503" s="4"/>
      <c r="AA503" s="4"/>
      <c r="AB503" s="4"/>
      <c r="AC503" s="4"/>
      <c r="AD503" s="4"/>
      <c r="AE503" s="4"/>
      <c r="AF503" s="7"/>
      <c r="AG503" s="7"/>
    </row>
    <row r="504">
      <c r="A504" s="7"/>
      <c r="B504" s="7"/>
      <c r="C504" s="7"/>
      <c r="D504" s="7"/>
      <c r="E504" s="4"/>
      <c r="F504" s="4"/>
      <c r="G504" s="7"/>
      <c r="H504" s="4"/>
      <c r="I504" s="7"/>
      <c r="J504" s="4"/>
      <c r="K504" s="4"/>
      <c r="L504" s="4"/>
      <c r="M504" s="7"/>
      <c r="N504" s="7"/>
      <c r="O504" s="7"/>
      <c r="P504" s="4"/>
      <c r="Q504" s="4"/>
      <c r="R504" s="4"/>
      <c r="S504" s="4"/>
      <c r="T504" s="4"/>
      <c r="U504" s="4"/>
      <c r="V504" s="4"/>
      <c r="W504" s="4"/>
      <c r="X504" s="4"/>
      <c r="Y504" s="4"/>
      <c r="Z504" s="4"/>
      <c r="AA504" s="4"/>
      <c r="AB504" s="4"/>
      <c r="AC504" s="4"/>
      <c r="AD504" s="4"/>
      <c r="AE504" s="4"/>
      <c r="AF504" s="7"/>
      <c r="AG504" s="7"/>
    </row>
    <row r="505">
      <c r="A505" s="7"/>
      <c r="B505" s="7"/>
      <c r="C505" s="7"/>
      <c r="D505" s="7"/>
      <c r="E505" s="4"/>
      <c r="F505" s="4"/>
      <c r="G505" s="7"/>
      <c r="H505" s="4"/>
      <c r="I505" s="7"/>
      <c r="J505" s="4"/>
      <c r="K505" s="4"/>
      <c r="L505" s="4"/>
      <c r="M505" s="7"/>
      <c r="N505" s="7"/>
      <c r="O505" s="7"/>
      <c r="P505" s="4"/>
      <c r="Q505" s="4"/>
      <c r="R505" s="4"/>
      <c r="S505" s="4"/>
      <c r="T505" s="4"/>
      <c r="U505" s="4"/>
      <c r="V505" s="4"/>
      <c r="W505" s="4"/>
      <c r="X505" s="4"/>
      <c r="Y505" s="4"/>
      <c r="Z505" s="4"/>
      <c r="AA505" s="4"/>
      <c r="AB505" s="4"/>
      <c r="AC505" s="4"/>
      <c r="AD505" s="4"/>
      <c r="AE505" s="4"/>
      <c r="AF505" s="7"/>
      <c r="AG505" s="7"/>
    </row>
    <row r="506">
      <c r="A506" s="7"/>
      <c r="B506" s="7"/>
      <c r="C506" s="7"/>
      <c r="D506" s="7"/>
      <c r="E506" s="4"/>
      <c r="F506" s="4"/>
      <c r="G506" s="7"/>
      <c r="H506" s="4"/>
      <c r="I506" s="7"/>
      <c r="J506" s="4"/>
      <c r="K506" s="4"/>
      <c r="L506" s="4"/>
      <c r="M506" s="7"/>
      <c r="N506" s="7"/>
      <c r="O506" s="7"/>
      <c r="P506" s="4"/>
      <c r="Q506" s="4"/>
      <c r="R506" s="4"/>
      <c r="S506" s="4"/>
      <c r="T506" s="4"/>
      <c r="U506" s="4"/>
      <c r="V506" s="7"/>
      <c r="W506" s="7"/>
      <c r="X506" s="4"/>
      <c r="Y506" s="4"/>
      <c r="Z506" s="4"/>
      <c r="AA506" s="4"/>
      <c r="AB506" s="7"/>
      <c r="AC506" s="7"/>
      <c r="AD506" s="4"/>
      <c r="AE506" s="4"/>
      <c r="AF506" s="7"/>
      <c r="AG506" s="7"/>
    </row>
    <row r="507">
      <c r="A507" s="7"/>
      <c r="B507" s="7"/>
      <c r="C507" s="7"/>
      <c r="D507" s="7"/>
      <c r="E507" s="4"/>
      <c r="F507" s="4"/>
      <c r="G507" s="7"/>
      <c r="H507" s="7"/>
      <c r="I507" s="7"/>
      <c r="J507" s="4"/>
      <c r="K507" s="4"/>
      <c r="L507" s="4"/>
      <c r="M507" s="7"/>
      <c r="N507" s="7"/>
      <c r="O507" s="7"/>
      <c r="P507" s="7"/>
      <c r="Q507" s="4"/>
      <c r="R507" s="4"/>
      <c r="S507" s="4"/>
      <c r="T507" s="4"/>
      <c r="U507" s="4"/>
      <c r="V507" s="4"/>
      <c r="W507" s="4"/>
      <c r="X507" s="4"/>
      <c r="Y507" s="4"/>
      <c r="Z507" s="4"/>
      <c r="AA507" s="4"/>
      <c r="AB507" s="4"/>
      <c r="AC507" s="4"/>
      <c r="AD507" s="4"/>
      <c r="AE507" s="4"/>
      <c r="AF507" s="7"/>
      <c r="AG507" s="7"/>
    </row>
    <row r="508">
      <c r="A508" s="7"/>
      <c r="B508" s="7"/>
      <c r="C508" s="7"/>
      <c r="D508" s="7"/>
      <c r="E508" s="4"/>
      <c r="F508" s="4"/>
      <c r="G508" s="7"/>
      <c r="H508" s="4"/>
      <c r="I508" s="7"/>
      <c r="J508" s="4"/>
      <c r="K508" s="4"/>
      <c r="L508" s="4"/>
      <c r="M508" s="7"/>
      <c r="N508" s="7"/>
      <c r="O508" s="7"/>
      <c r="P508" s="7"/>
      <c r="Q508" s="4"/>
      <c r="R508" s="4"/>
      <c r="S508" s="4"/>
      <c r="T508" s="4"/>
      <c r="U508" s="4"/>
      <c r="V508" s="4"/>
      <c r="W508" s="4"/>
      <c r="X508" s="4"/>
      <c r="Y508" s="4"/>
      <c r="Z508" s="4"/>
      <c r="AA508" s="4"/>
      <c r="AB508" s="4"/>
      <c r="AC508" s="4"/>
      <c r="AD508" s="4"/>
      <c r="AE508" s="4"/>
      <c r="AF508" s="7"/>
      <c r="AG508" s="7"/>
    </row>
    <row r="509">
      <c r="A509" s="7"/>
      <c r="B509" s="7"/>
      <c r="C509" s="7"/>
      <c r="D509" s="7"/>
      <c r="E509" s="7"/>
      <c r="F509" s="4"/>
      <c r="G509" s="7"/>
      <c r="H509" s="7"/>
      <c r="I509" s="7"/>
      <c r="J509" s="4"/>
      <c r="K509" s="4"/>
      <c r="L509" s="4"/>
      <c r="M509" s="7"/>
      <c r="N509" s="7"/>
      <c r="O509" s="7"/>
      <c r="P509" s="7"/>
      <c r="Q509" s="4"/>
      <c r="R509" s="4"/>
      <c r="S509" s="4"/>
      <c r="T509" s="7"/>
      <c r="U509" s="7"/>
      <c r="V509" s="4"/>
      <c r="W509" s="4"/>
      <c r="X509" s="4"/>
      <c r="Y509" s="4"/>
      <c r="Z509" s="4"/>
      <c r="AA509" s="4"/>
      <c r="AB509" s="4"/>
      <c r="AC509" s="4"/>
      <c r="AD509" s="4"/>
      <c r="AE509" s="4"/>
      <c r="AF509" s="7"/>
      <c r="AG509" s="7"/>
    </row>
    <row r="510">
      <c r="A510" s="7"/>
      <c r="B510" s="7"/>
      <c r="C510" s="7"/>
      <c r="D510" s="7"/>
      <c r="E510" s="4"/>
      <c r="F510" s="4"/>
      <c r="G510" s="7"/>
      <c r="H510" s="4"/>
      <c r="I510" s="7"/>
      <c r="J510" s="4"/>
      <c r="K510" s="4"/>
      <c r="L510" s="4"/>
      <c r="M510" s="7"/>
      <c r="N510" s="7"/>
      <c r="O510" s="7"/>
      <c r="P510" s="4"/>
      <c r="Q510" s="4"/>
      <c r="R510" s="4"/>
      <c r="S510" s="4"/>
      <c r="T510" s="4"/>
      <c r="U510" s="4"/>
      <c r="V510" s="4"/>
      <c r="W510" s="4"/>
      <c r="X510" s="4"/>
      <c r="Y510" s="4"/>
      <c r="Z510" s="4"/>
      <c r="AA510" s="4"/>
      <c r="AB510" s="4"/>
      <c r="AC510" s="4"/>
      <c r="AD510" s="4"/>
      <c r="AE510" s="4"/>
      <c r="AF510" s="7"/>
      <c r="AG510" s="7"/>
    </row>
    <row r="511">
      <c r="A511" s="7"/>
      <c r="B511" s="7"/>
      <c r="C511" s="7"/>
      <c r="D511" s="7"/>
      <c r="E511" s="4"/>
      <c r="F511" s="4"/>
      <c r="G511" s="7"/>
      <c r="H511" s="4"/>
      <c r="I511" s="7"/>
      <c r="J511" s="4"/>
      <c r="K511" s="4"/>
      <c r="L511" s="4"/>
      <c r="M511" s="7"/>
      <c r="N511" s="7"/>
      <c r="O511" s="7"/>
      <c r="P511" s="4"/>
      <c r="Q511" s="4"/>
      <c r="R511" s="4"/>
      <c r="S511" s="4"/>
      <c r="T511" s="4"/>
      <c r="U511" s="4"/>
      <c r="V511" s="4"/>
      <c r="W511" s="4"/>
      <c r="X511" s="4"/>
      <c r="Y511" s="4"/>
      <c r="Z511" s="4"/>
      <c r="AA511" s="4"/>
      <c r="AB511" s="4"/>
      <c r="AC511" s="4"/>
      <c r="AD511" s="4"/>
      <c r="AE511" s="4"/>
      <c r="AF511" s="7"/>
      <c r="AG511" s="7"/>
    </row>
    <row r="512">
      <c r="A512" s="7"/>
      <c r="B512" s="7"/>
      <c r="C512" s="7"/>
      <c r="D512" s="7"/>
      <c r="E512" s="4"/>
      <c r="F512" s="4"/>
      <c r="G512" s="7"/>
      <c r="H512" s="4"/>
      <c r="I512" s="7"/>
      <c r="J512" s="4"/>
      <c r="K512" s="4"/>
      <c r="L512" s="4"/>
      <c r="M512" s="7"/>
      <c r="N512" s="7"/>
      <c r="O512" s="7"/>
      <c r="P512" s="4"/>
      <c r="Q512" s="4"/>
      <c r="R512" s="4"/>
      <c r="S512" s="4"/>
      <c r="T512" s="4"/>
      <c r="U512" s="4"/>
      <c r="V512" s="4"/>
      <c r="W512" s="4"/>
      <c r="X512" s="4"/>
      <c r="Y512" s="4"/>
      <c r="Z512" s="4"/>
      <c r="AA512" s="4"/>
      <c r="AB512" s="4"/>
      <c r="AC512" s="4"/>
      <c r="AD512" s="4"/>
      <c r="AE512" s="4"/>
      <c r="AF512" s="7"/>
      <c r="AG512" s="7"/>
    </row>
    <row r="513">
      <c r="A513" s="7"/>
      <c r="B513" s="7"/>
      <c r="C513" s="7"/>
      <c r="D513" s="7"/>
      <c r="E513" s="4"/>
      <c r="F513" s="4"/>
      <c r="G513" s="7"/>
      <c r="H513" s="4"/>
      <c r="I513" s="7"/>
      <c r="J513" s="4"/>
      <c r="K513" s="4"/>
      <c r="L513" s="4"/>
      <c r="M513" s="7"/>
      <c r="N513" s="7"/>
      <c r="O513" s="7"/>
      <c r="P513" s="4"/>
      <c r="Q513" s="4"/>
      <c r="R513" s="4"/>
      <c r="S513" s="4"/>
      <c r="T513" s="4"/>
      <c r="U513" s="4"/>
      <c r="V513" s="4"/>
      <c r="W513" s="4"/>
      <c r="X513" s="4"/>
      <c r="Y513" s="4"/>
      <c r="Z513" s="4"/>
      <c r="AA513" s="7"/>
      <c r="AB513" s="4"/>
      <c r="AC513" s="4"/>
      <c r="AD513" s="4"/>
      <c r="AE513" s="4"/>
      <c r="AF513" s="7"/>
      <c r="AG513" s="7"/>
    </row>
    <row r="514">
      <c r="A514" s="7"/>
      <c r="B514" s="7"/>
      <c r="C514" s="7"/>
      <c r="D514" s="7"/>
      <c r="E514" s="7"/>
      <c r="F514" s="4"/>
      <c r="G514" s="7"/>
      <c r="H514" s="7"/>
      <c r="I514" s="7"/>
      <c r="J514" s="4"/>
      <c r="K514" s="4"/>
      <c r="L514" s="4"/>
      <c r="M514" s="7"/>
      <c r="N514" s="7"/>
      <c r="O514" s="7"/>
      <c r="P514" s="7"/>
      <c r="Q514" s="4"/>
      <c r="R514" s="4"/>
      <c r="S514" s="4"/>
      <c r="T514" s="7"/>
      <c r="U514" s="7"/>
      <c r="V514" s="4"/>
      <c r="W514" s="4"/>
      <c r="X514" s="4"/>
      <c r="Y514" s="4"/>
      <c r="Z514" s="4"/>
      <c r="AA514" s="4"/>
      <c r="AB514" s="4"/>
      <c r="AC514" s="4"/>
      <c r="AD514" s="4"/>
      <c r="AE514" s="4"/>
      <c r="AF514" s="7"/>
      <c r="AG514" s="7"/>
    </row>
    <row r="515">
      <c r="A515" s="7"/>
      <c r="B515" s="7"/>
      <c r="C515" s="7"/>
      <c r="D515" s="7"/>
      <c r="E515" s="4"/>
      <c r="F515" s="4"/>
      <c r="G515" s="7"/>
      <c r="H515" s="4"/>
      <c r="I515" s="7"/>
      <c r="J515" s="4"/>
      <c r="K515" s="4"/>
      <c r="L515" s="4"/>
      <c r="M515" s="7"/>
      <c r="N515" s="7"/>
      <c r="O515" s="7"/>
      <c r="P515" s="4"/>
      <c r="Q515" s="4"/>
      <c r="R515" s="4"/>
      <c r="S515" s="4"/>
      <c r="T515" s="4"/>
      <c r="U515" s="4"/>
      <c r="V515" s="4"/>
      <c r="W515" s="4"/>
      <c r="X515" s="4"/>
      <c r="Y515" s="4"/>
      <c r="Z515" s="4"/>
      <c r="AA515" s="4"/>
      <c r="AB515" s="4"/>
      <c r="AC515" s="4"/>
      <c r="AD515" s="4"/>
      <c r="AE515" s="4"/>
      <c r="AF515" s="7"/>
      <c r="AG515" s="7"/>
    </row>
    <row r="516">
      <c r="A516" s="7"/>
      <c r="B516" s="7"/>
      <c r="C516" s="7"/>
      <c r="D516" s="7"/>
      <c r="E516" s="4"/>
      <c r="F516" s="4"/>
      <c r="G516" s="7"/>
      <c r="H516" s="7"/>
      <c r="I516" s="7"/>
      <c r="J516" s="4"/>
      <c r="K516" s="4"/>
      <c r="L516" s="4"/>
      <c r="M516" s="7"/>
      <c r="N516" s="7"/>
      <c r="O516" s="7"/>
      <c r="P516" s="7"/>
      <c r="Q516" s="4"/>
      <c r="R516" s="4"/>
      <c r="S516" s="4"/>
      <c r="T516" s="4"/>
      <c r="U516" s="4"/>
      <c r="V516" s="4"/>
      <c r="W516" s="4"/>
      <c r="X516" s="4"/>
      <c r="Y516" s="4"/>
      <c r="Z516" s="4"/>
      <c r="AA516" s="4"/>
      <c r="AB516" s="4"/>
      <c r="AC516" s="4"/>
      <c r="AD516" s="4"/>
      <c r="AE516" s="4"/>
      <c r="AF516" s="7"/>
      <c r="AG516" s="7"/>
    </row>
    <row r="517">
      <c r="A517" s="7"/>
      <c r="B517" s="7"/>
      <c r="C517" s="7"/>
      <c r="D517" s="7"/>
      <c r="E517" s="4"/>
      <c r="F517" s="4"/>
      <c r="G517" s="7"/>
      <c r="H517" s="7"/>
      <c r="I517" s="7"/>
      <c r="J517" s="4"/>
      <c r="K517" s="4"/>
      <c r="L517" s="4"/>
      <c r="M517" s="7"/>
      <c r="N517" s="7"/>
      <c r="O517" s="7"/>
      <c r="P517" s="7"/>
      <c r="Q517" s="4"/>
      <c r="R517" s="4"/>
      <c r="S517" s="4"/>
      <c r="T517" s="4"/>
      <c r="U517" s="4"/>
      <c r="V517" s="4"/>
      <c r="W517" s="4"/>
      <c r="X517" s="4"/>
      <c r="Y517" s="4"/>
      <c r="Z517" s="4"/>
      <c r="AA517" s="4"/>
      <c r="AB517" s="4"/>
      <c r="AC517" s="4"/>
      <c r="AD517" s="4"/>
      <c r="AE517" s="4"/>
      <c r="AF517" s="7"/>
      <c r="AG517" s="7"/>
    </row>
    <row r="518">
      <c r="A518" s="7"/>
      <c r="B518" s="7"/>
      <c r="C518" s="7"/>
      <c r="D518" s="7"/>
      <c r="E518" s="4"/>
      <c r="F518" s="4"/>
      <c r="G518" s="7"/>
      <c r="H518" s="4"/>
      <c r="I518" s="7"/>
      <c r="J518" s="4"/>
      <c r="K518" s="4"/>
      <c r="L518" s="4"/>
      <c r="M518" s="7"/>
      <c r="N518" s="7"/>
      <c r="O518" s="7"/>
      <c r="P518" s="7"/>
      <c r="Q518" s="4"/>
      <c r="R518" s="4"/>
      <c r="S518" s="4"/>
      <c r="T518" s="4"/>
      <c r="U518" s="4"/>
      <c r="V518" s="4"/>
      <c r="W518" s="4"/>
      <c r="X518" s="4"/>
      <c r="Y518" s="4"/>
      <c r="Z518" s="4"/>
      <c r="AA518" s="4"/>
      <c r="AB518" s="4"/>
      <c r="AC518" s="4"/>
      <c r="AD518" s="4"/>
      <c r="AE518" s="4"/>
      <c r="AF518" s="7"/>
      <c r="AG518" s="7"/>
    </row>
    <row r="519">
      <c r="A519" s="7"/>
      <c r="B519" s="7"/>
      <c r="C519" s="7"/>
      <c r="D519" s="7"/>
      <c r="E519" s="4"/>
      <c r="F519" s="4"/>
      <c r="G519" s="7"/>
      <c r="H519" s="4"/>
      <c r="I519" s="7"/>
      <c r="J519" s="4"/>
      <c r="K519" s="4"/>
      <c r="L519" s="4"/>
      <c r="M519" s="7"/>
      <c r="N519" s="7"/>
      <c r="O519" s="7"/>
      <c r="P519" s="4"/>
      <c r="Q519" s="4"/>
      <c r="R519" s="4"/>
      <c r="S519" s="4"/>
      <c r="T519" s="4"/>
      <c r="U519" s="4"/>
      <c r="V519" s="4"/>
      <c r="W519" s="4"/>
      <c r="X519" s="4"/>
      <c r="Y519" s="4"/>
      <c r="Z519" s="4"/>
      <c r="AA519" s="4"/>
      <c r="AB519" s="4"/>
      <c r="AC519" s="4"/>
      <c r="AD519" s="4"/>
      <c r="AE519" s="4"/>
      <c r="AF519" s="7"/>
      <c r="AG519" s="7"/>
    </row>
    <row r="520">
      <c r="A520" s="7"/>
      <c r="B520" s="7"/>
      <c r="C520" s="7"/>
      <c r="D520" s="7"/>
      <c r="E520" s="4"/>
      <c r="F520" s="4"/>
      <c r="G520" s="7"/>
      <c r="H520" s="4"/>
      <c r="I520" s="7"/>
      <c r="J520" s="7"/>
      <c r="K520" s="7"/>
      <c r="L520" s="4"/>
      <c r="M520" s="7"/>
      <c r="N520" s="7"/>
      <c r="O520" s="7"/>
      <c r="P520" s="4"/>
      <c r="Q520" s="4"/>
      <c r="R520" s="4"/>
      <c r="S520" s="4"/>
      <c r="T520" s="4"/>
      <c r="U520" s="4"/>
      <c r="V520" s="4"/>
      <c r="W520" s="4"/>
      <c r="X520" s="4"/>
      <c r="Y520" s="4"/>
      <c r="Z520" s="4"/>
      <c r="AA520" s="4"/>
      <c r="AB520" s="4"/>
      <c r="AC520" s="4"/>
      <c r="AD520" s="4"/>
      <c r="AE520" s="4"/>
      <c r="AF520" s="7"/>
      <c r="AG520" s="7"/>
    </row>
    <row r="521">
      <c r="A521" s="7"/>
      <c r="B521" s="7"/>
      <c r="C521" s="7"/>
      <c r="D521" s="7"/>
      <c r="E521" s="4"/>
      <c r="F521" s="4"/>
      <c r="G521" s="7"/>
      <c r="H521" s="4"/>
      <c r="I521" s="7"/>
      <c r="J521" s="4"/>
      <c r="K521" s="4"/>
      <c r="L521" s="4"/>
      <c r="M521" s="7"/>
      <c r="N521" s="7"/>
      <c r="O521" s="7"/>
      <c r="P521" s="4"/>
      <c r="Q521" s="4"/>
      <c r="R521" s="4"/>
      <c r="S521" s="4"/>
      <c r="T521" s="4"/>
      <c r="U521" s="4"/>
      <c r="V521" s="4"/>
      <c r="W521" s="4"/>
      <c r="X521" s="4"/>
      <c r="Y521" s="4"/>
      <c r="Z521" s="4"/>
      <c r="AA521" s="4"/>
      <c r="AB521" s="4"/>
      <c r="AC521" s="4"/>
      <c r="AD521" s="4"/>
      <c r="AE521" s="4"/>
      <c r="AF521" s="7"/>
      <c r="AG521" s="7"/>
    </row>
    <row r="522">
      <c r="A522" s="7"/>
      <c r="B522" s="7"/>
      <c r="C522" s="7"/>
      <c r="D522" s="7"/>
      <c r="E522" s="4"/>
      <c r="F522" s="4"/>
      <c r="G522" s="7"/>
      <c r="H522" s="4"/>
      <c r="I522" s="7"/>
      <c r="J522" s="4"/>
      <c r="K522" s="4"/>
      <c r="L522" s="4"/>
      <c r="M522" s="7"/>
      <c r="N522" s="7"/>
      <c r="O522" s="7"/>
      <c r="P522" s="4"/>
      <c r="Q522" s="4"/>
      <c r="R522" s="4"/>
      <c r="S522" s="4"/>
      <c r="T522" s="4"/>
      <c r="U522" s="4"/>
      <c r="V522" s="4"/>
      <c r="W522" s="4"/>
      <c r="X522" s="4"/>
      <c r="Y522" s="4"/>
      <c r="Z522" s="4"/>
      <c r="AA522" s="4"/>
      <c r="AB522" s="4"/>
      <c r="AC522" s="4"/>
      <c r="AD522" s="4"/>
      <c r="AE522" s="4"/>
      <c r="AF522" s="7"/>
      <c r="AG522" s="7"/>
    </row>
    <row r="523">
      <c r="A523" s="7"/>
      <c r="B523" s="7"/>
      <c r="C523" s="7"/>
      <c r="D523" s="7"/>
      <c r="E523" s="4"/>
      <c r="F523" s="4"/>
      <c r="G523" s="7"/>
      <c r="H523" s="7"/>
      <c r="I523" s="7"/>
      <c r="J523" s="4"/>
      <c r="K523" s="4"/>
      <c r="L523" s="4"/>
      <c r="M523" s="7"/>
      <c r="N523" s="7"/>
      <c r="O523" s="7"/>
      <c r="P523" s="7"/>
      <c r="Q523" s="4"/>
      <c r="R523" s="4"/>
      <c r="S523" s="4"/>
      <c r="T523" s="4"/>
      <c r="U523" s="4"/>
      <c r="V523" s="4"/>
      <c r="W523" s="4"/>
      <c r="X523" s="4"/>
      <c r="Y523" s="4"/>
      <c r="Z523" s="4"/>
      <c r="AA523" s="4"/>
      <c r="AB523" s="4"/>
      <c r="AC523" s="4"/>
      <c r="AD523" s="4"/>
      <c r="AE523" s="4"/>
      <c r="AF523" s="7"/>
      <c r="AG523" s="7"/>
    </row>
    <row r="524">
      <c r="A524" s="7"/>
      <c r="B524" s="7"/>
      <c r="C524" s="7"/>
      <c r="D524" s="7"/>
      <c r="E524" s="4"/>
      <c r="F524" s="4"/>
      <c r="G524" s="7"/>
      <c r="H524" s="7"/>
      <c r="I524" s="7"/>
      <c r="J524" s="4"/>
      <c r="K524" s="4"/>
      <c r="L524" s="4"/>
      <c r="M524" s="7"/>
      <c r="N524" s="7"/>
      <c r="O524" s="7"/>
      <c r="P524" s="7"/>
      <c r="Q524" s="4"/>
      <c r="R524" s="4"/>
      <c r="S524" s="4"/>
      <c r="T524" s="4"/>
      <c r="U524" s="4"/>
      <c r="V524" s="4"/>
      <c r="W524" s="4"/>
      <c r="X524" s="4"/>
      <c r="Y524" s="4"/>
      <c r="Z524" s="4"/>
      <c r="AA524" s="4"/>
      <c r="AB524" s="4"/>
      <c r="AC524" s="4"/>
      <c r="AD524" s="4"/>
      <c r="AE524" s="4"/>
      <c r="AF524" s="7"/>
      <c r="AG524" s="4"/>
    </row>
    <row r="525">
      <c r="A525" s="7"/>
      <c r="B525" s="7"/>
      <c r="C525" s="7"/>
      <c r="D525" s="7"/>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7"/>
    </row>
    <row r="526">
      <c r="A526" s="7"/>
      <c r="B526" s="7"/>
      <c r="C526" s="7"/>
      <c r="D526" s="7"/>
      <c r="E526" s="4"/>
      <c r="F526" s="4"/>
      <c r="G526" s="7"/>
      <c r="H526" s="4"/>
      <c r="I526" s="7"/>
      <c r="J526" s="4"/>
      <c r="K526" s="4"/>
      <c r="L526" s="4"/>
      <c r="M526" s="7"/>
      <c r="N526" s="7"/>
      <c r="O526" s="7"/>
      <c r="P526" s="4"/>
      <c r="Q526" s="4"/>
      <c r="R526" s="4"/>
      <c r="S526" s="4"/>
      <c r="T526" s="4"/>
      <c r="U526" s="4"/>
      <c r="V526" s="4"/>
      <c r="W526" s="4"/>
      <c r="X526" s="4"/>
      <c r="Y526" s="4"/>
      <c r="Z526" s="4"/>
      <c r="AA526" s="4"/>
      <c r="AB526" s="4"/>
      <c r="AC526" s="4"/>
      <c r="AD526" s="4"/>
      <c r="AE526" s="4"/>
      <c r="AF526" s="7"/>
      <c r="AG526" s="7"/>
    </row>
    <row r="527">
      <c r="A527" s="7"/>
      <c r="B527" s="7"/>
      <c r="C527" s="7"/>
      <c r="D527" s="7"/>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7"/>
      <c r="AG527" s="7"/>
    </row>
    <row r="528">
      <c r="A528" s="7"/>
      <c r="B528" s="7"/>
      <c r="C528" s="7"/>
      <c r="D528" s="7"/>
      <c r="E528" s="4"/>
      <c r="F528" s="4"/>
      <c r="G528" s="4"/>
      <c r="H528" s="4"/>
      <c r="I528" s="7"/>
      <c r="J528" s="4"/>
      <c r="K528" s="4"/>
      <c r="L528" s="4"/>
      <c r="M528" s="4"/>
      <c r="N528" s="7"/>
      <c r="O528" s="4"/>
      <c r="P528" s="4"/>
      <c r="Q528" s="4"/>
      <c r="R528" s="4"/>
      <c r="S528" s="4"/>
      <c r="T528" s="4"/>
      <c r="U528" s="4"/>
      <c r="V528" s="4"/>
      <c r="W528" s="4"/>
      <c r="X528" s="4"/>
      <c r="Y528" s="4"/>
      <c r="Z528" s="4"/>
      <c r="AA528" s="4"/>
      <c r="AB528" s="4"/>
      <c r="AC528" s="4"/>
      <c r="AD528" s="4"/>
      <c r="AE528" s="4"/>
      <c r="AF528" s="7"/>
      <c r="AG528" s="7"/>
    </row>
    <row r="529">
      <c r="A529" s="7"/>
      <c r="B529" s="7"/>
      <c r="C529" s="7"/>
      <c r="D529" s="7"/>
      <c r="E529" s="4"/>
      <c r="F529" s="4"/>
      <c r="G529" s="4"/>
      <c r="H529" s="4"/>
      <c r="I529" s="7"/>
      <c r="J529" s="4"/>
      <c r="K529" s="4"/>
      <c r="L529" s="4"/>
      <c r="M529" s="4"/>
      <c r="N529" s="7"/>
      <c r="O529" s="4"/>
      <c r="P529" s="4"/>
      <c r="Q529" s="4"/>
      <c r="R529" s="4"/>
      <c r="S529" s="4"/>
      <c r="T529" s="4"/>
      <c r="U529" s="4"/>
      <c r="V529" s="4"/>
      <c r="W529" s="4"/>
      <c r="X529" s="4"/>
      <c r="Y529" s="4"/>
      <c r="Z529" s="4"/>
      <c r="AA529" s="4"/>
      <c r="AB529" s="4"/>
      <c r="AC529" s="4"/>
      <c r="AD529" s="4"/>
      <c r="AE529" s="4"/>
      <c r="AF529" s="7"/>
      <c r="AG529" s="7"/>
    </row>
    <row r="530">
      <c r="A530" s="7"/>
      <c r="B530" s="7"/>
      <c r="C530" s="7"/>
      <c r="D530" s="7"/>
      <c r="E530" s="4"/>
      <c r="F530" s="4"/>
      <c r="G530" s="7"/>
      <c r="H530" s="4"/>
      <c r="I530" s="7"/>
      <c r="J530" s="4"/>
      <c r="K530" s="4"/>
      <c r="L530" s="4"/>
      <c r="M530" s="7"/>
      <c r="N530" s="7"/>
      <c r="O530" s="7"/>
      <c r="P530" s="4"/>
      <c r="Q530" s="4"/>
      <c r="R530" s="4"/>
      <c r="S530" s="4"/>
      <c r="T530" s="4"/>
      <c r="U530" s="4"/>
      <c r="V530" s="4"/>
      <c r="W530" s="4"/>
      <c r="X530" s="4"/>
      <c r="Y530" s="4"/>
      <c r="Z530" s="4"/>
      <c r="AA530" s="4"/>
      <c r="AB530" s="4"/>
      <c r="AC530" s="4"/>
      <c r="AD530" s="4"/>
      <c r="AE530" s="4"/>
      <c r="AF530" s="7"/>
      <c r="AG530" s="7"/>
    </row>
    <row r="531">
      <c r="A531" s="7"/>
      <c r="B531" s="7"/>
      <c r="C531" s="7"/>
      <c r="D531" s="7"/>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7"/>
      <c r="AG531" s="7"/>
    </row>
    <row r="532">
      <c r="A532" s="7"/>
      <c r="B532" s="7"/>
      <c r="C532" s="7"/>
      <c r="D532" s="7"/>
      <c r="E532" s="4"/>
      <c r="F532" s="4"/>
      <c r="G532" s="7"/>
      <c r="H532" s="7"/>
      <c r="I532" s="7"/>
      <c r="J532" s="4"/>
      <c r="K532" s="4"/>
      <c r="L532" s="4"/>
      <c r="M532" s="7"/>
      <c r="N532" s="7"/>
      <c r="O532" s="7"/>
      <c r="P532" s="7"/>
      <c r="Q532" s="4"/>
      <c r="R532" s="4"/>
      <c r="S532" s="4"/>
      <c r="T532" s="4"/>
      <c r="U532" s="4"/>
      <c r="V532" s="4"/>
      <c r="W532" s="4"/>
      <c r="X532" s="4"/>
      <c r="Y532" s="4"/>
      <c r="Z532" s="4"/>
      <c r="AA532" s="4"/>
      <c r="AB532" s="4"/>
      <c r="AC532" s="4"/>
      <c r="AD532" s="4"/>
      <c r="AE532" s="4"/>
      <c r="AF532" s="7"/>
      <c r="AG532" s="7"/>
    </row>
    <row r="533">
      <c r="A533" s="7"/>
      <c r="B533" s="7"/>
      <c r="C533" s="7"/>
      <c r="D533" s="7"/>
      <c r="E533" s="4"/>
      <c r="F533" s="4"/>
      <c r="G533" s="7"/>
      <c r="H533" s="7"/>
      <c r="I533" s="7"/>
      <c r="J533" s="4"/>
      <c r="K533" s="4"/>
      <c r="L533" s="4"/>
      <c r="M533" s="7"/>
      <c r="N533" s="7"/>
      <c r="O533" s="7"/>
      <c r="P533" s="7"/>
      <c r="Q533" s="4"/>
      <c r="R533" s="4"/>
      <c r="S533" s="4"/>
      <c r="T533" s="4"/>
      <c r="U533" s="4"/>
      <c r="V533" s="4"/>
      <c r="W533" s="4"/>
      <c r="X533" s="4"/>
      <c r="Y533" s="4"/>
      <c r="Z533" s="4"/>
      <c r="AA533" s="4"/>
      <c r="AB533" s="4"/>
      <c r="AC533" s="4"/>
      <c r="AD533" s="4"/>
      <c r="AE533" s="4"/>
      <c r="AF533" s="7"/>
      <c r="AG533" s="7"/>
    </row>
    <row r="534">
      <c r="A534" s="7"/>
      <c r="B534" s="7"/>
      <c r="C534" s="7"/>
      <c r="D534" s="7"/>
      <c r="E534" s="4"/>
      <c r="F534" s="4"/>
      <c r="G534" s="7"/>
      <c r="H534" s="4"/>
      <c r="I534" s="7"/>
      <c r="J534" s="4"/>
      <c r="K534" s="4"/>
      <c r="L534" s="4"/>
      <c r="M534" s="4"/>
      <c r="N534" s="7"/>
      <c r="O534" s="4"/>
      <c r="P534" s="4"/>
      <c r="Q534" s="4"/>
      <c r="R534" s="4"/>
      <c r="S534" s="4"/>
      <c r="T534" s="4"/>
      <c r="U534" s="4"/>
      <c r="V534" s="4"/>
      <c r="W534" s="4"/>
      <c r="X534" s="4"/>
      <c r="Y534" s="4"/>
      <c r="Z534" s="4"/>
      <c r="AA534" s="4"/>
      <c r="AB534" s="4"/>
      <c r="AC534" s="4"/>
      <c r="AD534" s="4"/>
      <c r="AE534" s="4"/>
      <c r="AF534" s="4"/>
      <c r="AG534" s="7"/>
    </row>
    <row r="535">
      <c r="A535" s="7"/>
      <c r="B535" s="7"/>
      <c r="C535" s="7"/>
      <c r="D535" s="7"/>
      <c r="E535" s="4"/>
      <c r="F535" s="4"/>
      <c r="G535" s="7"/>
      <c r="H535" s="4"/>
      <c r="I535" s="7"/>
      <c r="J535" s="4"/>
      <c r="K535" s="4"/>
      <c r="L535" s="4"/>
      <c r="M535" s="4"/>
      <c r="N535" s="7"/>
      <c r="O535" s="4"/>
      <c r="P535" s="4"/>
      <c r="Q535" s="4"/>
      <c r="R535" s="4"/>
      <c r="S535" s="4"/>
      <c r="T535" s="4"/>
      <c r="U535" s="4"/>
      <c r="V535" s="4"/>
      <c r="W535" s="4"/>
      <c r="X535" s="4"/>
      <c r="Y535" s="4"/>
      <c r="Z535" s="4"/>
      <c r="AA535" s="4"/>
      <c r="AB535" s="4"/>
      <c r="AC535" s="4"/>
      <c r="AD535" s="4"/>
      <c r="AE535" s="4"/>
      <c r="AF535" s="4"/>
      <c r="AG535" s="7"/>
    </row>
    <row r="536">
      <c r="A536" s="7"/>
      <c r="B536" s="7"/>
      <c r="C536" s="7"/>
      <c r="D536" s="7"/>
      <c r="E536" s="4"/>
      <c r="F536" s="4"/>
      <c r="G536" s="7"/>
      <c r="H536" s="4"/>
      <c r="I536" s="7"/>
      <c r="J536" s="4"/>
      <c r="K536" s="4"/>
      <c r="L536" s="4"/>
      <c r="M536" s="7"/>
      <c r="N536" s="7"/>
      <c r="O536" s="7"/>
      <c r="P536" s="4"/>
      <c r="Q536" s="4"/>
      <c r="R536" s="4"/>
      <c r="S536" s="4"/>
      <c r="T536" s="4"/>
      <c r="U536" s="4"/>
      <c r="V536" s="4"/>
      <c r="W536" s="4"/>
      <c r="X536" s="4"/>
      <c r="Y536" s="4"/>
      <c r="Z536" s="4"/>
      <c r="AA536" s="4"/>
      <c r="AB536" s="4"/>
      <c r="AC536" s="4"/>
      <c r="AD536" s="4"/>
      <c r="AE536" s="4"/>
      <c r="AF536" s="4"/>
      <c r="AG536" s="7"/>
    </row>
    <row r="537">
      <c r="A537" s="7"/>
      <c r="B537" s="7"/>
      <c r="C537" s="7"/>
      <c r="D537" s="7"/>
      <c r="E537" s="4"/>
      <c r="F537" s="4"/>
      <c r="G537" s="7"/>
      <c r="H537" s="4"/>
      <c r="I537" s="7"/>
      <c r="J537" s="4"/>
      <c r="K537" s="4"/>
      <c r="L537" s="4"/>
      <c r="M537" s="7"/>
      <c r="N537" s="7"/>
      <c r="O537" s="7"/>
      <c r="P537" s="4"/>
      <c r="Q537" s="4"/>
      <c r="R537" s="4"/>
      <c r="S537" s="4"/>
      <c r="T537" s="4"/>
      <c r="U537" s="4"/>
      <c r="V537" s="4"/>
      <c r="W537" s="4"/>
      <c r="X537" s="4"/>
      <c r="Y537" s="4"/>
      <c r="Z537" s="4"/>
      <c r="AA537" s="4"/>
      <c r="AB537" s="4"/>
      <c r="AC537" s="4"/>
      <c r="AD537" s="4"/>
      <c r="AE537" s="4"/>
      <c r="AF537" s="4"/>
      <c r="AG537" s="7"/>
    </row>
    <row r="538">
      <c r="A538" s="7"/>
      <c r="B538" s="7"/>
      <c r="C538" s="7"/>
      <c r="D538" s="7"/>
      <c r="E538" s="4"/>
      <c r="F538" s="4"/>
      <c r="G538" s="4"/>
      <c r="H538" s="4"/>
      <c r="I538" s="7"/>
      <c r="J538" s="4"/>
      <c r="K538" s="4"/>
      <c r="L538" s="4"/>
      <c r="M538" s="4"/>
      <c r="N538" s="7"/>
      <c r="O538" s="4"/>
      <c r="P538" s="4"/>
      <c r="Q538" s="4"/>
      <c r="R538" s="4"/>
      <c r="S538" s="4"/>
      <c r="T538" s="4"/>
      <c r="U538" s="4"/>
      <c r="V538" s="4"/>
      <c r="W538" s="4"/>
      <c r="X538" s="4"/>
      <c r="Y538" s="4"/>
      <c r="Z538" s="4"/>
      <c r="AA538" s="4"/>
      <c r="AB538" s="4"/>
      <c r="AC538" s="4"/>
      <c r="AD538" s="4"/>
      <c r="AE538" s="4"/>
      <c r="AF538" s="4"/>
      <c r="AG538" s="7"/>
    </row>
    <row r="539">
      <c r="A539" s="7"/>
      <c r="B539" s="7"/>
      <c r="C539" s="7"/>
      <c r="D539" s="7"/>
      <c r="E539" s="4"/>
      <c r="F539" s="4"/>
      <c r="G539" s="7"/>
      <c r="H539" s="4"/>
      <c r="I539" s="7"/>
      <c r="J539" s="4"/>
      <c r="K539" s="4"/>
      <c r="L539" s="4"/>
      <c r="M539" s="7"/>
      <c r="N539" s="7"/>
      <c r="O539" s="7"/>
      <c r="P539" s="4"/>
      <c r="Q539" s="4"/>
      <c r="R539" s="4"/>
      <c r="S539" s="4"/>
      <c r="T539" s="4"/>
      <c r="U539" s="4"/>
      <c r="V539" s="4"/>
      <c r="W539" s="4"/>
      <c r="X539" s="4"/>
      <c r="Y539" s="4"/>
      <c r="Z539" s="4"/>
      <c r="AA539" s="4"/>
      <c r="AB539" s="4"/>
      <c r="AC539" s="4"/>
      <c r="AD539" s="4"/>
      <c r="AE539" s="4"/>
      <c r="AF539" s="4"/>
      <c r="AG539" s="7"/>
    </row>
    <row r="540">
      <c r="A540" s="7"/>
      <c r="B540" s="7"/>
      <c r="C540" s="7"/>
      <c r="D540" s="7"/>
      <c r="E540" s="4"/>
      <c r="F540" s="4"/>
      <c r="G540" s="7"/>
      <c r="H540" s="4"/>
      <c r="I540" s="7"/>
      <c r="J540" s="4"/>
      <c r="K540" s="4"/>
      <c r="L540" s="4"/>
      <c r="M540" s="7"/>
      <c r="N540" s="7"/>
      <c r="O540" s="7"/>
      <c r="P540" s="4"/>
      <c r="Q540" s="4"/>
      <c r="R540" s="4"/>
      <c r="S540" s="4"/>
      <c r="T540" s="4"/>
      <c r="U540" s="4"/>
      <c r="V540" s="7"/>
      <c r="W540" s="7"/>
      <c r="X540" s="4"/>
      <c r="Y540" s="4"/>
      <c r="Z540" s="4"/>
      <c r="AA540" s="4"/>
      <c r="AB540" s="7"/>
      <c r="AC540" s="7"/>
      <c r="AD540" s="4"/>
      <c r="AE540" s="4"/>
      <c r="AF540" s="4"/>
      <c r="AG540" s="7"/>
    </row>
    <row r="541">
      <c r="A541" s="7"/>
      <c r="B541" s="7"/>
      <c r="C541" s="7"/>
      <c r="D541" s="7"/>
      <c r="E541" s="4"/>
      <c r="F541" s="4"/>
      <c r="G541" s="4"/>
      <c r="H541" s="4"/>
      <c r="I541" s="7"/>
      <c r="J541" s="4"/>
      <c r="K541" s="4"/>
      <c r="L541" s="4"/>
      <c r="M541" s="7"/>
      <c r="N541" s="7"/>
      <c r="O541" s="4"/>
      <c r="P541" s="4"/>
      <c r="Q541" s="4"/>
      <c r="R541" s="4"/>
      <c r="S541" s="4"/>
      <c r="T541" s="4"/>
      <c r="U541" s="4"/>
      <c r="V541" s="4"/>
      <c r="W541" s="4"/>
      <c r="X541" s="4"/>
      <c r="Y541" s="4"/>
      <c r="Z541" s="4"/>
      <c r="AA541" s="4"/>
      <c r="AB541" s="4"/>
      <c r="AC541" s="4"/>
      <c r="AD541" s="4"/>
      <c r="AE541" s="4"/>
      <c r="AF541" s="4"/>
      <c r="AG541" s="7"/>
    </row>
    <row r="542">
      <c r="A542" s="7"/>
      <c r="B542" s="7"/>
      <c r="C542" s="7"/>
      <c r="D542" s="7"/>
      <c r="E542" s="4"/>
      <c r="F542" s="4"/>
      <c r="G542" s="7"/>
      <c r="H542" s="4"/>
      <c r="I542" s="7"/>
      <c r="J542" s="7"/>
      <c r="K542" s="7"/>
      <c r="L542" s="4"/>
      <c r="M542" s="7"/>
      <c r="N542" s="7"/>
      <c r="O542" s="7"/>
      <c r="P542" s="4"/>
      <c r="Q542" s="4"/>
      <c r="R542" s="4"/>
      <c r="S542" s="4"/>
      <c r="T542" s="4"/>
      <c r="U542" s="4"/>
      <c r="V542" s="4"/>
      <c r="W542" s="4"/>
      <c r="X542" s="4"/>
      <c r="Y542" s="4"/>
      <c r="Z542" s="4"/>
      <c r="AA542" s="4"/>
      <c r="AB542" s="4"/>
      <c r="AC542" s="4"/>
      <c r="AD542" s="4"/>
      <c r="AE542" s="4"/>
      <c r="AF542" s="4"/>
      <c r="AG542" s="7"/>
    </row>
    <row r="543">
      <c r="A543" s="7"/>
      <c r="B543" s="7"/>
      <c r="C543" s="7"/>
      <c r="D543" s="7"/>
      <c r="E543" s="4"/>
      <c r="F543" s="4"/>
      <c r="G543" s="4"/>
      <c r="H543" s="4"/>
      <c r="I543" s="7"/>
      <c r="J543" s="4"/>
      <c r="K543" s="4"/>
      <c r="L543" s="4"/>
      <c r="M543" s="7"/>
      <c r="N543" s="7"/>
      <c r="O543" s="4"/>
      <c r="P543" s="4"/>
      <c r="Q543" s="4"/>
      <c r="R543" s="4"/>
      <c r="S543" s="4"/>
      <c r="T543" s="4"/>
      <c r="U543" s="4"/>
      <c r="V543" s="4"/>
      <c r="W543" s="4"/>
      <c r="X543" s="4"/>
      <c r="Y543" s="4"/>
      <c r="Z543" s="4"/>
      <c r="AA543" s="4"/>
      <c r="AB543" s="4"/>
      <c r="AC543" s="4"/>
      <c r="AD543" s="4"/>
      <c r="AE543" s="4"/>
      <c r="AF543" s="4"/>
      <c r="AG543" s="7"/>
    </row>
    <row r="544">
      <c r="A544" s="7"/>
      <c r="B544" s="7"/>
      <c r="C544" s="7"/>
      <c r="D544" s="7"/>
      <c r="E544" s="4"/>
      <c r="F544" s="4"/>
      <c r="G544" s="7"/>
      <c r="H544" s="4"/>
      <c r="I544" s="7"/>
      <c r="J544" s="4"/>
      <c r="K544" s="4"/>
      <c r="L544" s="4"/>
      <c r="M544" s="7"/>
      <c r="N544" s="7"/>
      <c r="O544" s="4"/>
      <c r="P544" s="4"/>
      <c r="Q544" s="4"/>
      <c r="R544" s="4"/>
      <c r="S544" s="4"/>
      <c r="T544" s="4"/>
      <c r="U544" s="4"/>
      <c r="V544" s="4"/>
      <c r="W544" s="4"/>
      <c r="X544" s="4"/>
      <c r="Y544" s="4"/>
      <c r="Z544" s="4"/>
      <c r="AA544" s="4"/>
      <c r="AB544" s="4"/>
      <c r="AC544" s="4"/>
      <c r="AD544" s="4"/>
      <c r="AE544" s="4"/>
      <c r="AF544" s="4"/>
      <c r="AG544" s="7"/>
    </row>
    <row r="545">
      <c r="A545" s="7"/>
      <c r="B545" s="7"/>
      <c r="C545" s="7"/>
      <c r="D545" s="7"/>
      <c r="E545" s="4"/>
      <c r="F545" s="4"/>
      <c r="G545" s="7"/>
      <c r="H545" s="4"/>
      <c r="I545" s="7"/>
      <c r="J545" s="4"/>
      <c r="K545" s="4"/>
      <c r="L545" s="4"/>
      <c r="M545" s="7"/>
      <c r="N545" s="7"/>
      <c r="O545" s="4"/>
      <c r="P545" s="4"/>
      <c r="Q545" s="4"/>
      <c r="R545" s="4"/>
      <c r="S545" s="4"/>
      <c r="T545" s="4"/>
      <c r="U545" s="4"/>
      <c r="V545" s="4"/>
      <c r="W545" s="4"/>
      <c r="X545" s="4"/>
      <c r="Y545" s="4"/>
      <c r="Z545" s="4"/>
      <c r="AA545" s="4"/>
      <c r="AB545" s="4"/>
      <c r="AC545" s="4"/>
      <c r="AD545" s="4"/>
      <c r="AE545" s="4"/>
      <c r="AF545" s="4"/>
      <c r="AG545" s="7"/>
    </row>
    <row r="546">
      <c r="A546" s="7"/>
      <c r="B546" s="7"/>
      <c r="C546" s="7"/>
      <c r="D546" s="7"/>
      <c r="E546" s="4"/>
      <c r="F546" s="4"/>
      <c r="G546" s="7"/>
      <c r="H546" s="4"/>
      <c r="I546" s="7"/>
      <c r="J546" s="4"/>
      <c r="K546" s="4"/>
      <c r="L546" s="4"/>
      <c r="M546" s="7"/>
      <c r="N546" s="7"/>
      <c r="O546" s="4"/>
      <c r="P546" s="4"/>
      <c r="Q546" s="4"/>
      <c r="R546" s="4"/>
      <c r="S546" s="4"/>
      <c r="T546" s="4"/>
      <c r="U546" s="4"/>
      <c r="V546" s="4"/>
      <c r="W546" s="4"/>
      <c r="X546" s="4"/>
      <c r="Y546" s="4"/>
      <c r="Z546" s="4"/>
      <c r="AA546" s="4"/>
      <c r="AB546" s="4"/>
      <c r="AC546" s="4"/>
      <c r="AD546" s="4"/>
      <c r="AE546" s="4"/>
      <c r="AF546" s="4"/>
      <c r="AG546" s="7"/>
    </row>
    <row r="547">
      <c r="A547" s="7"/>
      <c r="B547" s="7"/>
      <c r="C547" s="7"/>
      <c r="D547" s="7"/>
      <c r="E547" s="4"/>
      <c r="F547" s="4"/>
      <c r="G547" s="4"/>
      <c r="H547" s="7"/>
      <c r="I547" s="7"/>
      <c r="J547" s="4"/>
      <c r="K547" s="4"/>
      <c r="L547" s="4"/>
      <c r="M547" s="7"/>
      <c r="N547" s="7"/>
      <c r="O547" s="7"/>
      <c r="P547" s="7"/>
      <c r="Q547" s="4"/>
      <c r="R547" s="4"/>
      <c r="S547" s="4"/>
      <c r="T547" s="4"/>
      <c r="U547" s="4"/>
      <c r="V547" s="4"/>
      <c r="W547" s="4"/>
      <c r="X547" s="4"/>
      <c r="Y547" s="4"/>
      <c r="Z547" s="4"/>
      <c r="AA547" s="4"/>
      <c r="AB547" s="4"/>
      <c r="AC547" s="4"/>
      <c r="AD547" s="4"/>
      <c r="AE547" s="4"/>
      <c r="AF547" s="4"/>
      <c r="AG547" s="7"/>
    </row>
    <row r="548">
      <c r="A548" s="7"/>
      <c r="B548" s="7"/>
      <c r="C548" s="7"/>
      <c r="D548" s="7"/>
      <c r="E548" s="4"/>
      <c r="F548" s="4"/>
      <c r="G548" s="4"/>
      <c r="H548" s="4"/>
      <c r="I548" s="7"/>
      <c r="J548" s="4"/>
      <c r="K548" s="4"/>
      <c r="L548" s="4"/>
      <c r="M548" s="7"/>
      <c r="N548" s="7"/>
      <c r="O548" s="7"/>
      <c r="P548" s="4"/>
      <c r="Q548" s="4"/>
      <c r="R548" s="4"/>
      <c r="S548" s="4"/>
      <c r="T548" s="4"/>
      <c r="U548" s="4"/>
      <c r="V548" s="4"/>
      <c r="W548" s="4"/>
      <c r="X548" s="4"/>
      <c r="Y548" s="4"/>
      <c r="Z548" s="4"/>
      <c r="AA548" s="4"/>
      <c r="AB548" s="4"/>
      <c r="AC548" s="4"/>
      <c r="AD548" s="4"/>
      <c r="AE548" s="4"/>
      <c r="AF548" s="4"/>
      <c r="AG548" s="7"/>
    </row>
    <row r="549">
      <c r="A549" s="7"/>
      <c r="B549" s="7"/>
      <c r="C549" s="7"/>
      <c r="D549" s="7"/>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7"/>
    </row>
    <row r="550">
      <c r="A550" s="7"/>
      <c r="B550" s="7"/>
      <c r="C550" s="7"/>
      <c r="D550" s="7"/>
      <c r="E550" s="4"/>
      <c r="F550" s="4"/>
      <c r="G550" s="7"/>
      <c r="H550" s="7"/>
      <c r="I550" s="7"/>
      <c r="J550" s="4"/>
      <c r="K550" s="4"/>
      <c r="L550" s="4"/>
      <c r="M550" s="7"/>
      <c r="N550" s="7"/>
      <c r="O550" s="7"/>
      <c r="P550" s="4"/>
      <c r="Q550" s="4"/>
      <c r="R550" s="4"/>
      <c r="S550" s="4"/>
      <c r="T550" s="4"/>
      <c r="U550" s="4"/>
      <c r="V550" s="4"/>
      <c r="W550" s="4"/>
      <c r="X550" s="4"/>
      <c r="Y550" s="4"/>
      <c r="Z550" s="4"/>
      <c r="AA550" s="4"/>
      <c r="AB550" s="4"/>
      <c r="AC550" s="4"/>
      <c r="AD550" s="4"/>
      <c r="AE550" s="4"/>
      <c r="AF550" s="4"/>
      <c r="AG550" s="7"/>
    </row>
    <row r="551">
      <c r="A551" s="7"/>
      <c r="B551" s="7"/>
      <c r="C551" s="7"/>
      <c r="D551" s="7"/>
      <c r="E551" s="4"/>
      <c r="F551" s="4"/>
      <c r="G551" s="4"/>
      <c r="H551" s="4"/>
      <c r="I551" s="7"/>
      <c r="J551" s="4"/>
      <c r="K551" s="4"/>
      <c r="L551" s="4"/>
      <c r="M551" s="7"/>
      <c r="N551" s="7"/>
      <c r="O551" s="4"/>
      <c r="P551" s="4"/>
      <c r="Q551" s="4"/>
      <c r="R551" s="4"/>
      <c r="S551" s="4"/>
      <c r="T551" s="4"/>
      <c r="U551" s="4"/>
      <c r="V551" s="4"/>
      <c r="W551" s="4"/>
      <c r="X551" s="4"/>
      <c r="Y551" s="4"/>
      <c r="Z551" s="4"/>
      <c r="AA551" s="4"/>
      <c r="AB551" s="4"/>
      <c r="AC551" s="4"/>
      <c r="AD551" s="4"/>
      <c r="AE551" s="4"/>
      <c r="AF551" s="4"/>
      <c r="AG551" s="7"/>
    </row>
    <row r="552">
      <c r="A552" s="7"/>
      <c r="B552" s="7"/>
      <c r="C552" s="7"/>
      <c r="D552" s="7"/>
      <c r="E552" s="4"/>
      <c r="F552" s="4"/>
      <c r="G552" s="7"/>
      <c r="H552" s="4"/>
      <c r="I552" s="7"/>
      <c r="J552" s="4"/>
      <c r="K552" s="4"/>
      <c r="L552" s="4"/>
      <c r="M552" s="7"/>
      <c r="N552" s="7"/>
      <c r="O552" s="7"/>
      <c r="P552" s="4"/>
      <c r="Q552" s="4"/>
      <c r="R552" s="4"/>
      <c r="S552" s="4"/>
      <c r="T552" s="4"/>
      <c r="U552" s="4"/>
      <c r="V552" s="4"/>
      <c r="W552" s="4"/>
      <c r="X552" s="4"/>
      <c r="Y552" s="4"/>
      <c r="Z552" s="4"/>
      <c r="AA552" s="4"/>
      <c r="AB552" s="4"/>
      <c r="AC552" s="4"/>
      <c r="AD552" s="4"/>
      <c r="AE552" s="4"/>
      <c r="AF552" s="4"/>
      <c r="AG552" s="7"/>
    </row>
    <row r="553">
      <c r="A553" s="7"/>
      <c r="B553" s="7"/>
      <c r="C553" s="7"/>
      <c r="D553" s="7"/>
      <c r="E553" s="4"/>
      <c r="F553" s="4"/>
      <c r="G553" s="7"/>
      <c r="H553" s="4"/>
      <c r="I553" s="7"/>
      <c r="J553" s="4"/>
      <c r="K553" s="4"/>
      <c r="L553" s="4"/>
      <c r="M553" s="7"/>
      <c r="N553" s="7"/>
      <c r="O553" s="7"/>
      <c r="P553" s="4"/>
      <c r="Q553" s="4"/>
      <c r="R553" s="4"/>
      <c r="S553" s="4"/>
      <c r="T553" s="4"/>
      <c r="U553" s="4"/>
      <c r="V553" s="4"/>
      <c r="W553" s="4"/>
      <c r="X553" s="4"/>
      <c r="Y553" s="4"/>
      <c r="Z553" s="4"/>
      <c r="AA553" s="4"/>
      <c r="AB553" s="4"/>
      <c r="AC553" s="4"/>
      <c r="AD553" s="4"/>
      <c r="AE553" s="4"/>
      <c r="AF553" s="4"/>
      <c r="AG553" s="7"/>
    </row>
    <row r="554">
      <c r="A554" s="7"/>
      <c r="B554" s="7"/>
      <c r="C554" s="7"/>
      <c r="D554" s="7"/>
      <c r="E554" s="4"/>
      <c r="F554" s="4"/>
      <c r="G554" s="7"/>
      <c r="H554" s="4"/>
      <c r="I554" s="7"/>
      <c r="J554" s="4"/>
      <c r="K554" s="4"/>
      <c r="L554" s="4"/>
      <c r="M554" s="7"/>
      <c r="N554" s="7"/>
      <c r="O554" s="7"/>
      <c r="P554" s="4"/>
      <c r="Q554" s="4"/>
      <c r="R554" s="4"/>
      <c r="S554" s="4"/>
      <c r="T554" s="4"/>
      <c r="U554" s="4"/>
      <c r="V554" s="4"/>
      <c r="W554" s="4"/>
      <c r="X554" s="4"/>
      <c r="Y554" s="4"/>
      <c r="Z554" s="4"/>
      <c r="AA554" s="4"/>
      <c r="AB554" s="4"/>
      <c r="AC554" s="4"/>
      <c r="AD554" s="4"/>
      <c r="AE554" s="4"/>
      <c r="AF554" s="4"/>
      <c r="AG554" s="7"/>
    </row>
    <row r="555">
      <c r="A555" s="7"/>
      <c r="B555" s="7"/>
      <c r="C555" s="7"/>
      <c r="D555" s="7"/>
      <c r="E555" s="4"/>
      <c r="F555" s="4"/>
      <c r="G555" s="4"/>
      <c r="H555" s="4"/>
      <c r="I555" s="7"/>
      <c r="J555" s="4"/>
      <c r="K555" s="4"/>
      <c r="L555" s="4"/>
      <c r="M555" s="4"/>
      <c r="N555" s="7"/>
      <c r="O555" s="4"/>
      <c r="P555" s="4"/>
      <c r="Q555" s="4"/>
      <c r="R555" s="4"/>
      <c r="S555" s="4"/>
      <c r="T555" s="4"/>
      <c r="U555" s="4"/>
      <c r="V555" s="4"/>
      <c r="W555" s="4"/>
      <c r="X555" s="4"/>
      <c r="Y555" s="4"/>
      <c r="Z555" s="4"/>
      <c r="AA555" s="4"/>
      <c r="AB555" s="4"/>
      <c r="AC555" s="4"/>
      <c r="AD555" s="4"/>
      <c r="AE555" s="4"/>
      <c r="AF555" s="4"/>
      <c r="AG555" s="7"/>
    </row>
    <row r="556">
      <c r="A556" s="7"/>
      <c r="B556" s="7"/>
      <c r="C556" s="7"/>
      <c r="D556" s="7"/>
      <c r="E556" s="4"/>
      <c r="F556" s="4"/>
      <c r="G556" s="4"/>
      <c r="H556" s="4"/>
      <c r="I556" s="4"/>
      <c r="J556" s="4"/>
      <c r="K556" s="4"/>
      <c r="L556" s="4"/>
      <c r="M556" s="7"/>
      <c r="N556" s="4"/>
      <c r="O556" s="4"/>
      <c r="P556" s="4"/>
      <c r="Q556" s="4"/>
      <c r="R556" s="4"/>
      <c r="S556" s="4"/>
      <c r="T556" s="4"/>
      <c r="U556" s="4"/>
      <c r="V556" s="4"/>
      <c r="W556" s="4"/>
      <c r="X556" s="4"/>
      <c r="Y556" s="4"/>
      <c r="Z556" s="4"/>
      <c r="AA556" s="4"/>
      <c r="AB556" s="4"/>
      <c r="AC556" s="4"/>
      <c r="AD556" s="4"/>
      <c r="AE556" s="4"/>
      <c r="AF556" s="4"/>
      <c r="AG556" s="7"/>
    </row>
    <row r="557">
      <c r="A557" s="7"/>
      <c r="B557" s="7"/>
      <c r="C557" s="7"/>
      <c r="D557" s="7"/>
      <c r="E557" s="4"/>
      <c r="F557" s="4"/>
      <c r="G557" s="7"/>
      <c r="H557" s="4"/>
      <c r="I557" s="7"/>
      <c r="J557" s="4"/>
      <c r="K557" s="4"/>
      <c r="L557" s="4"/>
      <c r="M557" s="7"/>
      <c r="N557" s="7"/>
      <c r="O557" s="7"/>
      <c r="P557" s="4"/>
      <c r="Q557" s="4"/>
      <c r="R557" s="4"/>
      <c r="S557" s="4"/>
      <c r="T557" s="4"/>
      <c r="U557" s="4"/>
      <c r="V557" s="7"/>
      <c r="W557" s="7"/>
      <c r="X557" s="4"/>
      <c r="Y557" s="4"/>
      <c r="Z557" s="4"/>
      <c r="AA557" s="4"/>
      <c r="AB557" s="7"/>
      <c r="AC557" s="7"/>
      <c r="AD557" s="4"/>
      <c r="AE557" s="4"/>
      <c r="AF557" s="4"/>
      <c r="AG557" s="7"/>
    </row>
    <row r="558">
      <c r="A558" s="7"/>
      <c r="B558" s="7"/>
      <c r="C558" s="7"/>
      <c r="D558" s="7"/>
      <c r="E558" s="4"/>
      <c r="F558" s="4"/>
      <c r="G558" s="4"/>
      <c r="H558" s="4"/>
      <c r="I558" s="7"/>
      <c r="J558" s="4"/>
      <c r="K558" s="4"/>
      <c r="L558" s="4"/>
      <c r="M558" s="7"/>
      <c r="N558" s="7"/>
      <c r="O558" s="4"/>
      <c r="P558" s="4"/>
      <c r="Q558" s="4"/>
      <c r="R558" s="4"/>
      <c r="S558" s="4"/>
      <c r="T558" s="4"/>
      <c r="U558" s="4"/>
      <c r="V558" s="4"/>
      <c r="W558" s="4"/>
      <c r="X558" s="4"/>
      <c r="Y558" s="4"/>
      <c r="Z558" s="4"/>
      <c r="AA558" s="4"/>
      <c r="AB558" s="4"/>
      <c r="AC558" s="4"/>
      <c r="AD558" s="4"/>
      <c r="AE558" s="4"/>
      <c r="AF558" s="4"/>
      <c r="AG558" s="7"/>
    </row>
    <row r="559">
      <c r="A559" s="7"/>
      <c r="B559" s="7"/>
      <c r="C559" s="7"/>
      <c r="D559" s="7"/>
      <c r="E559" s="4"/>
      <c r="F559" s="4"/>
      <c r="G559" s="7"/>
      <c r="H559" s="7"/>
      <c r="I559" s="7"/>
      <c r="J559" s="4"/>
      <c r="K559" s="4"/>
      <c r="L559" s="4"/>
      <c r="M559" s="7"/>
      <c r="N559" s="7"/>
      <c r="O559" s="7"/>
      <c r="P559" s="7"/>
      <c r="Q559" s="4"/>
      <c r="R559" s="4"/>
      <c r="S559" s="4"/>
      <c r="T559" s="4"/>
      <c r="U559" s="4"/>
      <c r="V559" s="4"/>
      <c r="W559" s="4"/>
      <c r="X559" s="4"/>
      <c r="Y559" s="4"/>
      <c r="Z559" s="4"/>
      <c r="AA559" s="4"/>
      <c r="AB559" s="4"/>
      <c r="AC559" s="4"/>
      <c r="AD559" s="4"/>
      <c r="AE559" s="4"/>
      <c r="AF559" s="4"/>
      <c r="AG559" s="7"/>
    </row>
    <row r="560">
      <c r="A560" s="7"/>
      <c r="B560" s="7"/>
      <c r="C560" s="7"/>
      <c r="D560" s="7"/>
      <c r="E560" s="4"/>
      <c r="F560" s="4"/>
      <c r="G560" s="7"/>
      <c r="H560" s="4"/>
      <c r="I560" s="7"/>
      <c r="J560" s="4"/>
      <c r="K560" s="4"/>
      <c r="L560" s="4"/>
      <c r="M560" s="7"/>
      <c r="N560" s="7"/>
      <c r="O560" s="7"/>
      <c r="P560" s="7"/>
      <c r="Q560" s="4"/>
      <c r="R560" s="4"/>
      <c r="S560" s="4"/>
      <c r="T560" s="4"/>
      <c r="U560" s="4"/>
      <c r="V560" s="4"/>
      <c r="W560" s="4"/>
      <c r="X560" s="4"/>
      <c r="Y560" s="4"/>
      <c r="Z560" s="4"/>
      <c r="AA560" s="4"/>
      <c r="AB560" s="4"/>
      <c r="AC560" s="4"/>
      <c r="AD560" s="4"/>
      <c r="AE560" s="4"/>
      <c r="AF560" s="4"/>
      <c r="AG560" s="7"/>
    </row>
    <row r="561">
      <c r="A561" s="7"/>
      <c r="B561" s="7"/>
      <c r="C561" s="7"/>
      <c r="D561" s="7"/>
      <c r="E561" s="4"/>
      <c r="F561" s="4"/>
      <c r="G561" s="7"/>
      <c r="H561" s="7"/>
      <c r="I561" s="7"/>
      <c r="J561" s="4"/>
      <c r="K561" s="4"/>
      <c r="L561" s="4"/>
      <c r="M561" s="7"/>
      <c r="N561" s="7"/>
      <c r="O561" s="7"/>
      <c r="P561" s="7"/>
      <c r="Q561" s="4"/>
      <c r="R561" s="4"/>
      <c r="S561" s="4"/>
      <c r="T561" s="4"/>
      <c r="U561" s="4"/>
      <c r="V561" s="4"/>
      <c r="W561" s="4"/>
      <c r="X561" s="4"/>
      <c r="Y561" s="4"/>
      <c r="Z561" s="4"/>
      <c r="AA561" s="4"/>
      <c r="AB561" s="4"/>
      <c r="AC561" s="4"/>
      <c r="AD561" s="4"/>
      <c r="AE561" s="4"/>
      <c r="AF561" s="4"/>
      <c r="AG561" s="7"/>
    </row>
    <row r="562">
      <c r="A562" s="7"/>
      <c r="B562" s="7"/>
      <c r="C562" s="7"/>
      <c r="D562" s="7"/>
      <c r="E562" s="4"/>
      <c r="F562" s="4"/>
      <c r="G562" s="7"/>
      <c r="H562" s="7"/>
      <c r="I562" s="7"/>
      <c r="J562" s="4"/>
      <c r="K562" s="4"/>
      <c r="L562" s="4"/>
      <c r="M562" s="7"/>
      <c r="N562" s="7"/>
      <c r="O562" s="7"/>
      <c r="P562" s="7"/>
      <c r="Q562" s="4"/>
      <c r="R562" s="4"/>
      <c r="S562" s="4"/>
      <c r="T562" s="7"/>
      <c r="U562" s="7"/>
      <c r="V562" s="4"/>
      <c r="W562" s="4"/>
      <c r="X562" s="4"/>
      <c r="Y562" s="4"/>
      <c r="Z562" s="4"/>
      <c r="AA562" s="4"/>
      <c r="AB562" s="4"/>
      <c r="AC562" s="4"/>
      <c r="AD562" s="4"/>
      <c r="AE562" s="4"/>
      <c r="AF562" s="4"/>
      <c r="AG562" s="7"/>
    </row>
    <row r="563">
      <c r="A563" s="7"/>
      <c r="B563" s="7"/>
      <c r="C563" s="7"/>
      <c r="D563" s="7"/>
      <c r="E563" s="4"/>
      <c r="F563" s="4"/>
      <c r="G563" s="7"/>
      <c r="H563" s="7"/>
      <c r="I563" s="7"/>
      <c r="J563" s="4"/>
      <c r="K563" s="4"/>
      <c r="L563" s="4"/>
      <c r="M563" s="7"/>
      <c r="N563" s="7"/>
      <c r="O563" s="7"/>
      <c r="P563" s="7"/>
      <c r="Q563" s="4"/>
      <c r="R563" s="4"/>
      <c r="S563" s="4"/>
      <c r="T563" s="4"/>
      <c r="U563" s="4"/>
      <c r="V563" s="4"/>
      <c r="W563" s="4"/>
      <c r="X563" s="4"/>
      <c r="Y563" s="4"/>
      <c r="Z563" s="4"/>
      <c r="AA563" s="4"/>
      <c r="AB563" s="4"/>
      <c r="AC563" s="4"/>
      <c r="AD563" s="4"/>
      <c r="AE563" s="4"/>
      <c r="AF563" s="4"/>
      <c r="AG563" s="7"/>
    </row>
    <row r="564">
      <c r="A564" s="7"/>
      <c r="B564" s="7"/>
      <c r="C564" s="7"/>
      <c r="D564" s="7"/>
      <c r="E564" s="4"/>
      <c r="F564" s="4"/>
      <c r="G564" s="7"/>
      <c r="H564" s="4"/>
      <c r="I564" s="7"/>
      <c r="J564" s="4"/>
      <c r="K564" s="4"/>
      <c r="L564" s="4"/>
      <c r="M564" s="7"/>
      <c r="N564" s="7"/>
      <c r="O564" s="7"/>
      <c r="P564" s="4"/>
      <c r="Q564" s="4"/>
      <c r="R564" s="4"/>
      <c r="S564" s="4"/>
      <c r="T564" s="4"/>
      <c r="U564" s="4"/>
      <c r="V564" s="4"/>
      <c r="W564" s="4"/>
      <c r="X564" s="4"/>
      <c r="Y564" s="4"/>
      <c r="Z564" s="4"/>
      <c r="AA564" s="4"/>
      <c r="AB564" s="4"/>
      <c r="AC564" s="4"/>
      <c r="AD564" s="4"/>
      <c r="AE564" s="4"/>
      <c r="AF564" s="4"/>
      <c r="AG564" s="7"/>
    </row>
    <row r="565">
      <c r="A565" s="7"/>
      <c r="B565" s="7"/>
      <c r="C565" s="7"/>
      <c r="D565" s="7"/>
      <c r="E565" s="4"/>
      <c r="F565" s="4"/>
      <c r="G565" s="7"/>
      <c r="H565" s="4"/>
      <c r="I565" s="7"/>
      <c r="J565" s="4"/>
      <c r="K565" s="4"/>
      <c r="L565" s="4"/>
      <c r="M565" s="7"/>
      <c r="N565" s="7"/>
      <c r="O565" s="7"/>
      <c r="P565" s="4"/>
      <c r="Q565" s="4"/>
      <c r="R565" s="4"/>
      <c r="S565" s="4"/>
      <c r="T565" s="4"/>
      <c r="U565" s="4"/>
      <c r="V565" s="4"/>
      <c r="W565" s="4"/>
      <c r="X565" s="4"/>
      <c r="Y565" s="4"/>
      <c r="Z565" s="4"/>
      <c r="AA565" s="4"/>
      <c r="AB565" s="4"/>
      <c r="AC565" s="4"/>
      <c r="AD565" s="4"/>
      <c r="AE565" s="4"/>
      <c r="AF565" s="4"/>
      <c r="AG565" s="7"/>
    </row>
    <row r="566">
      <c r="A566" s="7"/>
      <c r="B566" s="7"/>
      <c r="C566" s="7"/>
      <c r="D566" s="7"/>
      <c r="E566" s="4"/>
      <c r="F566" s="4"/>
      <c r="G566" s="7"/>
      <c r="H566" s="4"/>
      <c r="I566" s="7"/>
      <c r="J566" s="4"/>
      <c r="K566" s="4"/>
      <c r="L566" s="4"/>
      <c r="M566" s="7"/>
      <c r="N566" s="7"/>
      <c r="O566" s="7"/>
      <c r="P566" s="4"/>
      <c r="Q566" s="4"/>
      <c r="R566" s="4"/>
      <c r="S566" s="4"/>
      <c r="T566" s="4"/>
      <c r="U566" s="4"/>
      <c r="V566" s="4"/>
      <c r="W566" s="4"/>
      <c r="X566" s="4"/>
      <c r="Y566" s="4"/>
      <c r="Z566" s="4"/>
      <c r="AA566" s="4"/>
      <c r="AB566" s="4"/>
      <c r="AC566" s="4"/>
      <c r="AD566" s="4"/>
      <c r="AE566" s="4"/>
      <c r="AF566" s="4"/>
      <c r="AG566" s="7"/>
    </row>
    <row r="567">
      <c r="A567" s="7"/>
      <c r="B567" s="7"/>
      <c r="C567" s="7"/>
      <c r="D567" s="7"/>
      <c r="E567" s="4"/>
      <c r="F567" s="4"/>
      <c r="G567" s="7"/>
      <c r="H567" s="4"/>
      <c r="I567" s="7"/>
      <c r="J567" s="4"/>
      <c r="K567" s="4"/>
      <c r="L567" s="4"/>
      <c r="M567" s="7"/>
      <c r="N567" s="7"/>
      <c r="O567" s="7"/>
      <c r="P567" s="4"/>
      <c r="Q567" s="4"/>
      <c r="R567" s="4"/>
      <c r="S567" s="4"/>
      <c r="T567" s="4"/>
      <c r="U567" s="4"/>
      <c r="V567" s="4"/>
      <c r="W567" s="4"/>
      <c r="X567" s="4"/>
      <c r="Y567" s="4"/>
      <c r="Z567" s="4"/>
      <c r="AA567" s="4"/>
      <c r="AB567" s="4"/>
      <c r="AC567" s="4"/>
      <c r="AD567" s="4"/>
      <c r="AE567" s="4"/>
      <c r="AF567" s="4"/>
      <c r="AG567" s="7"/>
    </row>
    <row r="568">
      <c r="A568" s="7"/>
      <c r="B568" s="7"/>
      <c r="C568" s="7"/>
      <c r="D568" s="7"/>
      <c r="E568" s="4"/>
      <c r="F568" s="4"/>
      <c r="G568" s="4"/>
      <c r="H568" s="4"/>
      <c r="I568" s="7"/>
      <c r="J568" s="4"/>
      <c r="K568" s="4"/>
      <c r="L568" s="4"/>
      <c r="M568" s="7"/>
      <c r="N568" s="7"/>
      <c r="O568" s="7"/>
      <c r="P568" s="4"/>
      <c r="Q568" s="4"/>
      <c r="R568" s="4"/>
      <c r="S568" s="4"/>
      <c r="T568" s="4"/>
      <c r="U568" s="4"/>
      <c r="V568" s="4"/>
      <c r="W568" s="4"/>
      <c r="X568" s="4"/>
      <c r="Y568" s="4"/>
      <c r="Z568" s="4"/>
      <c r="AA568" s="4"/>
      <c r="AB568" s="4"/>
      <c r="AC568" s="4"/>
      <c r="AD568" s="4"/>
      <c r="AE568" s="4"/>
      <c r="AF568" s="4"/>
      <c r="AG568" s="7"/>
    </row>
    <row r="569">
      <c r="A569" s="7"/>
      <c r="B569" s="7"/>
      <c r="C569" s="7"/>
      <c r="D569" s="7"/>
      <c r="E569" s="4"/>
      <c r="F569" s="4"/>
      <c r="G569" s="7"/>
      <c r="H569" s="4"/>
      <c r="I569" s="7"/>
      <c r="J569" s="4"/>
      <c r="K569" s="4"/>
      <c r="L569" s="4"/>
      <c r="M569" s="7"/>
      <c r="N569" s="7"/>
      <c r="O569" s="7"/>
      <c r="P569" s="4"/>
      <c r="Q569" s="4"/>
      <c r="R569" s="4"/>
      <c r="S569" s="4"/>
      <c r="T569" s="4"/>
      <c r="U569" s="4"/>
      <c r="V569" s="7"/>
      <c r="W569" s="7"/>
      <c r="X569" s="4"/>
      <c r="Y569" s="4"/>
      <c r="Z569" s="4"/>
      <c r="AA569" s="4"/>
      <c r="AB569" s="7"/>
      <c r="AC569" s="7"/>
      <c r="AD569" s="4"/>
      <c r="AE569" s="4"/>
      <c r="AF569" s="4"/>
      <c r="AG569" s="7"/>
    </row>
    <row r="570">
      <c r="A570" s="7"/>
      <c r="B570" s="7"/>
      <c r="C570" s="7"/>
      <c r="D570" s="7"/>
      <c r="E570" s="4"/>
      <c r="F570" s="4"/>
      <c r="G570" s="7"/>
      <c r="H570" s="4"/>
      <c r="I570" s="7"/>
      <c r="J570" s="4"/>
      <c r="K570" s="4"/>
      <c r="L570" s="4"/>
      <c r="M570" s="7"/>
      <c r="N570" s="7"/>
      <c r="O570" s="7"/>
      <c r="P570" s="4"/>
      <c r="Q570" s="4"/>
      <c r="R570" s="4"/>
      <c r="S570" s="4"/>
      <c r="T570" s="4"/>
      <c r="U570" s="4"/>
      <c r="V570" s="4"/>
      <c r="W570" s="4"/>
      <c r="X570" s="4"/>
      <c r="Y570" s="4"/>
      <c r="Z570" s="4"/>
      <c r="AA570" s="4"/>
      <c r="AB570" s="4"/>
      <c r="AC570" s="4"/>
      <c r="AD570" s="4"/>
      <c r="AE570" s="4"/>
      <c r="AF570" s="4"/>
      <c r="AG570" s="7"/>
    </row>
    <row r="571">
      <c r="A571" s="7"/>
      <c r="B571" s="7"/>
      <c r="C571" s="7"/>
      <c r="D571" s="7"/>
      <c r="E571" s="4"/>
      <c r="F571" s="4"/>
      <c r="G571" s="7"/>
      <c r="H571" s="4"/>
      <c r="I571" s="7"/>
      <c r="J571" s="4"/>
      <c r="K571" s="4"/>
      <c r="L571" s="4"/>
      <c r="M571" s="7"/>
      <c r="N571" s="7"/>
      <c r="O571" s="7"/>
      <c r="P571" s="4"/>
      <c r="Q571" s="4"/>
      <c r="R571" s="4"/>
      <c r="S571" s="4"/>
      <c r="T571" s="4"/>
      <c r="U571" s="4"/>
      <c r="V571" s="4"/>
      <c r="W571" s="4"/>
      <c r="X571" s="4"/>
      <c r="Y571" s="4"/>
      <c r="Z571" s="4"/>
      <c r="AA571" s="4"/>
      <c r="AB571" s="4"/>
      <c r="AC571" s="4"/>
      <c r="AD571" s="4"/>
      <c r="AE571" s="4"/>
      <c r="AF571" s="4"/>
      <c r="AG571" s="7"/>
    </row>
    <row r="572">
      <c r="A572" s="7"/>
      <c r="B572" s="7"/>
      <c r="C572" s="7"/>
      <c r="D572" s="7"/>
      <c r="E572" s="4"/>
      <c r="F572" s="4"/>
      <c r="G572" s="7"/>
      <c r="H572" s="4"/>
      <c r="I572" s="7"/>
      <c r="J572" s="4"/>
      <c r="K572" s="4"/>
      <c r="L572" s="4"/>
      <c r="M572" s="7"/>
      <c r="N572" s="7"/>
      <c r="O572" s="4"/>
      <c r="P572" s="4"/>
      <c r="Q572" s="4"/>
      <c r="R572" s="4"/>
      <c r="S572" s="4"/>
      <c r="T572" s="4"/>
      <c r="U572" s="4"/>
      <c r="V572" s="4"/>
      <c r="W572" s="4"/>
      <c r="X572" s="4"/>
      <c r="Y572" s="4"/>
      <c r="Z572" s="4"/>
      <c r="AA572" s="4"/>
      <c r="AB572" s="4"/>
      <c r="AC572" s="4"/>
      <c r="AD572" s="4"/>
      <c r="AE572" s="4"/>
      <c r="AF572" s="4"/>
      <c r="AG572" s="7"/>
    </row>
    <row r="573">
      <c r="A573" s="7"/>
      <c r="B573" s="7"/>
      <c r="C573" s="7"/>
      <c r="D573" s="7"/>
      <c r="E573" s="4"/>
      <c r="F573" s="4"/>
      <c r="G573" s="4"/>
      <c r="H573" s="4"/>
      <c r="I573" s="4"/>
      <c r="J573" s="4"/>
      <c r="K573" s="4"/>
      <c r="L573" s="4"/>
      <c r="M573" s="4"/>
      <c r="N573" s="4"/>
      <c r="O573" s="4"/>
      <c r="P573" s="4"/>
      <c r="Q573" s="4"/>
      <c r="R573" s="4"/>
      <c r="S573" s="4"/>
      <c r="T573" s="4"/>
      <c r="U573" s="4"/>
      <c r="V573" s="4"/>
      <c r="W573" s="4"/>
      <c r="X573" s="4"/>
      <c r="Y573" s="4"/>
      <c r="Z573" s="4"/>
      <c r="AA573" s="4"/>
      <c r="AB573" s="7"/>
      <c r="AC573" s="7"/>
      <c r="AD573" s="4"/>
      <c r="AE573" s="4"/>
      <c r="AF573" s="4"/>
      <c r="AG573" s="7"/>
    </row>
    <row r="574">
      <c r="A574" s="7"/>
      <c r="B574" s="7"/>
      <c r="C574" s="7"/>
      <c r="D574" s="7"/>
      <c r="E574" s="4"/>
      <c r="F574" s="4"/>
      <c r="G574" s="7"/>
      <c r="H574" s="4"/>
      <c r="I574" s="7"/>
      <c r="J574" s="4"/>
      <c r="K574" s="4"/>
      <c r="L574" s="4"/>
      <c r="M574" s="7"/>
      <c r="N574" s="7"/>
      <c r="O574" s="7"/>
      <c r="P574" s="4"/>
      <c r="Q574" s="4"/>
      <c r="R574" s="4"/>
      <c r="S574" s="4"/>
      <c r="T574" s="4"/>
      <c r="U574" s="4"/>
      <c r="V574" s="4"/>
      <c r="W574" s="4"/>
      <c r="X574" s="4"/>
      <c r="Y574" s="4"/>
      <c r="Z574" s="4"/>
      <c r="AA574" s="4"/>
      <c r="AB574" s="7"/>
      <c r="AC574" s="7"/>
      <c r="AD574" s="4"/>
      <c r="AE574" s="4"/>
      <c r="AF574" s="4"/>
      <c r="AG574" s="7"/>
    </row>
    <row r="575">
      <c r="A575" s="7"/>
      <c r="B575" s="7"/>
      <c r="C575" s="7"/>
      <c r="D575" s="7"/>
      <c r="E575" s="4"/>
      <c r="F575" s="4"/>
      <c r="G575" s="7"/>
      <c r="H575" s="4"/>
      <c r="I575" s="7"/>
      <c r="J575" s="4"/>
      <c r="K575" s="4"/>
      <c r="L575" s="4"/>
      <c r="M575" s="7"/>
      <c r="N575" s="7"/>
      <c r="O575" s="7"/>
      <c r="P575" s="4"/>
      <c r="Q575" s="4"/>
      <c r="R575" s="4"/>
      <c r="S575" s="4"/>
      <c r="T575" s="4"/>
      <c r="U575" s="4"/>
      <c r="V575" s="4"/>
      <c r="W575" s="4"/>
      <c r="X575" s="4"/>
      <c r="Y575" s="4"/>
      <c r="Z575" s="4"/>
      <c r="AA575" s="4"/>
      <c r="AB575" s="4"/>
      <c r="AC575" s="4"/>
      <c r="AD575" s="4"/>
      <c r="AE575" s="4"/>
      <c r="AF575" s="4"/>
      <c r="AG575" s="7"/>
    </row>
    <row r="576">
      <c r="A576" s="7"/>
      <c r="B576" s="7"/>
      <c r="C576" s="7"/>
      <c r="D576" s="7"/>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row>
    <row r="577">
      <c r="A577" s="7"/>
      <c r="B577" s="7"/>
      <c r="C577" s="7"/>
      <c r="D577" s="7"/>
      <c r="E577" s="4"/>
      <c r="F577" s="4"/>
      <c r="G577" s="4"/>
      <c r="H577" s="4"/>
      <c r="I577" s="7"/>
      <c r="J577" s="4"/>
      <c r="K577" s="4"/>
      <c r="L577" s="4"/>
      <c r="M577" s="4"/>
      <c r="N577" s="7"/>
      <c r="O577" s="4"/>
      <c r="P577" s="4"/>
      <c r="Q577" s="4"/>
      <c r="R577" s="4"/>
      <c r="S577" s="4"/>
      <c r="T577" s="4"/>
      <c r="U577" s="4"/>
      <c r="V577" s="4"/>
      <c r="W577" s="4"/>
      <c r="X577" s="4"/>
      <c r="Y577" s="4"/>
      <c r="Z577" s="4"/>
      <c r="AA577" s="4"/>
      <c r="AB577" s="4"/>
      <c r="AC577" s="4"/>
      <c r="AD577" s="4"/>
      <c r="AE577" s="4"/>
      <c r="AF577" s="4"/>
      <c r="AG577" s="4"/>
    </row>
    <row r="578">
      <c r="A578" s="7"/>
      <c r="B578" s="7"/>
      <c r="C578" s="7"/>
      <c r="D578" s="7"/>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row>
    <row r="579">
      <c r="A579" s="7"/>
      <c r="B579" s="7"/>
      <c r="C579" s="7"/>
      <c r="D579" s="7"/>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row>
    <row r="580">
      <c r="A580" s="7"/>
      <c r="B580" s="7"/>
      <c r="C580" s="7"/>
      <c r="D580" s="7"/>
      <c r="E580" s="4"/>
      <c r="F580" s="4"/>
      <c r="G580" s="7"/>
      <c r="H580" s="7"/>
      <c r="I580" s="7"/>
      <c r="J580" s="4"/>
      <c r="K580" s="4"/>
      <c r="L580" s="4"/>
      <c r="M580" s="7"/>
      <c r="N580" s="7"/>
      <c r="O580" s="7"/>
      <c r="P580" s="7"/>
      <c r="Q580" s="4"/>
      <c r="R580" s="4"/>
      <c r="S580" s="4"/>
      <c r="T580" s="4"/>
      <c r="U580" s="4"/>
      <c r="V580" s="4"/>
      <c r="W580" s="4"/>
      <c r="X580" s="4"/>
      <c r="Y580" s="4"/>
      <c r="Z580" s="4"/>
      <c r="AA580" s="4"/>
      <c r="AB580" s="4"/>
      <c r="AC580" s="4"/>
      <c r="AD580" s="4"/>
      <c r="AE580" s="4"/>
      <c r="AF580" s="4"/>
      <c r="AG580" s="4"/>
    </row>
    <row r="581">
      <c r="A581" s="7"/>
      <c r="B581" s="7"/>
      <c r="C581" s="7"/>
      <c r="D581" s="7"/>
      <c r="E581" s="4"/>
      <c r="F581" s="4"/>
      <c r="G581" s="4"/>
      <c r="H581" s="4"/>
      <c r="I581" s="7"/>
      <c r="J581" s="4"/>
      <c r="K581" s="4"/>
      <c r="L581" s="4"/>
      <c r="M581" s="4"/>
      <c r="N581" s="7"/>
      <c r="O581" s="4"/>
      <c r="P581" s="4"/>
      <c r="Q581" s="4"/>
      <c r="R581" s="4"/>
      <c r="S581" s="4"/>
      <c r="T581" s="4"/>
      <c r="U581" s="4"/>
      <c r="V581" s="4"/>
      <c r="W581" s="4"/>
      <c r="X581" s="4"/>
      <c r="Y581" s="4"/>
      <c r="Z581" s="4"/>
      <c r="AA581" s="4"/>
      <c r="AB581" s="4"/>
      <c r="AC581" s="4"/>
      <c r="AD581" s="4"/>
      <c r="AE581" s="4"/>
      <c r="AF581" s="4"/>
      <c r="AG581" s="4"/>
    </row>
    <row r="582">
      <c r="A582" s="7"/>
      <c r="B582" s="7"/>
      <c r="C582" s="7"/>
      <c r="D582" s="7"/>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row>
    <row r="583">
      <c r="A583" s="7"/>
      <c r="B583" s="7"/>
      <c r="C583" s="7"/>
      <c r="D583" s="7"/>
      <c r="E583" s="4"/>
      <c r="F583" s="4"/>
      <c r="G583" s="4"/>
      <c r="H583" s="7"/>
      <c r="I583" s="7"/>
      <c r="J583" s="4"/>
      <c r="K583" s="4"/>
      <c r="L583" s="4"/>
      <c r="M583" s="7"/>
      <c r="N583" s="7"/>
      <c r="O583" s="4"/>
      <c r="P583" s="7"/>
      <c r="Q583" s="4"/>
      <c r="R583" s="4"/>
      <c r="S583" s="4"/>
      <c r="T583" s="4"/>
      <c r="U583" s="4"/>
      <c r="V583" s="4"/>
      <c r="W583" s="4"/>
      <c r="X583" s="4"/>
      <c r="Y583" s="4"/>
      <c r="Z583" s="4"/>
      <c r="AA583" s="4"/>
      <c r="AB583" s="4"/>
      <c r="AC583" s="4"/>
      <c r="AD583" s="4"/>
      <c r="AE583" s="4"/>
      <c r="AF583" s="4"/>
      <c r="AG583" s="4"/>
    </row>
    <row r="584">
      <c r="A584" s="7"/>
      <c r="B584" s="7"/>
      <c r="C584" s="7"/>
      <c r="D584" s="7"/>
      <c r="E584" s="4"/>
      <c r="F584" s="4"/>
      <c r="G584" s="4"/>
      <c r="H584" s="4"/>
      <c r="I584" s="7"/>
      <c r="J584" s="4"/>
      <c r="K584" s="4"/>
      <c r="L584" s="4"/>
      <c r="M584" s="4"/>
      <c r="N584" s="7"/>
      <c r="O584" s="7"/>
      <c r="P584" s="4"/>
      <c r="Q584" s="4"/>
      <c r="R584" s="4"/>
      <c r="S584" s="4"/>
      <c r="T584" s="4"/>
      <c r="U584" s="4"/>
      <c r="V584" s="4"/>
      <c r="W584" s="4"/>
      <c r="X584" s="4"/>
      <c r="Y584" s="4"/>
      <c r="Z584" s="4"/>
      <c r="AA584" s="4"/>
      <c r="AB584" s="4"/>
      <c r="AC584" s="4"/>
      <c r="AD584" s="4"/>
      <c r="AE584" s="4"/>
      <c r="AF584" s="4"/>
      <c r="AG584" s="4"/>
    </row>
    <row r="585">
      <c r="A585" s="7"/>
      <c r="B585" s="7"/>
      <c r="C585" s="7"/>
      <c r="D585" s="7"/>
      <c r="E585" s="4"/>
      <c r="F585" s="4"/>
      <c r="G585" s="7"/>
      <c r="H585" s="7"/>
      <c r="I585" s="7"/>
      <c r="J585" s="4"/>
      <c r="K585" s="4"/>
      <c r="L585" s="4"/>
      <c r="M585" s="7"/>
      <c r="N585" s="7"/>
      <c r="O585" s="7"/>
      <c r="P585" s="7"/>
      <c r="Q585" s="4"/>
      <c r="R585" s="4"/>
      <c r="S585" s="4"/>
      <c r="T585" s="4"/>
      <c r="U585" s="4"/>
      <c r="V585" s="4"/>
      <c r="W585" s="4"/>
      <c r="X585" s="4"/>
      <c r="Y585" s="4"/>
      <c r="Z585" s="4"/>
      <c r="AA585" s="4"/>
      <c r="AB585" s="4"/>
      <c r="AC585" s="4"/>
      <c r="AD585" s="4"/>
      <c r="AE585" s="4"/>
      <c r="AF585" s="4"/>
      <c r="AG585" s="4"/>
    </row>
    <row r="586">
      <c r="A586" s="7"/>
      <c r="B586" s="7"/>
      <c r="C586" s="7"/>
      <c r="D586" s="7"/>
      <c r="E586" s="4"/>
      <c r="F586" s="4"/>
      <c r="G586" s="7"/>
      <c r="H586" s="7"/>
      <c r="I586" s="7"/>
      <c r="J586" s="4"/>
      <c r="K586" s="4"/>
      <c r="L586" s="4"/>
      <c r="M586" s="7"/>
      <c r="N586" s="7"/>
      <c r="O586" s="7"/>
      <c r="P586" s="7"/>
      <c r="Q586" s="4"/>
      <c r="R586" s="4"/>
      <c r="S586" s="4"/>
      <c r="T586" s="4"/>
      <c r="U586" s="4"/>
      <c r="V586" s="4"/>
      <c r="W586" s="4"/>
      <c r="X586" s="4"/>
      <c r="Y586" s="4"/>
      <c r="Z586" s="4"/>
      <c r="AA586" s="4"/>
      <c r="AB586" s="4"/>
      <c r="AC586" s="4"/>
      <c r="AD586" s="4"/>
      <c r="AE586" s="4"/>
      <c r="AF586" s="4"/>
      <c r="AG586" s="4"/>
    </row>
    <row r="587">
      <c r="A587" s="7"/>
      <c r="B587" s="7"/>
      <c r="C587" s="7"/>
      <c r="D587" s="7"/>
      <c r="E587" s="4"/>
      <c r="F587" s="4"/>
      <c r="G587" s="7"/>
      <c r="H587" s="4"/>
      <c r="I587" s="7"/>
      <c r="J587" s="4"/>
      <c r="K587" s="4"/>
      <c r="L587" s="4"/>
      <c r="M587" s="7"/>
      <c r="N587" s="7"/>
      <c r="O587" s="7"/>
      <c r="P587" s="7"/>
      <c r="Q587" s="4"/>
      <c r="R587" s="4"/>
      <c r="S587" s="4"/>
      <c r="T587" s="4"/>
      <c r="U587" s="4"/>
      <c r="V587" s="4"/>
      <c r="W587" s="4"/>
      <c r="X587" s="4"/>
      <c r="Y587" s="4"/>
      <c r="Z587" s="4"/>
      <c r="AA587" s="4"/>
      <c r="AB587" s="4"/>
      <c r="AC587" s="4"/>
      <c r="AD587" s="4"/>
      <c r="AE587" s="4"/>
      <c r="AF587" s="4"/>
      <c r="AG587" s="4"/>
    </row>
    <row r="588">
      <c r="A588" s="7"/>
      <c r="B588" s="7"/>
      <c r="C588" s="7"/>
      <c r="D588" s="7"/>
      <c r="E588" s="4"/>
      <c r="F588" s="4"/>
      <c r="G588" s="7"/>
      <c r="H588" s="7"/>
      <c r="I588" s="7"/>
      <c r="J588" s="4"/>
      <c r="K588" s="4"/>
      <c r="L588" s="4"/>
      <c r="M588" s="7"/>
      <c r="N588" s="7"/>
      <c r="O588" s="7"/>
      <c r="P588" s="7"/>
      <c r="Q588" s="4"/>
      <c r="R588" s="4"/>
      <c r="S588" s="4"/>
      <c r="T588" s="4"/>
      <c r="U588" s="4"/>
      <c r="V588" s="4"/>
      <c r="W588" s="4"/>
      <c r="X588" s="4"/>
      <c r="Y588" s="4"/>
      <c r="Z588" s="4"/>
      <c r="AA588" s="4"/>
      <c r="AB588" s="4"/>
      <c r="AC588" s="4"/>
      <c r="AD588" s="4"/>
      <c r="AE588" s="4"/>
      <c r="AF588" s="4"/>
      <c r="AG588" s="4"/>
    </row>
    <row r="589">
      <c r="A589" s="7"/>
      <c r="B589" s="7"/>
      <c r="C589" s="7"/>
      <c r="D589" s="7"/>
      <c r="E589" s="4"/>
      <c r="F589" s="4"/>
      <c r="G589" s="4"/>
      <c r="H589" s="7"/>
      <c r="I589" s="7"/>
      <c r="J589" s="4"/>
      <c r="K589" s="4"/>
      <c r="L589" s="4"/>
      <c r="M589" s="7"/>
      <c r="N589" s="7"/>
      <c r="O589" s="4"/>
      <c r="P589" s="7"/>
      <c r="Q589" s="4"/>
      <c r="R589" s="4"/>
      <c r="S589" s="4"/>
      <c r="T589" s="4"/>
      <c r="U589" s="4"/>
      <c r="V589" s="4"/>
      <c r="W589" s="4"/>
      <c r="X589" s="4"/>
      <c r="Y589" s="4"/>
      <c r="Z589" s="4"/>
      <c r="AA589" s="4"/>
      <c r="AB589" s="4"/>
      <c r="AC589" s="4"/>
      <c r="AD589" s="4"/>
      <c r="AE589" s="4"/>
      <c r="AF589" s="4"/>
      <c r="AG589" s="4"/>
    </row>
    <row r="590">
      <c r="A590" s="7"/>
      <c r="B590" s="7"/>
      <c r="C590" s="7"/>
      <c r="D590" s="7"/>
      <c r="E590" s="4"/>
      <c r="F590" s="4"/>
      <c r="G590" s="7"/>
      <c r="H590" s="4"/>
      <c r="I590" s="7"/>
      <c r="J590" s="4"/>
      <c r="K590" s="4"/>
      <c r="L590" s="4"/>
      <c r="M590" s="7"/>
      <c r="N590" s="7"/>
      <c r="O590" s="4"/>
      <c r="P590" s="4"/>
      <c r="Q590" s="4"/>
      <c r="R590" s="4"/>
      <c r="S590" s="4"/>
      <c r="T590" s="4"/>
      <c r="U590" s="4"/>
      <c r="V590" s="4"/>
      <c r="W590" s="4"/>
      <c r="X590" s="4"/>
      <c r="Y590" s="4"/>
      <c r="Z590" s="4"/>
      <c r="AA590" s="4"/>
      <c r="AB590" s="4"/>
      <c r="AC590" s="4"/>
      <c r="AD590" s="4"/>
      <c r="AE590" s="4"/>
      <c r="AF590" s="4"/>
      <c r="AG590" s="4"/>
    </row>
    <row r="591">
      <c r="A591" s="7"/>
      <c r="B591" s="7"/>
      <c r="C591" s="7"/>
      <c r="D591" s="7"/>
      <c r="E591" s="4"/>
      <c r="F591" s="4"/>
      <c r="G591" s="7"/>
      <c r="H591" s="4"/>
      <c r="I591" s="7"/>
      <c r="J591" s="4"/>
      <c r="K591" s="4"/>
      <c r="L591" s="4"/>
      <c r="M591" s="7"/>
      <c r="N591" s="7"/>
      <c r="O591" s="4"/>
      <c r="P591" s="4"/>
      <c r="Q591" s="4"/>
      <c r="R591" s="4"/>
      <c r="S591" s="4"/>
      <c r="T591" s="4"/>
      <c r="U591" s="4"/>
      <c r="V591" s="4"/>
      <c r="W591" s="4"/>
      <c r="X591" s="4"/>
      <c r="Y591" s="4"/>
      <c r="Z591" s="4"/>
      <c r="AA591" s="4"/>
      <c r="AB591" s="4"/>
      <c r="AC591" s="4"/>
      <c r="AD591" s="4"/>
      <c r="AE591" s="4"/>
      <c r="AF591" s="4"/>
      <c r="AG591" s="4"/>
    </row>
    <row r="592">
      <c r="A592" s="7"/>
      <c r="B592" s="7"/>
      <c r="C592" s="7"/>
      <c r="D592" s="7"/>
      <c r="E592" s="4"/>
      <c r="F592" s="4"/>
      <c r="G592" s="7"/>
      <c r="H592" s="4"/>
      <c r="I592" s="7"/>
      <c r="J592" s="4"/>
      <c r="K592" s="4"/>
      <c r="L592" s="4"/>
      <c r="M592" s="7"/>
      <c r="N592" s="7"/>
      <c r="O592" s="7"/>
      <c r="P592" s="4"/>
      <c r="Q592" s="4"/>
      <c r="R592" s="4"/>
      <c r="S592" s="4"/>
      <c r="T592" s="4"/>
      <c r="U592" s="4"/>
      <c r="V592" s="7"/>
      <c r="W592" s="7"/>
      <c r="X592" s="4"/>
      <c r="Y592" s="4"/>
      <c r="Z592" s="4"/>
      <c r="AA592" s="4"/>
      <c r="AB592" s="7"/>
      <c r="AC592" s="7"/>
      <c r="AD592" s="4"/>
      <c r="AE592" s="4"/>
      <c r="AF592" s="4"/>
      <c r="AG592" s="4"/>
    </row>
    <row r="593">
      <c r="A593" s="7"/>
      <c r="B593" s="7"/>
      <c r="C593" s="7"/>
      <c r="D593" s="7"/>
      <c r="E593" s="4"/>
      <c r="F593" s="4"/>
      <c r="G593" s="7"/>
      <c r="H593" s="4"/>
      <c r="I593" s="7"/>
      <c r="J593" s="4"/>
      <c r="K593" s="4"/>
      <c r="L593" s="4"/>
      <c r="M593" s="7"/>
      <c r="N593" s="7"/>
      <c r="O593" s="4"/>
      <c r="P593" s="7"/>
      <c r="Q593" s="4"/>
      <c r="R593" s="4"/>
      <c r="S593" s="4"/>
      <c r="T593" s="4"/>
      <c r="U593" s="4"/>
      <c r="V593" s="4"/>
      <c r="W593" s="4"/>
      <c r="X593" s="4"/>
      <c r="Y593" s="4"/>
      <c r="Z593" s="4"/>
      <c r="AA593" s="4"/>
      <c r="AB593" s="4"/>
      <c r="AC593" s="4"/>
      <c r="AD593" s="4"/>
      <c r="AE593" s="4"/>
      <c r="AF593" s="4"/>
      <c r="AG593" s="4"/>
    </row>
    <row r="594">
      <c r="A594" s="7"/>
      <c r="B594" s="7"/>
      <c r="C594" s="7"/>
      <c r="D594" s="7"/>
      <c r="E594" s="4"/>
      <c r="F594" s="4"/>
      <c r="G594" s="7"/>
      <c r="H594" s="4"/>
      <c r="I594" s="7"/>
      <c r="J594" s="4"/>
      <c r="K594" s="4"/>
      <c r="L594" s="4"/>
      <c r="M594" s="7"/>
      <c r="N594" s="7"/>
      <c r="O594" s="4"/>
      <c r="P594" s="7"/>
      <c r="Q594" s="4"/>
      <c r="R594" s="4"/>
      <c r="S594" s="4"/>
      <c r="T594" s="4"/>
      <c r="U594" s="4"/>
      <c r="V594" s="4"/>
      <c r="W594" s="4"/>
      <c r="X594" s="4"/>
      <c r="Y594" s="4"/>
      <c r="Z594" s="4"/>
      <c r="AA594" s="4"/>
      <c r="AB594" s="4"/>
      <c r="AC594" s="4"/>
      <c r="AD594" s="4"/>
      <c r="AE594" s="4"/>
      <c r="AF594" s="4"/>
      <c r="AG594" s="4"/>
    </row>
    <row r="595">
      <c r="A595" s="7"/>
      <c r="B595" s="7"/>
      <c r="C595" s="7"/>
      <c r="D595" s="7"/>
      <c r="E595" s="4"/>
      <c r="F595" s="4"/>
      <c r="G595" s="4"/>
      <c r="H595" s="4"/>
      <c r="I595" s="7"/>
      <c r="J595" s="4"/>
      <c r="K595" s="4"/>
      <c r="L595" s="4"/>
      <c r="M595" s="4"/>
      <c r="N595" s="7"/>
      <c r="O595" s="4"/>
      <c r="P595" s="4"/>
      <c r="Q595" s="4"/>
      <c r="R595" s="4"/>
      <c r="S595" s="4"/>
      <c r="T595" s="4"/>
      <c r="U595" s="4"/>
      <c r="V595" s="4"/>
      <c r="W595" s="4"/>
      <c r="X595" s="4"/>
      <c r="Y595" s="4"/>
      <c r="Z595" s="4"/>
      <c r="AA595" s="4"/>
      <c r="AB595" s="4"/>
      <c r="AC595" s="4"/>
      <c r="AD595" s="4"/>
      <c r="AE595" s="4"/>
      <c r="AF595" s="4"/>
      <c r="AG595" s="4"/>
    </row>
    <row r="596">
      <c r="A596" s="7"/>
      <c r="B596" s="7"/>
      <c r="C596" s="7"/>
      <c r="D596" s="7"/>
      <c r="E596" s="4"/>
      <c r="F596" s="4"/>
      <c r="G596" s="4"/>
      <c r="H596" s="4"/>
      <c r="I596" s="7"/>
      <c r="J596" s="4"/>
      <c r="K596" s="4"/>
      <c r="L596" s="4"/>
      <c r="M596" s="7"/>
      <c r="N596" s="7"/>
      <c r="O596" s="4"/>
      <c r="P596" s="7"/>
      <c r="Q596" s="4"/>
      <c r="R596" s="4"/>
      <c r="S596" s="4"/>
      <c r="T596" s="4"/>
      <c r="U596" s="4"/>
      <c r="V596" s="4"/>
      <c r="W596" s="4"/>
      <c r="X596" s="4"/>
      <c r="Y596" s="4"/>
      <c r="Z596" s="4"/>
      <c r="AA596" s="4"/>
      <c r="AB596" s="4"/>
      <c r="AC596" s="4"/>
      <c r="AD596" s="4"/>
      <c r="AE596" s="4"/>
      <c r="AF596" s="4"/>
      <c r="AG596" s="4"/>
    </row>
    <row r="597">
      <c r="A597" s="7"/>
      <c r="B597" s="7"/>
      <c r="C597" s="7"/>
      <c r="D597" s="7"/>
      <c r="E597" s="4"/>
      <c r="F597" s="4"/>
      <c r="G597" s="4"/>
      <c r="H597" s="4"/>
      <c r="I597" s="7"/>
      <c r="J597" s="4"/>
      <c r="K597" s="4"/>
      <c r="L597" s="4"/>
      <c r="M597" s="4"/>
      <c r="N597" s="7"/>
      <c r="O597" s="4"/>
      <c r="P597" s="4"/>
      <c r="Q597" s="4"/>
      <c r="R597" s="4"/>
      <c r="S597" s="4"/>
      <c r="T597" s="4"/>
      <c r="U597" s="4"/>
      <c r="V597" s="4"/>
      <c r="W597" s="4"/>
      <c r="X597" s="4"/>
      <c r="Y597" s="4"/>
      <c r="Z597" s="4"/>
      <c r="AA597" s="4"/>
      <c r="AB597" s="4"/>
      <c r="AC597" s="4"/>
      <c r="AD597" s="4"/>
      <c r="AE597" s="4"/>
      <c r="AF597" s="4"/>
      <c r="AG597" s="4"/>
    </row>
    <row r="598">
      <c r="A598" s="7"/>
      <c r="B598" s="7"/>
      <c r="C598" s="7"/>
      <c r="D598" s="7"/>
      <c r="E598" s="4"/>
      <c r="F598" s="4"/>
      <c r="G598" s="7"/>
      <c r="H598" s="4"/>
      <c r="I598" s="7"/>
      <c r="J598" s="4"/>
      <c r="K598" s="4"/>
      <c r="L598" s="4"/>
      <c r="M598" s="7"/>
      <c r="N598" s="7"/>
      <c r="O598" s="4"/>
      <c r="P598" s="7"/>
      <c r="Q598" s="4"/>
      <c r="R598" s="4"/>
      <c r="S598" s="4"/>
      <c r="T598" s="4"/>
      <c r="U598" s="4"/>
      <c r="V598" s="4"/>
      <c r="W598" s="4"/>
      <c r="X598" s="4"/>
      <c r="Y598" s="4"/>
      <c r="Z598" s="4"/>
      <c r="AA598" s="4"/>
      <c r="AB598" s="4"/>
      <c r="AC598" s="4"/>
      <c r="AD598" s="4"/>
      <c r="AE598" s="4"/>
      <c r="AF598" s="4"/>
      <c r="AG598" s="4"/>
    </row>
    <row r="599">
      <c r="A599" s="7"/>
      <c r="B599" s="7"/>
      <c r="C599" s="7"/>
      <c r="D599" s="7"/>
      <c r="E599" s="4"/>
      <c r="F599" s="4"/>
      <c r="G599" s="7"/>
      <c r="H599" s="4"/>
      <c r="I599" s="7"/>
      <c r="J599" s="4"/>
      <c r="K599" s="4"/>
      <c r="L599" s="4"/>
      <c r="M599" s="7"/>
      <c r="N599" s="7"/>
      <c r="O599" s="4"/>
      <c r="P599" s="7"/>
      <c r="Q599" s="4"/>
      <c r="R599" s="4"/>
      <c r="S599" s="4"/>
      <c r="T599" s="4"/>
      <c r="U599" s="4"/>
      <c r="V599" s="4"/>
      <c r="W599" s="4"/>
      <c r="X599" s="4"/>
      <c r="Y599" s="4"/>
      <c r="Z599" s="4"/>
      <c r="AA599" s="4"/>
      <c r="AB599" s="4"/>
      <c r="AC599" s="4"/>
      <c r="AD599" s="4"/>
      <c r="AE599" s="4"/>
      <c r="AF599" s="4"/>
      <c r="AG599" s="4"/>
    </row>
    <row r="600">
      <c r="A600" s="7"/>
      <c r="B600" s="7"/>
      <c r="C600" s="7"/>
      <c r="D600" s="7"/>
      <c r="E600" s="4"/>
      <c r="F600" s="4"/>
      <c r="G600" s="7"/>
      <c r="H600" s="4"/>
      <c r="I600" s="7"/>
      <c r="J600" s="4"/>
      <c r="K600" s="4"/>
      <c r="L600" s="4"/>
      <c r="M600" s="7"/>
      <c r="N600" s="7"/>
      <c r="O600" s="4"/>
      <c r="P600" s="7"/>
      <c r="Q600" s="4"/>
      <c r="R600" s="4"/>
      <c r="S600" s="4"/>
      <c r="T600" s="4"/>
      <c r="U600" s="4"/>
      <c r="V600" s="4"/>
      <c r="W600" s="4"/>
      <c r="X600" s="4"/>
      <c r="Y600" s="4"/>
      <c r="Z600" s="4"/>
      <c r="AA600" s="4"/>
      <c r="AB600" s="4"/>
      <c r="AC600" s="4"/>
      <c r="AD600" s="4"/>
      <c r="AE600" s="4"/>
      <c r="AF600" s="4"/>
      <c r="AG600" s="4"/>
    </row>
    <row r="601">
      <c r="A601" s="7"/>
      <c r="B601" s="7"/>
      <c r="C601" s="7"/>
      <c r="D601" s="7"/>
      <c r="E601" s="4"/>
      <c r="F601" s="4"/>
      <c r="G601" s="4"/>
      <c r="H601" s="4"/>
      <c r="I601" s="7"/>
      <c r="J601" s="4"/>
      <c r="K601" s="4"/>
      <c r="L601" s="4"/>
      <c r="M601" s="7"/>
      <c r="N601" s="7"/>
      <c r="O601" s="4"/>
      <c r="P601" s="4"/>
      <c r="Q601" s="4"/>
      <c r="R601" s="4"/>
      <c r="S601" s="4"/>
      <c r="T601" s="4"/>
      <c r="U601" s="4"/>
      <c r="V601" s="4"/>
      <c r="W601" s="4"/>
      <c r="X601" s="4"/>
      <c r="Y601" s="4"/>
      <c r="Z601" s="4"/>
      <c r="AA601" s="4"/>
      <c r="AB601" s="4"/>
      <c r="AC601" s="4"/>
      <c r="AD601" s="4"/>
      <c r="AE601" s="4"/>
      <c r="AF601" s="4"/>
      <c r="AG601" s="4"/>
    </row>
    <row r="602">
      <c r="A602" s="7"/>
      <c r="B602" s="7"/>
      <c r="C602" s="7"/>
      <c r="D602" s="7"/>
      <c r="E602" s="4"/>
      <c r="F602" s="4"/>
      <c r="G602" s="7"/>
      <c r="H602" s="7"/>
      <c r="I602" s="7"/>
      <c r="J602" s="4"/>
      <c r="K602" s="4"/>
      <c r="L602" s="4"/>
      <c r="M602" s="7"/>
      <c r="N602" s="7"/>
      <c r="O602" s="7"/>
      <c r="P602" s="7"/>
      <c r="Q602" s="4"/>
      <c r="R602" s="4"/>
      <c r="S602" s="4"/>
      <c r="T602" s="7"/>
      <c r="U602" s="7"/>
      <c r="V602" s="4"/>
      <c r="W602" s="4"/>
      <c r="X602" s="4"/>
      <c r="Y602" s="4"/>
      <c r="Z602" s="4"/>
      <c r="AA602" s="4"/>
      <c r="AB602" s="4"/>
      <c r="AC602" s="4"/>
      <c r="AD602" s="4"/>
      <c r="AE602" s="4"/>
      <c r="AF602" s="4"/>
      <c r="AG602" s="4"/>
    </row>
    <row r="603">
      <c r="A603" s="7"/>
      <c r="B603" s="7"/>
      <c r="C603" s="7"/>
      <c r="D603" s="7"/>
      <c r="E603" s="4"/>
      <c r="F603" s="4"/>
      <c r="G603" s="7"/>
      <c r="H603" s="4"/>
      <c r="I603" s="7"/>
      <c r="J603" s="4"/>
      <c r="K603" s="4"/>
      <c r="L603" s="4"/>
      <c r="M603" s="7"/>
      <c r="N603" s="7"/>
      <c r="O603" s="4"/>
      <c r="P603" s="7"/>
      <c r="Q603" s="4"/>
      <c r="R603" s="4"/>
      <c r="S603" s="4"/>
      <c r="T603" s="4"/>
      <c r="U603" s="4"/>
      <c r="V603" s="4"/>
      <c r="W603" s="4"/>
      <c r="X603" s="4"/>
      <c r="Y603" s="4"/>
      <c r="Z603" s="4"/>
      <c r="AA603" s="4"/>
      <c r="AB603" s="4"/>
      <c r="AC603" s="4"/>
      <c r="AD603" s="4"/>
      <c r="AE603" s="4"/>
      <c r="AF603" s="4"/>
      <c r="AG603" s="4"/>
    </row>
    <row r="604">
      <c r="A604" s="7"/>
      <c r="B604" s="7"/>
      <c r="C604" s="7"/>
      <c r="D604" s="7"/>
      <c r="E604" s="4"/>
      <c r="F604" s="4"/>
      <c r="G604" s="7"/>
      <c r="H604" s="4"/>
      <c r="I604" s="7"/>
      <c r="J604" s="4"/>
      <c r="K604" s="4"/>
      <c r="L604" s="4"/>
      <c r="M604" s="7"/>
      <c r="N604" s="7"/>
      <c r="O604" s="4"/>
      <c r="P604" s="7"/>
      <c r="Q604" s="4"/>
      <c r="R604" s="4"/>
      <c r="S604" s="4"/>
      <c r="T604" s="4"/>
      <c r="U604" s="4"/>
      <c r="V604" s="4"/>
      <c r="W604" s="4"/>
      <c r="X604" s="4"/>
      <c r="Y604" s="4"/>
      <c r="Z604" s="4"/>
      <c r="AA604" s="4"/>
      <c r="AB604" s="4"/>
      <c r="AC604" s="4"/>
      <c r="AD604" s="4"/>
      <c r="AE604" s="4"/>
      <c r="AF604" s="4"/>
      <c r="AG604" s="4"/>
    </row>
    <row r="605">
      <c r="A605" s="7"/>
      <c r="B605" s="7"/>
      <c r="C605" s="7"/>
      <c r="D605" s="7"/>
      <c r="E605" s="4"/>
      <c r="F605" s="4"/>
      <c r="G605" s="7"/>
      <c r="H605" s="4"/>
      <c r="I605" s="7"/>
      <c r="J605" s="4"/>
      <c r="K605" s="4"/>
      <c r="L605" s="4"/>
      <c r="M605" s="7"/>
      <c r="N605" s="7"/>
      <c r="O605" s="7"/>
      <c r="P605" s="7"/>
      <c r="Q605" s="4"/>
      <c r="R605" s="4"/>
      <c r="S605" s="4"/>
      <c r="T605" s="4"/>
      <c r="U605" s="4"/>
      <c r="V605" s="4"/>
      <c r="W605" s="4"/>
      <c r="X605" s="4"/>
      <c r="Y605" s="4"/>
      <c r="Z605" s="4"/>
      <c r="AA605" s="4"/>
      <c r="AB605" s="4"/>
      <c r="AC605" s="4"/>
      <c r="AD605" s="4"/>
      <c r="AE605" s="4"/>
      <c r="AF605" s="4"/>
      <c r="AG605" s="4"/>
    </row>
    <row r="606">
      <c r="A606" s="7"/>
      <c r="B606" s="7"/>
      <c r="C606" s="7"/>
      <c r="D606" s="7"/>
      <c r="E606" s="4"/>
      <c r="F606" s="4"/>
      <c r="G606" s="7"/>
      <c r="H606" s="4"/>
      <c r="I606" s="7"/>
      <c r="J606" s="4"/>
      <c r="K606" s="4"/>
      <c r="L606" s="4"/>
      <c r="M606" s="7"/>
      <c r="N606" s="7"/>
      <c r="O606" s="7"/>
      <c r="P606" s="7"/>
      <c r="Q606" s="4"/>
      <c r="R606" s="4"/>
      <c r="S606" s="4"/>
      <c r="T606" s="4"/>
      <c r="U606" s="4"/>
      <c r="V606" s="4"/>
      <c r="W606" s="4"/>
      <c r="X606" s="4"/>
      <c r="Y606" s="4"/>
      <c r="Z606" s="4"/>
      <c r="AA606" s="4"/>
      <c r="AB606" s="4"/>
      <c r="AC606" s="4"/>
      <c r="AD606" s="4"/>
      <c r="AE606" s="4"/>
      <c r="AF606" s="4"/>
      <c r="AG606" s="4"/>
    </row>
    <row r="607">
      <c r="A607" s="7"/>
      <c r="B607" s="7"/>
      <c r="C607" s="7"/>
      <c r="D607" s="7"/>
      <c r="E607" s="4"/>
      <c r="F607" s="4"/>
      <c r="G607" s="7"/>
      <c r="H607" s="7"/>
      <c r="I607" s="7"/>
      <c r="J607" s="4"/>
      <c r="K607" s="4"/>
      <c r="L607" s="4"/>
      <c r="M607" s="7"/>
      <c r="N607" s="7"/>
      <c r="O607" s="7"/>
      <c r="P607" s="7"/>
      <c r="Q607" s="4"/>
      <c r="R607" s="4"/>
      <c r="S607" s="4"/>
      <c r="T607" s="4"/>
      <c r="U607" s="4"/>
      <c r="V607" s="4"/>
      <c r="W607" s="4"/>
      <c r="X607" s="4"/>
      <c r="Y607" s="4"/>
      <c r="Z607" s="4"/>
      <c r="AA607" s="4"/>
      <c r="AB607" s="4"/>
      <c r="AC607" s="4"/>
      <c r="AD607" s="4"/>
      <c r="AE607" s="4"/>
      <c r="AF607" s="4"/>
      <c r="AG607" s="4"/>
    </row>
    <row r="608">
      <c r="A608" s="7"/>
      <c r="B608" s="7"/>
      <c r="C608" s="7"/>
      <c r="D608" s="7"/>
      <c r="E608" s="4"/>
      <c r="F608" s="4"/>
      <c r="G608" s="7"/>
      <c r="H608" s="4"/>
      <c r="I608" s="7"/>
      <c r="J608" s="4"/>
      <c r="K608" s="4"/>
      <c r="L608" s="4"/>
      <c r="M608" s="7"/>
      <c r="N608" s="7"/>
      <c r="O608" s="7"/>
      <c r="P608" s="4"/>
      <c r="Q608" s="4"/>
      <c r="R608" s="4"/>
      <c r="S608" s="4"/>
      <c r="T608" s="4"/>
      <c r="U608" s="4"/>
      <c r="V608" s="4"/>
      <c r="W608" s="4"/>
      <c r="X608" s="4"/>
      <c r="Y608" s="4"/>
      <c r="Z608" s="4"/>
      <c r="AA608" s="4"/>
      <c r="AB608" s="4"/>
      <c r="AC608" s="4"/>
      <c r="AD608" s="4"/>
      <c r="AE608" s="4"/>
      <c r="AF608" s="4"/>
      <c r="AG608" s="4"/>
    </row>
    <row r="609">
      <c r="A609" s="7"/>
      <c r="B609" s="7"/>
      <c r="C609" s="7"/>
      <c r="D609" s="7"/>
      <c r="E609" s="4"/>
      <c r="F609" s="4"/>
      <c r="G609" s="7"/>
      <c r="H609" s="7"/>
      <c r="I609" s="7"/>
      <c r="J609" s="4"/>
      <c r="K609" s="4"/>
      <c r="L609" s="4"/>
      <c r="M609" s="7"/>
      <c r="N609" s="7"/>
      <c r="O609" s="7"/>
      <c r="P609" s="7"/>
      <c r="Q609" s="4"/>
      <c r="R609" s="4"/>
      <c r="S609" s="4"/>
      <c r="T609" s="4"/>
      <c r="U609" s="4"/>
      <c r="V609" s="4"/>
      <c r="W609" s="4"/>
      <c r="X609" s="4"/>
      <c r="Y609" s="4"/>
      <c r="Z609" s="4"/>
      <c r="AA609" s="4"/>
      <c r="AB609" s="4"/>
      <c r="AC609" s="4"/>
      <c r="AD609" s="4"/>
      <c r="AE609" s="4"/>
      <c r="AF609" s="4"/>
      <c r="AG609" s="4"/>
    </row>
    <row r="610">
      <c r="A610" s="7"/>
      <c r="B610" s="7"/>
      <c r="C610" s="7"/>
      <c r="D610" s="7"/>
      <c r="E610" s="4"/>
      <c r="F610" s="4"/>
      <c r="G610" s="7"/>
      <c r="H610" s="7"/>
      <c r="I610" s="7"/>
      <c r="J610" s="4"/>
      <c r="K610" s="4"/>
      <c r="L610" s="4"/>
      <c r="M610" s="7"/>
      <c r="N610" s="7"/>
      <c r="O610" s="7"/>
      <c r="P610" s="7"/>
      <c r="Q610" s="4"/>
      <c r="R610" s="4"/>
      <c r="S610" s="4"/>
      <c r="T610" s="4"/>
      <c r="U610" s="4"/>
      <c r="V610" s="4"/>
      <c r="W610" s="4"/>
      <c r="X610" s="4"/>
      <c r="Y610" s="4"/>
      <c r="Z610" s="4"/>
      <c r="AA610" s="4"/>
      <c r="AB610" s="4"/>
      <c r="AC610" s="4"/>
      <c r="AD610" s="4"/>
      <c r="AE610" s="4"/>
      <c r="AF610" s="4"/>
      <c r="AG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row>
    <row r="660">
      <c r="A660" s="7"/>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row>
    <row r="664">
      <c r="A664" s="7"/>
      <c r="B664" s="7"/>
      <c r="C664" s="7"/>
      <c r="D664" s="7"/>
      <c r="E664" s="7"/>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row>
    <row r="665">
      <c r="A665" s="7"/>
      <c r="B665" s="7"/>
      <c r="C665" s="7"/>
      <c r="D665" s="7"/>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row>
    <row r="666">
      <c r="A666" s="7"/>
      <c r="B666" s="7"/>
      <c r="C666" s="7"/>
      <c r="D666" s="7"/>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row>
    <row r="667">
      <c r="A667" s="7"/>
      <c r="B667" s="7"/>
      <c r="C667" s="7"/>
      <c r="D667" s="7"/>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row>
    <row r="668">
      <c r="A668" s="7"/>
      <c r="B668" s="7"/>
      <c r="C668" s="7"/>
      <c r="D668" s="7"/>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row>
    <row r="669">
      <c r="A669" s="7"/>
      <c r="B669" s="7"/>
      <c r="C669" s="7"/>
      <c r="D669" s="7"/>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row>
    <row r="670">
      <c r="A670" s="7"/>
      <c r="B670" s="7"/>
      <c r="C670" s="7"/>
      <c r="D670" s="7"/>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row>
    <row r="671">
      <c r="A671" s="7"/>
      <c r="B671" s="7"/>
      <c r="C671" s="7"/>
      <c r="D671" s="7"/>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row>
    <row r="672">
      <c r="A672" s="7"/>
      <c r="B672" s="7"/>
      <c r="C672" s="7"/>
      <c r="D672" s="7"/>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row>
    <row r="673">
      <c r="A673" s="7"/>
      <c r="B673" s="7"/>
      <c r="C673" s="7"/>
      <c r="D673" s="7"/>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row>
    <row r="674">
      <c r="A674" s="7"/>
      <c r="B674" s="7"/>
      <c r="C674" s="7"/>
      <c r="D674" s="7"/>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row>
    <row r="675">
      <c r="A675" s="7"/>
      <c r="B675" s="7"/>
      <c r="C675" s="7"/>
      <c r="D675" s="7"/>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row>
    <row r="676">
      <c r="A676" s="7"/>
      <c r="B676" s="7"/>
      <c r="C676" s="7"/>
      <c r="D676" s="7"/>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row>
    <row r="677">
      <c r="A677" s="7"/>
      <c r="B677" s="7"/>
      <c r="C677" s="7"/>
      <c r="D677" s="7"/>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row>
    <row r="678">
      <c r="A678" s="7"/>
      <c r="B678" s="7"/>
      <c r="C678" s="7"/>
      <c r="D678" s="7"/>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row>
    <row r="679">
      <c r="A679" s="7"/>
      <c r="B679" s="7"/>
      <c r="C679" s="7"/>
      <c r="D679" s="7"/>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row>
    <row r="680">
      <c r="A680" s="7"/>
      <c r="B680" s="7"/>
      <c r="C680" s="7"/>
      <c r="D680" s="7"/>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row>
    <row r="681">
      <c r="A681" s="7"/>
      <c r="B681" s="7"/>
      <c r="C681" s="7"/>
      <c r="D681" s="7"/>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row>
    <row r="682">
      <c r="A682" s="7"/>
      <c r="B682" s="7"/>
      <c r="C682" s="7"/>
      <c r="D682" s="7"/>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row>
    <row r="683">
      <c r="A683" s="7"/>
      <c r="B683" s="7"/>
      <c r="C683" s="7"/>
      <c r="D683" s="7"/>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row>
    <row r="684">
      <c r="A684" s="7"/>
      <c r="B684" s="7"/>
      <c r="C684" s="7"/>
      <c r="D684" s="7"/>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row>
    <row r="685">
      <c r="A685" s="7"/>
      <c r="B685" s="7"/>
      <c r="C685" s="7"/>
      <c r="D685" s="7"/>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row>
    <row r="686">
      <c r="A686" s="7"/>
      <c r="B686" s="7"/>
      <c r="C686" s="7"/>
      <c r="D686" s="7"/>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row>
    <row r="687">
      <c r="A687" s="7"/>
      <c r="B687" s="7"/>
      <c r="C687" s="7"/>
      <c r="D687" s="7"/>
      <c r="E687" s="4"/>
      <c r="F687" s="4"/>
      <c r="G687" s="7"/>
      <c r="H687" s="4"/>
      <c r="I687" s="7"/>
      <c r="J687" s="4"/>
      <c r="K687" s="4"/>
      <c r="L687" s="4"/>
      <c r="M687" s="4"/>
      <c r="N687" s="7"/>
      <c r="O687" s="4"/>
      <c r="P687" s="4"/>
      <c r="Q687" s="4"/>
      <c r="R687" s="4"/>
      <c r="S687" s="4"/>
      <c r="T687" s="4"/>
      <c r="U687" s="4"/>
      <c r="V687" s="4"/>
      <c r="W687" s="4"/>
      <c r="X687" s="4"/>
      <c r="Y687" s="4"/>
      <c r="Z687" s="4"/>
      <c r="AA687" s="4"/>
      <c r="AB687" s="4"/>
      <c r="AC687" s="4"/>
      <c r="AD687" s="4"/>
      <c r="AE687" s="4"/>
      <c r="AF687" s="4"/>
      <c r="AG687" s="4"/>
    </row>
    <row r="688">
      <c r="A688" s="7"/>
      <c r="B688" s="7"/>
      <c r="C688" s="7"/>
      <c r="D688" s="7"/>
      <c r="E688" s="4"/>
      <c r="F688" s="4"/>
      <c r="G688" s="7"/>
      <c r="H688" s="4"/>
      <c r="I688" s="7"/>
      <c r="J688" s="4"/>
      <c r="K688" s="4"/>
      <c r="L688" s="4"/>
      <c r="M688" s="4"/>
      <c r="N688" s="7"/>
      <c r="O688" s="4"/>
      <c r="P688" s="4"/>
      <c r="Q688" s="4"/>
      <c r="R688" s="4"/>
      <c r="S688" s="4"/>
      <c r="T688" s="4"/>
      <c r="U688" s="4"/>
      <c r="V688" s="4"/>
      <c r="W688" s="4"/>
      <c r="X688" s="4"/>
      <c r="Y688" s="4"/>
      <c r="Z688" s="4"/>
      <c r="AA688" s="4"/>
      <c r="AB688" s="4"/>
      <c r="AC688" s="4"/>
      <c r="AD688" s="4"/>
      <c r="AE688" s="4"/>
      <c r="AF688" s="4"/>
      <c r="AG688" s="4"/>
    </row>
    <row r="689">
      <c r="A689" s="7"/>
      <c r="B689" s="7"/>
      <c r="C689" s="7"/>
      <c r="D689" s="7"/>
      <c r="E689" s="4"/>
      <c r="F689" s="4"/>
      <c r="G689" s="7"/>
      <c r="H689" s="4"/>
      <c r="I689" s="7"/>
      <c r="J689" s="4"/>
      <c r="K689" s="4"/>
      <c r="L689" s="4"/>
      <c r="M689" s="4"/>
      <c r="N689" s="7"/>
      <c r="O689" s="4"/>
      <c r="P689" s="4"/>
      <c r="Q689" s="4"/>
      <c r="R689" s="4"/>
      <c r="S689" s="4"/>
      <c r="T689" s="4"/>
      <c r="U689" s="4"/>
      <c r="V689" s="4"/>
      <c r="W689" s="4"/>
      <c r="X689" s="4"/>
      <c r="Y689" s="4"/>
      <c r="Z689" s="4"/>
      <c r="AA689" s="4"/>
      <c r="AB689" s="4"/>
      <c r="AC689" s="4"/>
      <c r="AD689" s="4"/>
      <c r="AE689" s="4"/>
      <c r="AF689" s="4"/>
      <c r="AG689" s="4"/>
    </row>
    <row r="690">
      <c r="A690" s="7"/>
      <c r="B690" s="7"/>
      <c r="C690" s="7"/>
      <c r="D690" s="7"/>
      <c r="E690" s="4"/>
      <c r="F690" s="4"/>
      <c r="G690" s="7"/>
      <c r="H690" s="4"/>
      <c r="I690" s="7"/>
      <c r="J690" s="4"/>
      <c r="K690" s="4"/>
      <c r="L690" s="4"/>
      <c r="M690" s="4"/>
      <c r="N690" s="7"/>
      <c r="O690" s="4"/>
      <c r="P690" s="4"/>
      <c r="Q690" s="4"/>
      <c r="R690" s="4"/>
      <c r="S690" s="4"/>
      <c r="T690" s="4"/>
      <c r="U690" s="4"/>
      <c r="V690" s="4"/>
      <c r="W690" s="4"/>
      <c r="X690" s="4"/>
      <c r="Y690" s="4"/>
      <c r="Z690" s="4"/>
      <c r="AA690" s="4"/>
      <c r="AB690" s="4"/>
      <c r="AC690" s="4"/>
      <c r="AD690" s="4"/>
      <c r="AE690" s="4"/>
      <c r="AF690" s="4"/>
      <c r="AG690" s="4"/>
    </row>
    <row r="691">
      <c r="A691" s="7"/>
      <c r="B691" s="7"/>
      <c r="C691" s="7"/>
      <c r="D691" s="7"/>
      <c r="E691" s="4"/>
      <c r="F691" s="4"/>
      <c r="G691" s="7"/>
      <c r="H691" s="4"/>
      <c r="I691" s="7"/>
      <c r="J691" s="4"/>
      <c r="K691" s="4"/>
      <c r="L691" s="4"/>
      <c r="M691" s="4"/>
      <c r="N691" s="7"/>
      <c r="O691" s="4"/>
      <c r="P691" s="4"/>
      <c r="Q691" s="4"/>
      <c r="R691" s="4"/>
      <c r="S691" s="4"/>
      <c r="T691" s="4"/>
      <c r="U691" s="4"/>
      <c r="V691" s="4"/>
      <c r="W691" s="4"/>
      <c r="X691" s="4"/>
      <c r="Y691" s="4"/>
      <c r="Z691" s="4"/>
      <c r="AA691" s="4"/>
      <c r="AB691" s="4"/>
      <c r="AC691" s="4"/>
      <c r="AD691" s="4"/>
      <c r="AE691" s="4"/>
      <c r="AF691" s="4"/>
      <c r="AG691" s="4"/>
    </row>
    <row r="692">
      <c r="A692" s="7"/>
      <c r="B692" s="7"/>
      <c r="C692" s="7"/>
      <c r="D692" s="7"/>
      <c r="E692" s="4"/>
      <c r="F692" s="4"/>
      <c r="G692" s="7"/>
      <c r="H692" s="4"/>
      <c r="I692" s="7"/>
      <c r="J692" s="4"/>
      <c r="K692" s="4"/>
      <c r="L692" s="4"/>
      <c r="M692" s="4"/>
      <c r="N692" s="7"/>
      <c r="O692" s="4"/>
      <c r="P692" s="4"/>
      <c r="Q692" s="4"/>
      <c r="R692" s="4"/>
      <c r="S692" s="4"/>
      <c r="T692" s="4"/>
      <c r="U692" s="4"/>
      <c r="V692" s="4"/>
      <c r="W692" s="4"/>
      <c r="X692" s="4"/>
      <c r="Y692" s="4"/>
      <c r="Z692" s="4"/>
      <c r="AA692" s="4"/>
      <c r="AB692" s="4"/>
      <c r="AC692" s="4"/>
      <c r="AD692" s="4"/>
      <c r="AE692" s="4"/>
      <c r="AF692" s="4"/>
      <c r="AG692" s="4"/>
    </row>
    <row r="693">
      <c r="A693" s="7"/>
      <c r="B693" s="7"/>
      <c r="C693" s="7"/>
      <c r="D693" s="7"/>
      <c r="E693" s="4"/>
      <c r="F693" s="4"/>
      <c r="G693" s="7"/>
      <c r="H693" s="4"/>
      <c r="I693" s="7"/>
      <c r="J693" s="4"/>
      <c r="K693" s="4"/>
      <c r="L693" s="4"/>
      <c r="M693" s="4"/>
      <c r="N693" s="7"/>
      <c r="O693" s="4"/>
      <c r="P693" s="4"/>
      <c r="Q693" s="4"/>
      <c r="R693" s="4"/>
      <c r="S693" s="4"/>
      <c r="T693" s="4"/>
      <c r="U693" s="4"/>
      <c r="V693" s="4"/>
      <c r="W693" s="4"/>
      <c r="X693" s="4"/>
      <c r="Y693" s="4"/>
      <c r="Z693" s="4"/>
      <c r="AA693" s="4"/>
      <c r="AB693" s="4"/>
      <c r="AC693" s="4"/>
      <c r="AD693" s="4"/>
      <c r="AE693" s="4"/>
      <c r="AF693" s="4"/>
      <c r="AG693" s="4"/>
    </row>
    <row r="694">
      <c r="A694" s="7"/>
      <c r="B694" s="7"/>
      <c r="C694" s="7"/>
      <c r="D694" s="7"/>
      <c r="E694" s="4"/>
      <c r="F694" s="4"/>
      <c r="G694" s="7"/>
      <c r="H694" s="4"/>
      <c r="I694" s="7"/>
      <c r="J694" s="4"/>
      <c r="K694" s="4"/>
      <c r="L694" s="4"/>
      <c r="M694" s="4"/>
      <c r="N694" s="7"/>
      <c r="O694" s="4"/>
      <c r="P694" s="4"/>
      <c r="Q694" s="4"/>
      <c r="R694" s="4"/>
      <c r="S694" s="4"/>
      <c r="T694" s="4"/>
      <c r="U694" s="4"/>
      <c r="V694" s="4"/>
      <c r="W694" s="4"/>
      <c r="X694" s="4"/>
      <c r="Y694" s="4"/>
      <c r="Z694" s="4"/>
      <c r="AA694" s="4"/>
      <c r="AB694" s="4"/>
      <c r="AC694" s="4"/>
      <c r="AD694" s="4"/>
      <c r="AE694" s="4"/>
      <c r="AF694" s="4"/>
      <c r="AG694" s="4"/>
    </row>
    <row r="695">
      <c r="A695" s="7"/>
      <c r="B695" s="7"/>
      <c r="C695" s="7"/>
      <c r="D695" s="7"/>
      <c r="E695" s="4"/>
      <c r="F695" s="4"/>
      <c r="G695" s="7"/>
      <c r="H695" s="4"/>
      <c r="I695" s="7"/>
      <c r="J695" s="4"/>
      <c r="K695" s="4"/>
      <c r="L695" s="4"/>
      <c r="M695" s="4"/>
      <c r="N695" s="7"/>
      <c r="O695" s="4"/>
      <c r="P695" s="4"/>
      <c r="Q695" s="4"/>
      <c r="R695" s="4"/>
      <c r="S695" s="4"/>
      <c r="T695" s="4"/>
      <c r="U695" s="4"/>
      <c r="V695" s="4"/>
      <c r="W695" s="4"/>
      <c r="X695" s="4"/>
      <c r="Y695" s="4"/>
      <c r="Z695" s="4"/>
      <c r="AA695" s="4"/>
      <c r="AB695" s="4"/>
      <c r="AC695" s="4"/>
      <c r="AD695" s="4"/>
      <c r="AE695" s="4"/>
      <c r="AF695" s="4"/>
      <c r="AG695" s="4"/>
    </row>
    <row r="696">
      <c r="A696" s="7"/>
      <c r="B696" s="7"/>
      <c r="C696" s="7"/>
      <c r="D696" s="7"/>
      <c r="E696" s="4"/>
      <c r="F696" s="4"/>
      <c r="G696" s="7"/>
      <c r="H696" s="4"/>
      <c r="I696" s="7"/>
      <c r="J696" s="4"/>
      <c r="K696" s="4"/>
      <c r="L696" s="4"/>
      <c r="M696" s="4"/>
      <c r="N696" s="7"/>
      <c r="O696" s="4"/>
      <c r="P696" s="4"/>
      <c r="Q696" s="4"/>
      <c r="R696" s="4"/>
      <c r="S696" s="4"/>
      <c r="T696" s="4"/>
      <c r="U696" s="4"/>
      <c r="V696" s="4"/>
      <c r="W696" s="4"/>
      <c r="X696" s="4"/>
      <c r="Y696" s="4"/>
      <c r="Z696" s="4"/>
      <c r="AA696" s="4"/>
      <c r="AB696" s="4"/>
      <c r="AC696" s="4"/>
      <c r="AD696" s="4"/>
      <c r="AE696" s="4"/>
      <c r="AF696" s="4"/>
      <c r="AG696" s="4"/>
    </row>
    <row r="697">
      <c r="A697" s="7"/>
      <c r="B697" s="7"/>
      <c r="C697" s="7"/>
      <c r="D697" s="7"/>
      <c r="E697" s="4"/>
      <c r="F697" s="4"/>
      <c r="G697" s="7"/>
      <c r="H697" s="4"/>
      <c r="I697" s="7"/>
      <c r="J697" s="4"/>
      <c r="K697" s="4"/>
      <c r="L697" s="4"/>
      <c r="M697" s="4"/>
      <c r="N697" s="7"/>
      <c r="O697" s="4"/>
      <c r="P697" s="4"/>
      <c r="Q697" s="4"/>
      <c r="R697" s="4"/>
      <c r="S697" s="4"/>
      <c r="T697" s="4"/>
      <c r="U697" s="4"/>
      <c r="V697" s="4"/>
      <c r="W697" s="4"/>
      <c r="X697" s="4"/>
      <c r="Y697" s="4"/>
      <c r="Z697" s="4"/>
      <c r="AA697" s="4"/>
      <c r="AB697" s="4"/>
      <c r="AC697" s="4"/>
      <c r="AD697" s="4"/>
      <c r="AE697" s="4"/>
      <c r="AF697" s="4"/>
      <c r="AG697" s="4"/>
    </row>
    <row r="698">
      <c r="A698" s="7"/>
      <c r="B698" s="7"/>
      <c r="C698" s="7"/>
      <c r="D698" s="7"/>
      <c r="E698" s="4"/>
      <c r="F698" s="4"/>
      <c r="G698" s="7"/>
      <c r="H698" s="4"/>
      <c r="I698" s="7"/>
      <c r="J698" s="4"/>
      <c r="K698" s="4"/>
      <c r="L698" s="4"/>
      <c r="M698" s="4"/>
      <c r="N698" s="7"/>
      <c r="O698" s="4"/>
      <c r="P698" s="4"/>
      <c r="Q698" s="4"/>
      <c r="R698" s="4"/>
      <c r="S698" s="4"/>
      <c r="T698" s="4"/>
      <c r="U698" s="4"/>
      <c r="V698" s="4"/>
      <c r="W698" s="4"/>
      <c r="X698" s="4"/>
      <c r="Y698" s="4"/>
      <c r="Z698" s="4"/>
      <c r="AA698" s="4"/>
      <c r="AB698" s="4"/>
      <c r="AC698" s="4"/>
      <c r="AD698" s="4"/>
      <c r="AE698" s="4"/>
      <c r="AF698" s="4"/>
      <c r="AG698" s="4"/>
    </row>
    <row r="699">
      <c r="A699" s="7"/>
      <c r="B699" s="7"/>
      <c r="C699" s="7"/>
      <c r="D699" s="7"/>
      <c r="E699" s="4"/>
      <c r="F699" s="4"/>
      <c r="G699" s="7"/>
      <c r="H699" s="4"/>
      <c r="I699" s="7"/>
      <c r="J699" s="4"/>
      <c r="K699" s="4"/>
      <c r="L699" s="4"/>
      <c r="M699" s="4"/>
      <c r="N699" s="7"/>
      <c r="O699" s="4"/>
      <c r="P699" s="4"/>
      <c r="Q699" s="4"/>
      <c r="R699" s="4"/>
      <c r="S699" s="4"/>
      <c r="T699" s="4"/>
      <c r="U699" s="4"/>
      <c r="V699" s="4"/>
      <c r="W699" s="4"/>
      <c r="X699" s="4"/>
      <c r="Y699" s="4"/>
      <c r="Z699" s="4"/>
      <c r="AA699" s="4"/>
      <c r="AB699" s="4"/>
      <c r="AC699" s="4"/>
      <c r="AD699" s="4"/>
      <c r="AE699" s="4"/>
      <c r="AF699" s="4"/>
      <c r="AG699" s="4"/>
    </row>
    <row r="700">
      <c r="A700" s="7"/>
      <c r="B700" s="7"/>
      <c r="C700" s="7"/>
      <c r="D700" s="7"/>
      <c r="E700" s="4"/>
      <c r="F700" s="4"/>
      <c r="G700" s="7"/>
      <c r="H700" s="4"/>
      <c r="I700" s="7"/>
      <c r="J700" s="4"/>
      <c r="K700" s="4"/>
      <c r="L700" s="4"/>
      <c r="M700" s="4"/>
      <c r="N700" s="7"/>
      <c r="O700" s="4"/>
      <c r="P700" s="4"/>
      <c r="Q700" s="4"/>
      <c r="R700" s="4"/>
      <c r="S700" s="4"/>
      <c r="T700" s="4"/>
      <c r="U700" s="4"/>
      <c r="V700" s="4"/>
      <c r="W700" s="4"/>
      <c r="X700" s="4"/>
      <c r="Y700" s="4"/>
      <c r="Z700" s="4"/>
      <c r="AA700" s="4"/>
      <c r="AB700" s="4"/>
      <c r="AC700" s="4"/>
      <c r="AD700" s="4"/>
      <c r="AE700" s="4"/>
      <c r="AF700" s="4"/>
      <c r="AG700" s="4"/>
    </row>
    <row r="701">
      <c r="A701" s="7"/>
      <c r="B701" s="7"/>
      <c r="C701" s="7"/>
      <c r="D701" s="7"/>
      <c r="E701" s="4"/>
      <c r="F701" s="4"/>
      <c r="G701" s="7"/>
      <c r="H701" s="4"/>
      <c r="I701" s="7"/>
      <c r="J701" s="4"/>
      <c r="K701" s="4"/>
      <c r="L701" s="4"/>
      <c r="M701" s="4"/>
      <c r="N701" s="7"/>
      <c r="O701" s="4"/>
      <c r="P701" s="4"/>
      <c r="Q701" s="4"/>
      <c r="R701" s="4"/>
      <c r="S701" s="4"/>
      <c r="T701" s="4"/>
      <c r="U701" s="4"/>
      <c r="V701" s="4"/>
      <c r="W701" s="4"/>
      <c r="X701" s="4"/>
      <c r="Y701" s="4"/>
      <c r="Z701" s="4"/>
      <c r="AA701" s="4"/>
      <c r="AB701" s="4"/>
      <c r="AC701" s="4"/>
      <c r="AD701" s="4"/>
      <c r="AE701" s="4"/>
      <c r="AF701" s="4"/>
      <c r="AG701" s="4"/>
    </row>
    <row r="702">
      <c r="A702" s="7"/>
      <c r="B702" s="7"/>
      <c r="C702" s="7"/>
      <c r="D702" s="7"/>
      <c r="E702" s="4"/>
      <c r="F702" s="4"/>
      <c r="G702" s="7"/>
      <c r="H702" s="4"/>
      <c r="I702" s="7"/>
      <c r="J702" s="4"/>
      <c r="K702" s="4"/>
      <c r="L702" s="4"/>
      <c r="M702" s="4"/>
      <c r="N702" s="7"/>
      <c r="O702" s="4"/>
      <c r="P702" s="4"/>
      <c r="Q702" s="4"/>
      <c r="R702" s="4"/>
      <c r="S702" s="4"/>
      <c r="T702" s="4"/>
      <c r="U702" s="4"/>
      <c r="V702" s="4"/>
      <c r="W702" s="4"/>
      <c r="X702" s="4"/>
      <c r="Y702" s="4"/>
      <c r="Z702" s="4"/>
      <c r="AA702" s="4"/>
      <c r="AB702" s="4"/>
      <c r="AC702" s="4"/>
      <c r="AD702" s="4"/>
      <c r="AE702" s="4"/>
      <c r="AF702" s="4"/>
      <c r="AG702" s="4"/>
    </row>
    <row r="703">
      <c r="A703" s="7"/>
      <c r="B703" s="7"/>
      <c r="C703" s="7"/>
      <c r="D703" s="7"/>
      <c r="E703" s="4"/>
      <c r="F703" s="4"/>
      <c r="G703" s="7"/>
      <c r="H703" s="4"/>
      <c r="I703" s="7"/>
      <c r="J703" s="4"/>
      <c r="K703" s="4"/>
      <c r="L703" s="4"/>
      <c r="M703" s="4"/>
      <c r="N703" s="7"/>
      <c r="O703" s="4"/>
      <c r="P703" s="4"/>
      <c r="Q703" s="4"/>
      <c r="R703" s="4"/>
      <c r="S703" s="4"/>
      <c r="T703" s="4"/>
      <c r="U703" s="4"/>
      <c r="V703" s="4"/>
      <c r="W703" s="4"/>
      <c r="X703" s="4"/>
      <c r="Y703" s="4"/>
      <c r="Z703" s="4"/>
      <c r="AA703" s="4"/>
      <c r="AB703" s="4"/>
      <c r="AC703" s="4"/>
      <c r="AD703" s="4"/>
      <c r="AE703" s="4"/>
      <c r="AF703" s="4"/>
      <c r="AG703" s="4"/>
    </row>
    <row r="704">
      <c r="A704" s="7"/>
      <c r="B704" s="7"/>
      <c r="C704" s="7"/>
      <c r="D704" s="7"/>
      <c r="E704" s="4"/>
      <c r="F704" s="4"/>
      <c r="G704" s="7"/>
      <c r="H704" s="4"/>
      <c r="I704" s="7"/>
      <c r="J704" s="4"/>
      <c r="K704" s="4"/>
      <c r="L704" s="4"/>
      <c r="M704" s="4"/>
      <c r="N704" s="7"/>
      <c r="O704" s="4"/>
      <c r="P704" s="4"/>
      <c r="Q704" s="4"/>
      <c r="R704" s="4"/>
      <c r="S704" s="4"/>
      <c r="T704" s="4"/>
      <c r="U704" s="4"/>
      <c r="V704" s="4"/>
      <c r="W704" s="4"/>
      <c r="X704" s="4"/>
      <c r="Y704" s="4"/>
      <c r="Z704" s="4"/>
      <c r="AA704" s="4"/>
      <c r="AB704" s="4"/>
      <c r="AC704" s="4"/>
      <c r="AD704" s="4"/>
      <c r="AE704" s="4"/>
      <c r="AF704" s="4"/>
      <c r="AG704" s="4"/>
    </row>
    <row r="705">
      <c r="A705" s="7"/>
      <c r="B705" s="7"/>
      <c r="C705" s="7"/>
      <c r="D705" s="7"/>
      <c r="E705" s="4"/>
      <c r="F705" s="4"/>
      <c r="G705" s="7"/>
      <c r="H705" s="4"/>
      <c r="I705" s="7"/>
      <c r="J705" s="4"/>
      <c r="K705" s="4"/>
      <c r="L705" s="4"/>
      <c r="M705" s="4"/>
      <c r="N705" s="7"/>
      <c r="O705" s="4"/>
      <c r="P705" s="4"/>
      <c r="Q705" s="4"/>
      <c r="R705" s="4"/>
      <c r="S705" s="4"/>
      <c r="T705" s="4"/>
      <c r="U705" s="4"/>
      <c r="V705" s="4"/>
      <c r="W705" s="4"/>
      <c r="X705" s="4"/>
      <c r="Y705" s="4"/>
      <c r="Z705" s="4"/>
      <c r="AA705" s="4"/>
      <c r="AB705" s="4"/>
      <c r="AC705" s="4"/>
      <c r="AD705" s="4"/>
      <c r="AE705" s="4"/>
      <c r="AF705" s="4"/>
      <c r="AG705" s="4"/>
    </row>
    <row r="706">
      <c r="A706" s="7"/>
      <c r="B706" s="7"/>
      <c r="C706" s="7"/>
      <c r="D706" s="7"/>
      <c r="E706" s="4"/>
      <c r="F706" s="4"/>
      <c r="G706" s="7"/>
      <c r="H706" s="4"/>
      <c r="I706" s="7"/>
      <c r="J706" s="4"/>
      <c r="K706" s="4"/>
      <c r="L706" s="4"/>
      <c r="M706" s="4"/>
      <c r="N706" s="7"/>
      <c r="O706" s="4"/>
      <c r="P706" s="4"/>
      <c r="Q706" s="4"/>
      <c r="R706" s="4"/>
      <c r="S706" s="4"/>
      <c r="T706" s="4"/>
      <c r="U706" s="4"/>
      <c r="V706" s="4"/>
      <c r="W706" s="4"/>
      <c r="X706" s="4"/>
      <c r="Y706" s="4"/>
      <c r="Z706" s="4"/>
      <c r="AA706" s="4"/>
      <c r="AB706" s="4"/>
      <c r="AC706" s="4"/>
      <c r="AD706" s="4"/>
      <c r="AE706" s="4"/>
      <c r="AF706" s="4"/>
      <c r="AG706" s="4"/>
    </row>
    <row r="707">
      <c r="A707" s="7"/>
      <c r="B707" s="7"/>
      <c r="C707" s="7"/>
      <c r="D707" s="7"/>
      <c r="E707" s="4"/>
      <c r="F707" s="4"/>
      <c r="G707" s="7"/>
      <c r="H707" s="4"/>
      <c r="I707" s="7"/>
      <c r="J707" s="4"/>
      <c r="K707" s="4"/>
      <c r="L707" s="4"/>
      <c r="M707" s="4"/>
      <c r="N707" s="7"/>
      <c r="O707" s="4"/>
      <c r="P707" s="4"/>
      <c r="Q707" s="4"/>
      <c r="R707" s="4"/>
      <c r="S707" s="4"/>
      <c r="T707" s="4"/>
      <c r="U707" s="4"/>
      <c r="V707" s="4"/>
      <c r="W707" s="4"/>
      <c r="X707" s="4"/>
      <c r="Y707" s="4"/>
      <c r="Z707" s="4"/>
      <c r="AA707" s="4"/>
      <c r="AB707" s="4"/>
      <c r="AC707" s="4"/>
      <c r="AD707" s="4"/>
      <c r="AE707" s="4"/>
      <c r="AF707" s="4"/>
      <c r="AG707" s="4"/>
    </row>
    <row r="708">
      <c r="A708" s="7"/>
      <c r="B708" s="7"/>
      <c r="C708" s="7"/>
      <c r="D708" s="7"/>
      <c r="E708" s="4"/>
      <c r="F708" s="4"/>
      <c r="G708" s="7"/>
      <c r="H708" s="4"/>
      <c r="I708" s="7"/>
      <c r="J708" s="4"/>
      <c r="K708" s="4"/>
      <c r="L708" s="4"/>
      <c r="M708" s="4"/>
      <c r="N708" s="7"/>
      <c r="O708" s="4"/>
      <c r="P708" s="4"/>
      <c r="Q708" s="4"/>
      <c r="R708" s="4"/>
      <c r="S708" s="4"/>
      <c r="T708" s="4"/>
      <c r="U708" s="4"/>
      <c r="V708" s="4"/>
      <c r="W708" s="4"/>
      <c r="X708" s="4"/>
      <c r="Y708" s="4"/>
      <c r="Z708" s="4"/>
      <c r="AA708" s="4"/>
      <c r="AB708" s="4"/>
      <c r="AC708" s="4"/>
      <c r="AD708" s="4"/>
      <c r="AE708" s="4"/>
      <c r="AF708" s="4"/>
      <c r="AG708" s="4"/>
    </row>
    <row r="709">
      <c r="A709" s="7"/>
      <c r="B709" s="7"/>
      <c r="C709" s="7"/>
      <c r="D709" s="7"/>
      <c r="E709" s="4"/>
      <c r="F709" s="4"/>
      <c r="G709" s="7"/>
      <c r="H709" s="4"/>
      <c r="I709" s="7"/>
      <c r="J709" s="4"/>
      <c r="K709" s="4"/>
      <c r="L709" s="4"/>
      <c r="M709" s="4"/>
      <c r="N709" s="7"/>
      <c r="O709" s="4"/>
      <c r="P709" s="4"/>
      <c r="Q709" s="4"/>
      <c r="R709" s="4"/>
      <c r="S709" s="4"/>
      <c r="T709" s="4"/>
      <c r="U709" s="4"/>
      <c r="V709" s="4"/>
      <c r="W709" s="4"/>
      <c r="X709" s="4"/>
      <c r="Y709" s="4"/>
      <c r="Z709" s="4"/>
      <c r="AA709" s="4"/>
      <c r="AB709" s="4"/>
      <c r="AC709" s="4"/>
      <c r="AD709" s="4"/>
      <c r="AE709" s="4"/>
      <c r="AF709" s="4"/>
      <c r="AG709" s="4"/>
    </row>
    <row r="710">
      <c r="A710" s="7"/>
      <c r="B710" s="7"/>
      <c r="C710" s="7"/>
      <c r="D710" s="7"/>
      <c r="E710" s="4"/>
      <c r="F710" s="4"/>
      <c r="G710" s="7"/>
      <c r="H710" s="4"/>
      <c r="I710" s="7"/>
      <c r="J710" s="4"/>
      <c r="K710" s="4"/>
      <c r="L710" s="4"/>
      <c r="M710" s="4"/>
      <c r="N710" s="7"/>
      <c r="O710" s="4"/>
      <c r="P710" s="4"/>
      <c r="Q710" s="4"/>
      <c r="R710" s="4"/>
      <c r="S710" s="4"/>
      <c r="T710" s="4"/>
      <c r="U710" s="4"/>
      <c r="V710" s="4"/>
      <c r="W710" s="4"/>
      <c r="X710" s="4"/>
      <c r="Y710" s="4"/>
      <c r="Z710" s="4"/>
      <c r="AA710" s="4"/>
      <c r="AB710" s="4"/>
      <c r="AC710" s="4"/>
      <c r="AD710" s="4"/>
      <c r="AE710" s="4"/>
      <c r="AF710" s="4"/>
      <c r="AG710" s="4"/>
    </row>
    <row r="711">
      <c r="A711" s="7"/>
      <c r="B711" s="7"/>
      <c r="C711" s="7"/>
      <c r="D711" s="7"/>
      <c r="E711" s="4"/>
      <c r="F711" s="4"/>
      <c r="G711" s="7"/>
      <c r="H711" s="4"/>
      <c r="I711" s="7"/>
      <c r="J711" s="4"/>
      <c r="K711" s="4"/>
      <c r="L711" s="4"/>
      <c r="M711" s="4"/>
      <c r="N711" s="7"/>
      <c r="O711" s="4"/>
      <c r="P711" s="4"/>
      <c r="Q711" s="4"/>
      <c r="R711" s="4"/>
      <c r="S711" s="4"/>
      <c r="T711" s="4"/>
      <c r="U711" s="4"/>
      <c r="V711" s="4"/>
      <c r="W711" s="4"/>
      <c r="X711" s="4"/>
      <c r="Y711" s="4"/>
      <c r="Z711" s="4"/>
      <c r="AA711" s="4"/>
      <c r="AB711" s="4"/>
      <c r="AC711" s="4"/>
      <c r="AD711" s="4"/>
      <c r="AE711" s="4"/>
      <c r="AF711" s="4"/>
      <c r="AG711" s="4"/>
    </row>
    <row r="712">
      <c r="A712" s="7"/>
      <c r="B712" s="7"/>
      <c r="C712" s="7"/>
      <c r="D712" s="7"/>
      <c r="E712" s="4"/>
      <c r="F712" s="4"/>
      <c r="G712" s="4"/>
      <c r="H712" s="4"/>
      <c r="I712" s="7"/>
      <c r="J712" s="4"/>
      <c r="K712" s="4"/>
      <c r="L712" s="4"/>
      <c r="M712" s="4"/>
      <c r="N712" s="7"/>
      <c r="O712" s="4"/>
      <c r="P712" s="4"/>
      <c r="Q712" s="4"/>
      <c r="R712" s="4"/>
      <c r="S712" s="4"/>
      <c r="T712" s="4"/>
      <c r="U712" s="4"/>
      <c r="V712" s="4"/>
      <c r="W712" s="4"/>
      <c r="X712" s="4"/>
      <c r="Y712" s="4"/>
      <c r="Z712" s="4"/>
      <c r="AA712" s="4"/>
      <c r="AB712" s="4"/>
      <c r="AC712" s="4"/>
      <c r="AD712" s="4"/>
      <c r="AE712" s="4"/>
      <c r="AF712" s="4"/>
      <c r="AG712" s="4"/>
    </row>
    <row r="713">
      <c r="A713" s="7"/>
      <c r="B713" s="7"/>
      <c r="C713" s="7"/>
      <c r="D713" s="7"/>
      <c r="E713" s="4"/>
      <c r="F713" s="4"/>
      <c r="G713" s="7"/>
      <c r="H713" s="4"/>
      <c r="I713" s="7"/>
      <c r="J713" s="4"/>
      <c r="K713" s="4"/>
      <c r="L713" s="4"/>
      <c r="M713" s="4"/>
      <c r="N713" s="7"/>
      <c r="O713" s="4"/>
      <c r="P713" s="4"/>
      <c r="Q713" s="4"/>
      <c r="R713" s="4"/>
      <c r="S713" s="4"/>
      <c r="T713" s="4"/>
      <c r="U713" s="4"/>
      <c r="V713" s="4"/>
      <c r="W713" s="4"/>
      <c r="X713" s="4"/>
      <c r="Y713" s="4"/>
      <c r="Z713" s="4"/>
      <c r="AA713" s="4"/>
      <c r="AB713" s="4"/>
      <c r="AC713" s="4"/>
      <c r="AD713" s="4"/>
      <c r="AE713" s="4"/>
      <c r="AF713" s="4"/>
      <c r="AG713" s="4"/>
    </row>
    <row r="714">
      <c r="A714" s="7"/>
      <c r="B714" s="7"/>
      <c r="C714" s="7"/>
      <c r="D714" s="7"/>
      <c r="E714" s="4"/>
      <c r="F714" s="4"/>
      <c r="G714" s="7"/>
      <c r="H714" s="4"/>
      <c r="I714" s="7"/>
      <c r="J714" s="4"/>
      <c r="K714" s="4"/>
      <c r="L714" s="4"/>
      <c r="M714" s="4"/>
      <c r="N714" s="7"/>
      <c r="O714" s="4"/>
      <c r="P714" s="4"/>
      <c r="Q714" s="4"/>
      <c r="R714" s="4"/>
      <c r="S714" s="4"/>
      <c r="T714" s="4"/>
      <c r="U714" s="4"/>
      <c r="V714" s="4"/>
      <c r="W714" s="4"/>
      <c r="X714" s="4"/>
      <c r="Y714" s="4"/>
      <c r="Z714" s="4"/>
      <c r="AA714" s="4"/>
      <c r="AB714" s="4"/>
      <c r="AC714" s="4"/>
      <c r="AD714" s="4"/>
      <c r="AE714" s="4"/>
      <c r="AF714" s="4"/>
      <c r="AG714" s="4"/>
    </row>
    <row r="715">
      <c r="A715" s="7"/>
      <c r="B715" s="7"/>
      <c r="C715" s="7"/>
      <c r="D715" s="7"/>
      <c r="E715" s="4"/>
      <c r="F715" s="4"/>
      <c r="G715" s="4"/>
      <c r="H715" s="4"/>
      <c r="I715" s="4"/>
      <c r="J715" s="4"/>
      <c r="K715" s="4"/>
      <c r="L715" s="4"/>
      <c r="M715" s="4"/>
      <c r="N715" s="4"/>
      <c r="O715" s="4"/>
      <c r="P715" s="4"/>
      <c r="Q715" s="4"/>
      <c r="R715" s="4"/>
      <c r="S715" s="4"/>
      <c r="T715" s="4"/>
      <c r="U715" s="4"/>
      <c r="V715" s="4"/>
      <c r="W715" s="4"/>
      <c r="X715" s="4"/>
      <c r="Y715" s="4"/>
      <c r="Z715" s="4"/>
      <c r="AA715" s="4"/>
      <c r="AB715" s="7"/>
      <c r="AC715" s="7"/>
      <c r="AD715" s="4"/>
      <c r="AE715" s="4"/>
      <c r="AF715" s="4"/>
      <c r="AG715" s="4"/>
    </row>
    <row r="716">
      <c r="A716" s="7"/>
      <c r="B716" s="7"/>
      <c r="C716" s="7"/>
      <c r="D716" s="7"/>
      <c r="E716" s="4"/>
      <c r="F716" s="4"/>
      <c r="G716" s="4"/>
      <c r="H716" s="4"/>
      <c r="I716" s="4"/>
      <c r="J716" s="4"/>
      <c r="K716" s="4"/>
      <c r="L716" s="4"/>
      <c r="M716" s="4"/>
      <c r="N716" s="4"/>
      <c r="O716" s="4"/>
      <c r="P716" s="4"/>
      <c r="Q716" s="4"/>
      <c r="R716" s="4"/>
      <c r="S716" s="4"/>
      <c r="T716" s="4"/>
      <c r="U716" s="4"/>
      <c r="V716" s="4"/>
      <c r="W716" s="4"/>
      <c r="X716" s="4"/>
      <c r="Y716" s="4"/>
      <c r="Z716" s="4"/>
      <c r="AA716" s="4"/>
      <c r="AB716" s="7"/>
      <c r="AC716" s="7"/>
      <c r="AD716" s="4"/>
      <c r="AE716" s="4"/>
      <c r="AF716" s="4"/>
      <c r="AG716" s="4"/>
    </row>
    <row r="717">
      <c r="A717" s="7"/>
      <c r="B717" s="7"/>
      <c r="C717" s="7"/>
      <c r="D717" s="7"/>
      <c r="E717" s="4"/>
      <c r="F717" s="4"/>
      <c r="G717" s="4"/>
      <c r="H717" s="4"/>
      <c r="I717" s="4"/>
      <c r="J717" s="4"/>
      <c r="K717" s="4"/>
      <c r="L717" s="4"/>
      <c r="M717" s="4"/>
      <c r="N717" s="4"/>
      <c r="O717" s="4"/>
      <c r="P717" s="4"/>
      <c r="Q717" s="4"/>
      <c r="R717" s="4"/>
      <c r="S717" s="4"/>
      <c r="T717" s="4"/>
      <c r="U717" s="4"/>
      <c r="V717" s="4"/>
      <c r="W717" s="4"/>
      <c r="X717" s="4"/>
      <c r="Y717" s="4"/>
      <c r="Z717" s="4"/>
      <c r="AA717" s="4"/>
      <c r="AB717" s="7"/>
      <c r="AC717" s="7"/>
      <c r="AD717" s="4"/>
      <c r="AE717" s="4"/>
      <c r="AF717" s="4"/>
      <c r="AG717" s="4"/>
    </row>
    <row r="718">
      <c r="A718" s="7"/>
      <c r="B718" s="7"/>
      <c r="C718" s="7"/>
      <c r="D718" s="7"/>
      <c r="E718" s="4"/>
      <c r="F718" s="4"/>
      <c r="G718" s="4"/>
      <c r="H718" s="4"/>
      <c r="I718" s="4"/>
      <c r="J718" s="4"/>
      <c r="K718" s="4"/>
      <c r="L718" s="4"/>
      <c r="M718" s="4"/>
      <c r="N718" s="4"/>
      <c r="O718" s="4"/>
      <c r="P718" s="4"/>
      <c r="Q718" s="4"/>
      <c r="R718" s="4"/>
      <c r="S718" s="4"/>
      <c r="T718" s="4"/>
      <c r="U718" s="4"/>
      <c r="V718" s="4"/>
      <c r="W718" s="4"/>
      <c r="X718" s="4"/>
      <c r="Y718" s="4"/>
      <c r="Z718" s="4"/>
      <c r="AA718" s="4"/>
      <c r="AB718" s="7"/>
      <c r="AC718" s="7"/>
      <c r="AD718" s="4"/>
      <c r="AE718" s="4"/>
      <c r="AF718" s="4"/>
      <c r="AG718" s="4"/>
    </row>
    <row r="719">
      <c r="A719" s="7"/>
      <c r="B719" s="7"/>
      <c r="C719" s="7"/>
      <c r="D719" s="7"/>
      <c r="E719" s="4"/>
      <c r="F719" s="4"/>
      <c r="G719" s="4"/>
      <c r="H719" s="4"/>
      <c r="I719" s="4"/>
      <c r="J719" s="4"/>
      <c r="K719" s="4"/>
      <c r="L719" s="4"/>
      <c r="M719" s="4"/>
      <c r="N719" s="4"/>
      <c r="O719" s="4"/>
      <c r="P719" s="4"/>
      <c r="Q719" s="4"/>
      <c r="R719" s="4"/>
      <c r="S719" s="4"/>
      <c r="T719" s="4"/>
      <c r="U719" s="4"/>
      <c r="V719" s="4"/>
      <c r="W719" s="4"/>
      <c r="X719" s="4"/>
      <c r="Y719" s="4"/>
      <c r="Z719" s="4"/>
      <c r="AA719" s="4"/>
      <c r="AB719" s="7"/>
      <c r="AC719" s="7"/>
      <c r="AD719" s="4"/>
      <c r="AE719" s="4"/>
      <c r="AF719" s="4"/>
      <c r="AG719" s="4"/>
    </row>
    <row r="720">
      <c r="A720" s="7"/>
      <c r="B720" s="7"/>
      <c r="C720" s="7"/>
      <c r="D720" s="7"/>
      <c r="E720" s="4"/>
      <c r="F720" s="4"/>
      <c r="G720" s="4"/>
      <c r="H720" s="4"/>
      <c r="I720" s="4"/>
      <c r="J720" s="4"/>
      <c r="K720" s="4"/>
      <c r="L720" s="4"/>
      <c r="M720" s="4"/>
      <c r="N720" s="4"/>
      <c r="O720" s="4"/>
      <c r="P720" s="4"/>
      <c r="Q720" s="4"/>
      <c r="R720" s="4"/>
      <c r="S720" s="4"/>
      <c r="T720" s="4"/>
      <c r="U720" s="4"/>
      <c r="V720" s="4"/>
      <c r="W720" s="4"/>
      <c r="X720" s="4"/>
      <c r="Y720" s="4"/>
      <c r="Z720" s="4"/>
      <c r="AA720" s="4"/>
      <c r="AB720" s="7"/>
      <c r="AC720" s="7"/>
      <c r="AD720" s="4"/>
      <c r="AE720" s="4"/>
      <c r="AF720" s="4"/>
      <c r="AG720" s="4"/>
    </row>
    <row r="721">
      <c r="A721" s="7"/>
      <c r="B721" s="7"/>
      <c r="C721" s="7"/>
      <c r="D721" s="7"/>
      <c r="E721" s="4"/>
      <c r="F721" s="4"/>
      <c r="G721" s="4"/>
      <c r="H721" s="4"/>
      <c r="I721" s="4"/>
      <c r="J721" s="4"/>
      <c r="K721" s="4"/>
      <c r="L721" s="4"/>
      <c r="M721" s="4"/>
      <c r="N721" s="4"/>
      <c r="O721" s="4"/>
      <c r="P721" s="4"/>
      <c r="Q721" s="4"/>
      <c r="R721" s="4"/>
      <c r="S721" s="4"/>
      <c r="T721" s="4"/>
      <c r="U721" s="4"/>
      <c r="V721" s="4"/>
      <c r="W721" s="4"/>
      <c r="X721" s="4"/>
      <c r="Y721" s="4"/>
      <c r="Z721" s="4"/>
      <c r="AA721" s="4"/>
      <c r="AB721" s="7"/>
      <c r="AC721" s="7"/>
      <c r="AD721" s="4"/>
      <c r="AE721" s="4"/>
      <c r="AF721" s="4"/>
      <c r="AG721" s="4"/>
    </row>
    <row r="722">
      <c r="A722" s="7"/>
      <c r="B722" s="7"/>
      <c r="C722" s="7"/>
      <c r="D722" s="7"/>
      <c r="E722" s="4"/>
      <c r="F722" s="4"/>
      <c r="G722" s="4"/>
      <c r="H722" s="4"/>
      <c r="I722" s="4"/>
      <c r="J722" s="4"/>
      <c r="K722" s="4"/>
      <c r="L722" s="4"/>
      <c r="M722" s="4"/>
      <c r="N722" s="4"/>
      <c r="O722" s="4"/>
      <c r="P722" s="4"/>
      <c r="Q722" s="4"/>
      <c r="R722" s="4"/>
      <c r="S722" s="4"/>
      <c r="T722" s="4"/>
      <c r="U722" s="4"/>
      <c r="V722" s="4"/>
      <c r="W722" s="4"/>
      <c r="X722" s="4"/>
      <c r="Y722" s="4"/>
      <c r="Z722" s="4"/>
      <c r="AA722" s="4"/>
      <c r="AB722" s="7"/>
      <c r="AC722" s="7"/>
      <c r="AD722" s="4"/>
      <c r="AE722" s="4"/>
      <c r="AF722" s="4"/>
      <c r="AG722" s="4"/>
    </row>
    <row r="723">
      <c r="A723" s="7"/>
      <c r="B723" s="7"/>
      <c r="C723" s="7"/>
      <c r="D723" s="7"/>
      <c r="E723" s="4"/>
      <c r="F723" s="4"/>
      <c r="G723" s="4"/>
      <c r="H723" s="4"/>
      <c r="I723" s="4"/>
      <c r="J723" s="4"/>
      <c r="K723" s="4"/>
      <c r="L723" s="4"/>
      <c r="M723" s="4"/>
      <c r="N723" s="4"/>
      <c r="O723" s="4"/>
      <c r="P723" s="4"/>
      <c r="Q723" s="4"/>
      <c r="R723" s="4"/>
      <c r="S723" s="4"/>
      <c r="T723" s="4"/>
      <c r="U723" s="4"/>
      <c r="V723" s="4"/>
      <c r="W723" s="4"/>
      <c r="X723" s="4"/>
      <c r="Y723" s="4"/>
      <c r="Z723" s="4"/>
      <c r="AA723" s="4"/>
      <c r="AB723" s="7"/>
      <c r="AC723" s="7"/>
      <c r="AD723" s="4"/>
      <c r="AE723" s="4"/>
      <c r="AF723" s="4"/>
      <c r="AG723" s="4"/>
    </row>
    <row r="724">
      <c r="A724" s="7"/>
      <c r="B724" s="7"/>
      <c r="C724" s="7"/>
      <c r="D724" s="7"/>
      <c r="E724" s="4"/>
      <c r="F724" s="4"/>
      <c r="G724" s="4"/>
      <c r="H724" s="4"/>
      <c r="I724" s="4"/>
      <c r="J724" s="4"/>
      <c r="K724" s="4"/>
      <c r="L724" s="4"/>
      <c r="M724" s="4"/>
      <c r="N724" s="4"/>
      <c r="O724" s="4"/>
      <c r="P724" s="4"/>
      <c r="Q724" s="4"/>
      <c r="R724" s="4"/>
      <c r="S724" s="4"/>
      <c r="T724" s="4"/>
      <c r="U724" s="4"/>
      <c r="V724" s="4"/>
      <c r="W724" s="4"/>
      <c r="X724" s="4"/>
      <c r="Y724" s="4"/>
      <c r="Z724" s="4"/>
      <c r="AA724" s="4"/>
      <c r="AB724" s="7"/>
      <c r="AC724" s="7"/>
      <c r="AD724" s="4"/>
      <c r="AE724" s="4"/>
      <c r="AF724" s="4"/>
      <c r="AG724" s="4"/>
    </row>
    <row r="725">
      <c r="A725" s="7"/>
      <c r="B725" s="7"/>
      <c r="C725" s="7"/>
      <c r="D725" s="7"/>
      <c r="E725" s="4"/>
      <c r="F725" s="4"/>
      <c r="G725" s="4"/>
      <c r="H725" s="4"/>
      <c r="I725" s="4"/>
      <c r="J725" s="4"/>
      <c r="K725" s="4"/>
      <c r="L725" s="4"/>
      <c r="M725" s="4"/>
      <c r="N725" s="4"/>
      <c r="O725" s="4"/>
      <c r="P725" s="4"/>
      <c r="Q725" s="4"/>
      <c r="R725" s="4"/>
      <c r="S725" s="4"/>
      <c r="T725" s="4"/>
      <c r="U725" s="4"/>
      <c r="V725" s="4"/>
      <c r="W725" s="4"/>
      <c r="X725" s="4"/>
      <c r="Y725" s="4"/>
      <c r="Z725" s="4"/>
      <c r="AA725" s="4"/>
      <c r="AB725" s="7"/>
      <c r="AC725" s="7"/>
      <c r="AD725" s="4"/>
      <c r="AE725" s="4"/>
      <c r="AF725" s="4"/>
      <c r="AG725" s="4"/>
    </row>
    <row r="726">
      <c r="A726" s="7"/>
      <c r="B726" s="7"/>
      <c r="C726" s="7"/>
      <c r="D726" s="7"/>
      <c r="E726" s="4"/>
      <c r="F726" s="4"/>
      <c r="G726" s="4"/>
      <c r="H726" s="4"/>
      <c r="I726" s="4"/>
      <c r="J726" s="4"/>
      <c r="K726" s="4"/>
      <c r="L726" s="4"/>
      <c r="M726" s="4"/>
      <c r="N726" s="4"/>
      <c r="O726" s="4"/>
      <c r="P726" s="4"/>
      <c r="Q726" s="4"/>
      <c r="R726" s="4"/>
      <c r="S726" s="4"/>
      <c r="T726" s="4"/>
      <c r="U726" s="4"/>
      <c r="V726" s="4"/>
      <c r="W726" s="4"/>
      <c r="X726" s="4"/>
      <c r="Y726" s="4"/>
      <c r="Z726" s="4"/>
      <c r="AA726" s="4"/>
      <c r="AB726" s="7"/>
      <c r="AC726" s="7"/>
      <c r="AD726" s="4"/>
      <c r="AE726" s="4"/>
      <c r="AF726" s="4"/>
      <c r="AG726" s="4"/>
    </row>
    <row r="727">
      <c r="A727" s="7"/>
      <c r="B727" s="7"/>
      <c r="C727" s="7"/>
      <c r="D727" s="7"/>
      <c r="E727" s="4"/>
      <c r="F727" s="4"/>
      <c r="G727" s="4"/>
      <c r="H727" s="4"/>
      <c r="I727" s="4"/>
      <c r="J727" s="4"/>
      <c r="K727" s="4"/>
      <c r="L727" s="4"/>
      <c r="M727" s="4"/>
      <c r="N727" s="4"/>
      <c r="O727" s="4"/>
      <c r="P727" s="4"/>
      <c r="Q727" s="4"/>
      <c r="R727" s="4"/>
      <c r="S727" s="4"/>
      <c r="T727" s="4"/>
      <c r="U727" s="4"/>
      <c r="V727" s="4"/>
      <c r="W727" s="4"/>
      <c r="X727" s="4"/>
      <c r="Y727" s="4"/>
      <c r="Z727" s="4"/>
      <c r="AA727" s="4"/>
      <c r="AB727" s="7"/>
      <c r="AC727" s="7"/>
      <c r="AD727" s="4"/>
      <c r="AE727" s="4"/>
      <c r="AF727" s="4"/>
      <c r="AG727" s="4"/>
    </row>
    <row r="728">
      <c r="A728" s="7"/>
      <c r="B728" s="7"/>
      <c r="C728" s="7"/>
      <c r="D728" s="7"/>
      <c r="E728" s="4"/>
      <c r="F728" s="4"/>
      <c r="G728" s="4"/>
      <c r="H728" s="4"/>
      <c r="I728" s="4"/>
      <c r="J728" s="4"/>
      <c r="K728" s="4"/>
      <c r="L728" s="4"/>
      <c r="M728" s="4"/>
      <c r="N728" s="4"/>
      <c r="O728" s="4"/>
      <c r="P728" s="4"/>
      <c r="Q728" s="4"/>
      <c r="R728" s="4"/>
      <c r="S728" s="4"/>
      <c r="T728" s="4"/>
      <c r="U728" s="4"/>
      <c r="V728" s="4"/>
      <c r="W728" s="4"/>
      <c r="X728" s="4"/>
      <c r="Y728" s="4"/>
      <c r="Z728" s="4"/>
      <c r="AA728" s="4"/>
      <c r="AB728" s="7"/>
      <c r="AC728" s="7"/>
      <c r="AD728" s="4"/>
      <c r="AE728" s="4"/>
      <c r="AF728" s="4"/>
      <c r="AG728" s="4"/>
    </row>
    <row r="729">
      <c r="A729" s="7"/>
      <c r="B729" s="7"/>
      <c r="C729" s="7"/>
      <c r="D729" s="7"/>
      <c r="E729" s="4"/>
      <c r="F729" s="4"/>
      <c r="G729" s="4"/>
      <c r="H729" s="4"/>
      <c r="I729" s="4"/>
      <c r="J729" s="4"/>
      <c r="K729" s="4"/>
      <c r="L729" s="4"/>
      <c r="M729" s="4"/>
      <c r="N729" s="4"/>
      <c r="O729" s="4"/>
      <c r="P729" s="4"/>
      <c r="Q729" s="4"/>
      <c r="R729" s="4"/>
      <c r="S729" s="4"/>
      <c r="T729" s="4"/>
      <c r="U729" s="4"/>
      <c r="V729" s="4"/>
      <c r="W729" s="4"/>
      <c r="X729" s="4"/>
      <c r="Y729" s="4"/>
      <c r="Z729" s="4"/>
      <c r="AA729" s="4"/>
      <c r="AB729" s="7"/>
      <c r="AC729" s="7"/>
      <c r="AD729" s="4"/>
      <c r="AE729" s="4"/>
      <c r="AF729" s="4"/>
      <c r="AG729" s="4"/>
    </row>
    <row r="730">
      <c r="A730" s="7"/>
      <c r="B730" s="7"/>
      <c r="C730" s="7"/>
      <c r="D730" s="7"/>
      <c r="E730" s="4"/>
      <c r="F730" s="4"/>
      <c r="G730" s="4"/>
      <c r="H730" s="4"/>
      <c r="I730" s="4"/>
      <c r="J730" s="4"/>
      <c r="K730" s="4"/>
      <c r="L730" s="4"/>
      <c r="M730" s="4"/>
      <c r="N730" s="4"/>
      <c r="O730" s="4"/>
      <c r="P730" s="4"/>
      <c r="Q730" s="4"/>
      <c r="R730" s="4"/>
      <c r="S730" s="4"/>
      <c r="T730" s="4"/>
      <c r="U730" s="4"/>
      <c r="V730" s="4"/>
      <c r="W730" s="4"/>
      <c r="X730" s="4"/>
      <c r="Y730" s="4"/>
      <c r="Z730" s="4"/>
      <c r="AA730" s="4"/>
      <c r="AB730" s="7"/>
      <c r="AC730" s="7"/>
      <c r="AD730" s="4"/>
      <c r="AE730" s="4"/>
      <c r="AF730" s="4"/>
      <c r="AG730" s="4"/>
    </row>
    <row r="731">
      <c r="A731" s="7"/>
      <c r="B731" s="7"/>
      <c r="C731" s="7"/>
      <c r="D731" s="7"/>
      <c r="E731" s="4"/>
      <c r="F731" s="4"/>
      <c r="G731" s="4"/>
      <c r="H731" s="4"/>
      <c r="I731" s="4"/>
      <c r="J731" s="4"/>
      <c r="K731" s="4"/>
      <c r="L731" s="4"/>
      <c r="M731" s="4"/>
      <c r="N731" s="4"/>
      <c r="O731" s="4"/>
      <c r="P731" s="4"/>
      <c r="Q731" s="4"/>
      <c r="R731" s="4"/>
      <c r="S731" s="4"/>
      <c r="T731" s="4"/>
      <c r="U731" s="4"/>
      <c r="V731" s="4"/>
      <c r="W731" s="4"/>
      <c r="X731" s="4"/>
      <c r="Y731" s="4"/>
      <c r="Z731" s="4"/>
      <c r="AA731" s="4"/>
      <c r="AB731" s="7"/>
      <c r="AC731" s="7"/>
      <c r="AD731" s="4"/>
      <c r="AE731" s="4"/>
      <c r="AF731" s="4"/>
      <c r="AG731" s="4"/>
    </row>
    <row r="732">
      <c r="A732" s="7"/>
      <c r="B732" s="7"/>
      <c r="C732" s="7"/>
      <c r="D732" s="7"/>
      <c r="E732" s="4"/>
      <c r="F732" s="4"/>
      <c r="G732" s="4"/>
      <c r="H732" s="4"/>
      <c r="I732" s="4"/>
      <c r="J732" s="4"/>
      <c r="K732" s="4"/>
      <c r="L732" s="4"/>
      <c r="M732" s="4"/>
      <c r="N732" s="4"/>
      <c r="O732" s="4"/>
      <c r="P732" s="4"/>
      <c r="Q732" s="4"/>
      <c r="R732" s="4"/>
      <c r="S732" s="4"/>
      <c r="T732" s="4"/>
      <c r="U732" s="4"/>
      <c r="V732" s="4"/>
      <c r="W732" s="4"/>
      <c r="X732" s="4"/>
      <c r="Y732" s="4"/>
      <c r="Z732" s="4"/>
      <c r="AA732" s="4"/>
      <c r="AB732" s="7"/>
      <c r="AC732" s="7"/>
      <c r="AD732" s="4"/>
      <c r="AE732" s="4"/>
      <c r="AF732" s="4"/>
      <c r="AG732" s="4"/>
    </row>
    <row r="733">
      <c r="A733" s="7"/>
      <c r="B733" s="7"/>
      <c r="C733" s="7"/>
      <c r="D733" s="7"/>
      <c r="E733" s="4"/>
      <c r="F733" s="4"/>
      <c r="G733" s="4"/>
      <c r="H733" s="4"/>
      <c r="I733" s="4"/>
      <c r="J733" s="4"/>
      <c r="K733" s="4"/>
      <c r="L733" s="4"/>
      <c r="M733" s="4"/>
      <c r="N733" s="4"/>
      <c r="O733" s="4"/>
      <c r="P733" s="4"/>
      <c r="Q733" s="4"/>
      <c r="R733" s="4"/>
      <c r="S733" s="4"/>
      <c r="T733" s="4"/>
      <c r="U733" s="4"/>
      <c r="V733" s="4"/>
      <c r="W733" s="4"/>
      <c r="X733" s="4"/>
      <c r="Y733" s="4"/>
      <c r="Z733" s="4"/>
      <c r="AA733" s="4"/>
      <c r="AB733" s="7"/>
      <c r="AC733" s="7"/>
      <c r="AD733" s="4"/>
      <c r="AE733" s="4"/>
      <c r="AF733" s="4"/>
      <c r="AG733" s="4"/>
    </row>
    <row r="734">
      <c r="A734" s="7"/>
      <c r="B734" s="7"/>
      <c r="C734" s="7"/>
      <c r="D734" s="7"/>
      <c r="E734" s="4"/>
      <c r="F734" s="4"/>
      <c r="G734" s="4"/>
      <c r="H734" s="4"/>
      <c r="I734" s="4"/>
      <c r="J734" s="4"/>
      <c r="K734" s="4"/>
      <c r="L734" s="4"/>
      <c r="M734" s="4"/>
      <c r="N734" s="4"/>
      <c r="O734" s="4"/>
      <c r="P734" s="4"/>
      <c r="Q734" s="4"/>
      <c r="R734" s="4"/>
      <c r="S734" s="4"/>
      <c r="T734" s="4"/>
      <c r="U734" s="4"/>
      <c r="V734" s="4"/>
      <c r="W734" s="4"/>
      <c r="X734" s="4"/>
      <c r="Y734" s="4"/>
      <c r="Z734" s="4"/>
      <c r="AA734" s="4"/>
      <c r="AB734" s="7"/>
      <c r="AC734" s="7"/>
      <c r="AD734" s="4"/>
      <c r="AE734" s="4"/>
      <c r="AF734" s="4"/>
      <c r="AG734" s="4"/>
    </row>
    <row r="735">
      <c r="A735" s="7"/>
      <c r="B735" s="7"/>
      <c r="C735" s="7"/>
      <c r="D735" s="7"/>
      <c r="E735" s="4"/>
      <c r="F735" s="4"/>
      <c r="G735" s="4"/>
      <c r="H735" s="4"/>
      <c r="I735" s="7"/>
      <c r="J735" s="4"/>
      <c r="K735" s="4"/>
      <c r="L735" s="4"/>
      <c r="M735" s="7"/>
      <c r="N735" s="7"/>
      <c r="O735" s="7"/>
      <c r="P735" s="4"/>
      <c r="Q735" s="4"/>
      <c r="R735" s="4"/>
      <c r="S735" s="4"/>
      <c r="T735" s="4"/>
      <c r="U735" s="4"/>
      <c r="V735" s="4"/>
      <c r="W735" s="4"/>
      <c r="X735" s="4"/>
      <c r="Y735" s="4"/>
      <c r="Z735" s="4"/>
      <c r="AA735" s="4"/>
      <c r="AB735" s="4"/>
      <c r="AC735" s="4"/>
      <c r="AD735" s="4"/>
      <c r="AE735" s="4"/>
      <c r="AF735" s="4"/>
      <c r="AG735" s="4"/>
    </row>
    <row r="736">
      <c r="A736" s="7"/>
      <c r="B736" s="7"/>
      <c r="C736" s="7"/>
      <c r="D736" s="7"/>
      <c r="E736" s="4"/>
      <c r="F736" s="4"/>
      <c r="G736" s="7"/>
      <c r="H736" s="4"/>
      <c r="I736" s="7"/>
      <c r="J736" s="4"/>
      <c r="K736" s="4"/>
      <c r="L736" s="4"/>
      <c r="M736" s="7"/>
      <c r="N736" s="7"/>
      <c r="O736" s="7"/>
      <c r="P736" s="4"/>
      <c r="Q736" s="4"/>
      <c r="R736" s="4"/>
      <c r="S736" s="4"/>
      <c r="T736" s="4"/>
      <c r="U736" s="4"/>
      <c r="V736" s="4"/>
      <c r="W736" s="4"/>
      <c r="X736" s="4"/>
      <c r="Y736" s="4"/>
      <c r="Z736" s="4"/>
      <c r="AA736" s="4"/>
      <c r="AB736" s="4"/>
      <c r="AC736" s="4"/>
      <c r="AD736" s="4"/>
      <c r="AE736" s="4"/>
      <c r="AF736" s="4"/>
      <c r="AG736" s="4"/>
    </row>
    <row r="737">
      <c r="A737" s="7"/>
      <c r="B737" s="7"/>
      <c r="C737" s="7"/>
      <c r="D737" s="7"/>
      <c r="E737" s="4"/>
      <c r="F737" s="4"/>
      <c r="G737" s="7"/>
      <c r="H737" s="4"/>
      <c r="I737" s="7"/>
      <c r="J737" s="4"/>
      <c r="K737" s="4"/>
      <c r="L737" s="4"/>
      <c r="M737" s="7"/>
      <c r="N737" s="7"/>
      <c r="O737" s="7"/>
      <c r="P737" s="4"/>
      <c r="Q737" s="4"/>
      <c r="R737" s="4"/>
      <c r="S737" s="4"/>
      <c r="T737" s="4"/>
      <c r="U737" s="4"/>
      <c r="V737" s="4"/>
      <c r="W737" s="4"/>
      <c r="X737" s="4"/>
      <c r="Y737" s="4"/>
      <c r="Z737" s="4"/>
      <c r="AA737" s="4"/>
      <c r="AB737" s="4"/>
      <c r="AC737" s="4"/>
      <c r="AD737" s="4"/>
      <c r="AE737" s="4"/>
      <c r="AF737" s="4"/>
      <c r="AG737" s="4"/>
    </row>
    <row r="738">
      <c r="A738" s="7"/>
      <c r="B738" s="7"/>
      <c r="C738" s="7"/>
      <c r="D738" s="7"/>
      <c r="E738" s="4"/>
      <c r="F738" s="4"/>
      <c r="G738" s="7"/>
      <c r="H738" s="4"/>
      <c r="I738" s="7"/>
      <c r="J738" s="4"/>
      <c r="K738" s="4"/>
      <c r="L738" s="4"/>
      <c r="M738" s="7"/>
      <c r="N738" s="7"/>
      <c r="O738" s="7"/>
      <c r="P738" s="4"/>
      <c r="Q738" s="4"/>
      <c r="R738" s="4"/>
      <c r="S738" s="4"/>
      <c r="T738" s="4"/>
      <c r="U738" s="4"/>
      <c r="V738" s="4"/>
      <c r="W738" s="4"/>
      <c r="X738" s="4"/>
      <c r="Y738" s="4"/>
      <c r="Z738" s="4"/>
      <c r="AA738" s="4"/>
      <c r="AB738" s="4"/>
      <c r="AC738" s="4"/>
      <c r="AD738" s="4"/>
      <c r="AE738" s="4"/>
      <c r="AF738" s="4"/>
      <c r="AG738" s="4"/>
    </row>
    <row r="739">
      <c r="A739" s="7"/>
      <c r="B739" s="7"/>
      <c r="C739" s="7"/>
      <c r="D739" s="7"/>
      <c r="E739" s="4"/>
      <c r="F739" s="4"/>
      <c r="G739" s="7"/>
      <c r="H739" s="4"/>
      <c r="I739" s="7"/>
      <c r="J739" s="4"/>
      <c r="K739" s="4"/>
      <c r="L739" s="4"/>
      <c r="M739" s="7"/>
      <c r="N739" s="7"/>
      <c r="O739" s="7"/>
      <c r="P739" s="4"/>
      <c r="Q739" s="4"/>
      <c r="R739" s="4"/>
      <c r="S739" s="4"/>
      <c r="T739" s="4"/>
      <c r="U739" s="4"/>
      <c r="V739" s="4"/>
      <c r="W739" s="4"/>
      <c r="X739" s="4"/>
      <c r="Y739" s="4"/>
      <c r="Z739" s="4"/>
      <c r="AA739" s="4"/>
      <c r="AB739" s="4"/>
      <c r="AC739" s="4"/>
      <c r="AD739" s="4"/>
      <c r="AE739" s="4"/>
      <c r="AF739" s="4"/>
      <c r="AG739" s="4"/>
    </row>
    <row r="740">
      <c r="A740" s="7"/>
      <c r="B740" s="7"/>
      <c r="C740" s="7"/>
      <c r="D740" s="7"/>
      <c r="E740" s="4"/>
      <c r="F740" s="4"/>
      <c r="G740" s="4"/>
      <c r="H740" s="4"/>
      <c r="I740" s="7"/>
      <c r="J740" s="4"/>
      <c r="K740" s="4"/>
      <c r="L740" s="4"/>
      <c r="M740" s="7"/>
      <c r="N740" s="7"/>
      <c r="O740" s="7"/>
      <c r="P740" s="4"/>
      <c r="Q740" s="4"/>
      <c r="R740" s="4"/>
      <c r="S740" s="4"/>
      <c r="T740" s="4"/>
      <c r="U740" s="4"/>
      <c r="V740" s="4"/>
      <c r="W740" s="4"/>
      <c r="X740" s="4"/>
      <c r="Y740" s="4"/>
      <c r="Z740" s="4"/>
      <c r="AA740" s="4"/>
      <c r="AB740" s="4"/>
      <c r="AC740" s="4"/>
      <c r="AD740" s="4"/>
      <c r="AE740" s="4"/>
      <c r="AF740" s="4"/>
      <c r="AG740" s="4"/>
    </row>
    <row r="741">
      <c r="A741" s="7"/>
      <c r="B741" s="7"/>
      <c r="C741" s="7"/>
      <c r="D741" s="7"/>
      <c r="E741" s="4"/>
      <c r="F741" s="4"/>
      <c r="G741" s="7"/>
      <c r="H741" s="4"/>
      <c r="I741" s="7"/>
      <c r="J741" s="4"/>
      <c r="K741" s="4"/>
      <c r="L741" s="4"/>
      <c r="M741" s="7"/>
      <c r="N741" s="7"/>
      <c r="O741" s="7"/>
      <c r="P741" s="4"/>
      <c r="Q741" s="4"/>
      <c r="R741" s="4"/>
      <c r="S741" s="4"/>
      <c r="T741" s="4"/>
      <c r="U741" s="4"/>
      <c r="V741" s="4"/>
      <c r="W741" s="4"/>
      <c r="X741" s="4"/>
      <c r="Y741" s="4"/>
      <c r="Z741" s="4"/>
      <c r="AA741" s="4"/>
      <c r="AB741" s="4"/>
      <c r="AC741" s="4"/>
      <c r="AD741" s="4"/>
      <c r="AE741" s="4"/>
      <c r="AF741" s="4"/>
      <c r="AG741" s="4"/>
    </row>
    <row r="742">
      <c r="A742" s="7"/>
      <c r="B742" s="7"/>
      <c r="C742" s="7"/>
      <c r="D742" s="7"/>
      <c r="E742" s="4"/>
      <c r="F742" s="4"/>
      <c r="G742" s="4"/>
      <c r="H742" s="4"/>
      <c r="I742" s="7"/>
      <c r="J742" s="4"/>
      <c r="K742" s="4"/>
      <c r="L742" s="4"/>
      <c r="M742" s="7"/>
      <c r="N742" s="7"/>
      <c r="O742" s="7"/>
      <c r="P742" s="4"/>
      <c r="Q742" s="4"/>
      <c r="R742" s="4"/>
      <c r="S742" s="4"/>
      <c r="T742" s="4"/>
      <c r="U742" s="7"/>
      <c r="V742" s="4"/>
      <c r="W742" s="4"/>
      <c r="X742" s="4"/>
      <c r="Y742" s="4"/>
      <c r="Z742" s="4"/>
      <c r="AA742" s="4"/>
      <c r="AB742" s="4"/>
      <c r="AC742" s="4"/>
      <c r="AD742" s="4"/>
      <c r="AE742" s="4"/>
      <c r="AF742" s="4"/>
      <c r="AG742" s="4"/>
    </row>
    <row r="743">
      <c r="A743" s="7"/>
      <c r="B743" s="7"/>
      <c r="C743" s="7"/>
      <c r="D743" s="7"/>
      <c r="E743" s="4"/>
      <c r="F743" s="4"/>
      <c r="G743" s="4"/>
      <c r="H743" s="4"/>
      <c r="I743" s="7"/>
      <c r="J743" s="4"/>
      <c r="K743" s="4"/>
      <c r="L743" s="4"/>
      <c r="M743" s="4"/>
      <c r="N743" s="7"/>
      <c r="O743" s="4"/>
      <c r="P743" s="4"/>
      <c r="Q743" s="4"/>
      <c r="R743" s="4"/>
      <c r="S743" s="4"/>
      <c r="T743" s="4"/>
      <c r="U743" s="4"/>
      <c r="V743" s="4"/>
      <c r="W743" s="4"/>
      <c r="X743" s="4"/>
      <c r="Y743" s="4"/>
      <c r="Z743" s="4"/>
      <c r="AA743" s="4"/>
      <c r="AB743" s="4"/>
      <c r="AC743" s="4"/>
      <c r="AD743" s="4"/>
      <c r="AE743" s="4"/>
      <c r="AF743" s="4"/>
      <c r="AG743" s="4"/>
    </row>
    <row r="744">
      <c r="A744" s="7"/>
      <c r="B744" s="7"/>
      <c r="C744" s="7"/>
      <c r="D744" s="7"/>
      <c r="E744" s="4"/>
      <c r="F744" s="4"/>
      <c r="G744" s="7"/>
      <c r="H744" s="4"/>
      <c r="I744" s="7"/>
      <c r="J744" s="4"/>
      <c r="K744" s="4"/>
      <c r="L744" s="4"/>
      <c r="M744" s="4"/>
      <c r="N744" s="7"/>
      <c r="O744" s="4"/>
      <c r="P744" s="4"/>
      <c r="Q744" s="4"/>
      <c r="R744" s="4"/>
      <c r="S744" s="4"/>
      <c r="T744" s="4"/>
      <c r="U744" s="4"/>
      <c r="V744" s="4"/>
      <c r="W744" s="4"/>
      <c r="X744" s="4"/>
      <c r="Y744" s="4"/>
      <c r="Z744" s="4"/>
      <c r="AA744" s="4"/>
      <c r="AB744" s="4"/>
      <c r="AC744" s="4"/>
      <c r="AD744" s="4"/>
      <c r="AE744" s="4"/>
      <c r="AF744" s="4"/>
      <c r="AG744" s="4"/>
    </row>
    <row r="745">
      <c r="A745" s="7"/>
      <c r="B745" s="7"/>
      <c r="C745" s="7"/>
      <c r="D745" s="7"/>
      <c r="E745" s="4"/>
      <c r="F745" s="4"/>
      <c r="G745" s="7"/>
      <c r="H745" s="4"/>
      <c r="I745" s="7"/>
      <c r="J745" s="4"/>
      <c r="K745" s="4"/>
      <c r="L745" s="4"/>
      <c r="M745" s="4"/>
      <c r="N745" s="7"/>
      <c r="O745" s="4"/>
      <c r="P745" s="4"/>
      <c r="Q745" s="4"/>
      <c r="R745" s="4"/>
      <c r="S745" s="4"/>
      <c r="T745" s="4"/>
      <c r="U745" s="4"/>
      <c r="V745" s="4"/>
      <c r="W745" s="4"/>
      <c r="X745" s="4"/>
      <c r="Y745" s="4"/>
      <c r="Z745" s="4"/>
      <c r="AA745" s="4"/>
      <c r="AB745" s="4"/>
      <c r="AC745" s="4"/>
      <c r="AD745" s="4"/>
      <c r="AE745" s="4"/>
      <c r="AF745" s="4"/>
      <c r="AG745" s="4"/>
    </row>
    <row r="746">
      <c r="A746" s="7"/>
      <c r="B746" s="7"/>
      <c r="C746" s="7"/>
      <c r="D746" s="7"/>
      <c r="E746" s="4"/>
      <c r="F746" s="4"/>
      <c r="G746" s="7"/>
      <c r="H746" s="4"/>
      <c r="I746" s="7"/>
      <c r="J746" s="4"/>
      <c r="K746" s="4"/>
      <c r="L746" s="4"/>
      <c r="M746" s="4"/>
      <c r="N746" s="7"/>
      <c r="O746" s="4"/>
      <c r="P746" s="4"/>
      <c r="Q746" s="4"/>
      <c r="R746" s="4"/>
      <c r="S746" s="4"/>
      <c r="T746" s="4"/>
      <c r="U746" s="4"/>
      <c r="V746" s="4"/>
      <c r="W746" s="4"/>
      <c r="X746" s="4"/>
      <c r="Y746" s="4"/>
      <c r="Z746" s="4"/>
      <c r="AA746" s="4"/>
      <c r="AB746" s="4"/>
      <c r="AC746" s="4"/>
      <c r="AD746" s="4"/>
      <c r="AE746" s="4"/>
      <c r="AF746" s="4"/>
      <c r="AG746" s="4"/>
    </row>
    <row r="747">
      <c r="A747" s="7"/>
      <c r="B747" s="7"/>
      <c r="C747" s="7"/>
      <c r="D747" s="7"/>
      <c r="E747" s="4"/>
      <c r="F747" s="4"/>
      <c r="G747" s="7"/>
      <c r="H747" s="4"/>
      <c r="I747" s="7"/>
      <c r="J747" s="4"/>
      <c r="K747" s="4"/>
      <c r="L747" s="4"/>
      <c r="M747" s="7"/>
      <c r="N747" s="7"/>
      <c r="O747" s="7"/>
      <c r="P747" s="4"/>
      <c r="Q747" s="4"/>
      <c r="R747" s="4"/>
      <c r="S747" s="4"/>
      <c r="T747" s="4"/>
      <c r="U747" s="4"/>
      <c r="V747" s="4"/>
      <c r="W747" s="4"/>
      <c r="X747" s="4"/>
      <c r="Y747" s="4"/>
      <c r="Z747" s="4"/>
      <c r="AA747" s="4"/>
      <c r="AB747" s="4"/>
      <c r="AC747" s="4"/>
      <c r="AD747" s="4"/>
      <c r="AE747" s="4"/>
      <c r="AF747" s="4"/>
      <c r="AG747" s="4"/>
    </row>
    <row r="748">
      <c r="A748" s="7"/>
      <c r="B748" s="7"/>
      <c r="C748" s="7"/>
      <c r="D748" s="7"/>
      <c r="E748" s="4"/>
      <c r="F748" s="4"/>
      <c r="G748" s="7"/>
      <c r="H748" s="4"/>
      <c r="I748" s="7"/>
      <c r="J748" s="4"/>
      <c r="K748" s="4"/>
      <c r="L748" s="4"/>
      <c r="M748" s="7"/>
      <c r="N748" s="7"/>
      <c r="O748" s="7"/>
      <c r="P748" s="4"/>
      <c r="Q748" s="4"/>
      <c r="R748" s="4"/>
      <c r="S748" s="4"/>
      <c r="T748" s="4"/>
      <c r="U748" s="4"/>
      <c r="V748" s="4"/>
      <c r="W748" s="4"/>
      <c r="X748" s="4"/>
      <c r="Y748" s="4"/>
      <c r="Z748" s="4"/>
      <c r="AA748" s="4"/>
      <c r="AB748" s="4"/>
      <c r="AC748" s="4"/>
      <c r="AD748" s="4"/>
      <c r="AE748" s="4"/>
      <c r="AF748" s="4"/>
      <c r="AG748" s="4"/>
    </row>
    <row r="749">
      <c r="A749" s="7"/>
      <c r="B749" s="7"/>
      <c r="C749" s="7"/>
      <c r="D749" s="7"/>
      <c r="E749" s="4"/>
      <c r="F749" s="4"/>
      <c r="G749" s="4"/>
      <c r="H749" s="4"/>
      <c r="I749" s="7"/>
      <c r="J749" s="4"/>
      <c r="K749" s="4"/>
      <c r="L749" s="4"/>
      <c r="M749" s="4"/>
      <c r="N749" s="7"/>
      <c r="O749" s="4"/>
      <c r="P749" s="4"/>
      <c r="Q749" s="4"/>
      <c r="R749" s="4"/>
      <c r="S749" s="4"/>
      <c r="T749" s="4"/>
      <c r="U749" s="4"/>
      <c r="V749" s="4"/>
      <c r="W749" s="4"/>
      <c r="X749" s="4"/>
      <c r="Y749" s="4"/>
      <c r="Z749" s="4"/>
      <c r="AA749" s="4"/>
      <c r="AB749" s="4"/>
      <c r="AC749" s="4"/>
      <c r="AD749" s="4"/>
      <c r="AE749" s="4"/>
      <c r="AF749" s="4"/>
      <c r="AG749" s="4"/>
    </row>
    <row r="750">
      <c r="A750" s="7"/>
      <c r="B750" s="7"/>
      <c r="C750" s="7"/>
      <c r="D750" s="7"/>
      <c r="E750" s="4"/>
      <c r="F750" s="4"/>
      <c r="G750" s="7"/>
      <c r="H750" s="4"/>
      <c r="I750" s="7"/>
      <c r="J750" s="4"/>
      <c r="K750" s="4"/>
      <c r="L750" s="4"/>
      <c r="M750" s="4"/>
      <c r="N750" s="7"/>
      <c r="O750" s="4"/>
      <c r="P750" s="4"/>
      <c r="Q750" s="4"/>
      <c r="R750" s="4"/>
      <c r="S750" s="4"/>
      <c r="T750" s="4"/>
      <c r="U750" s="4"/>
      <c r="V750" s="4"/>
      <c r="W750" s="4"/>
      <c r="X750" s="4"/>
      <c r="Y750" s="4"/>
      <c r="Z750" s="4"/>
      <c r="AA750" s="4"/>
      <c r="AB750" s="4"/>
      <c r="AC750" s="4"/>
      <c r="AD750" s="4"/>
      <c r="AE750" s="4"/>
      <c r="AF750" s="4"/>
      <c r="AG750" s="4"/>
    </row>
    <row r="751">
      <c r="A751" s="7"/>
      <c r="B751" s="7"/>
      <c r="C751" s="7"/>
      <c r="D751" s="7"/>
      <c r="E751" s="4"/>
      <c r="F751" s="4"/>
      <c r="G751" s="7"/>
      <c r="H751" s="4"/>
      <c r="I751" s="7"/>
      <c r="J751" s="4"/>
      <c r="K751" s="4"/>
      <c r="L751" s="4"/>
      <c r="M751" s="4"/>
      <c r="N751" s="7"/>
      <c r="O751" s="4"/>
      <c r="P751" s="4"/>
      <c r="Q751" s="4"/>
      <c r="R751" s="4"/>
      <c r="S751" s="4"/>
      <c r="T751" s="4"/>
      <c r="U751" s="4"/>
      <c r="V751" s="4"/>
      <c r="W751" s="4"/>
      <c r="X751" s="4"/>
      <c r="Y751" s="4"/>
      <c r="Z751" s="4"/>
      <c r="AA751" s="4"/>
      <c r="AB751" s="4"/>
      <c r="AC751" s="4"/>
      <c r="AD751" s="4"/>
      <c r="AE751" s="4"/>
      <c r="AF751" s="4"/>
      <c r="AG751" s="4"/>
    </row>
    <row r="752">
      <c r="A752" s="7"/>
      <c r="B752" s="7"/>
      <c r="C752" s="7"/>
      <c r="D752" s="7"/>
      <c r="E752" s="4"/>
      <c r="F752" s="4"/>
      <c r="G752" s="7"/>
      <c r="H752" s="4"/>
      <c r="I752" s="7"/>
      <c r="J752" s="4"/>
      <c r="K752" s="4"/>
      <c r="L752" s="4"/>
      <c r="M752" s="4"/>
      <c r="N752" s="7"/>
      <c r="O752" s="4"/>
      <c r="P752" s="4"/>
      <c r="Q752" s="4"/>
      <c r="R752" s="4"/>
      <c r="S752" s="4"/>
      <c r="T752" s="4"/>
      <c r="U752" s="4"/>
      <c r="V752" s="4"/>
      <c r="W752" s="4"/>
      <c r="X752" s="4"/>
      <c r="Y752" s="4"/>
      <c r="Z752" s="4"/>
      <c r="AA752" s="4"/>
      <c r="AB752" s="4"/>
      <c r="AC752" s="4"/>
      <c r="AD752" s="4"/>
      <c r="AE752" s="4"/>
      <c r="AF752" s="4"/>
      <c r="AG752" s="4"/>
    </row>
    <row r="753">
      <c r="A753" s="7"/>
      <c r="B753" s="7"/>
      <c r="C753" s="7"/>
      <c r="D753" s="7"/>
      <c r="E753" s="4"/>
      <c r="F753" s="4"/>
      <c r="G753" s="4"/>
      <c r="H753" s="4"/>
      <c r="I753" s="7"/>
      <c r="J753" s="4"/>
      <c r="K753" s="4"/>
      <c r="L753" s="4"/>
      <c r="M753" s="4"/>
      <c r="N753" s="7"/>
      <c r="O753" s="4"/>
      <c r="P753" s="4"/>
      <c r="Q753" s="4"/>
      <c r="R753" s="4"/>
      <c r="S753" s="4"/>
      <c r="T753" s="4"/>
      <c r="U753" s="4"/>
      <c r="V753" s="4"/>
      <c r="W753" s="4"/>
      <c r="X753" s="4"/>
      <c r="Y753" s="4"/>
      <c r="Z753" s="4"/>
      <c r="AA753" s="4"/>
      <c r="AB753" s="4"/>
      <c r="AC753" s="4"/>
      <c r="AD753" s="4"/>
      <c r="AE753" s="4"/>
      <c r="AF753" s="4"/>
      <c r="AG753" s="4"/>
    </row>
    <row r="754">
      <c r="A754" s="7"/>
      <c r="B754" s="7"/>
      <c r="C754" s="7"/>
      <c r="D754" s="7"/>
      <c r="E754" s="4"/>
      <c r="F754" s="4"/>
      <c r="G754" s="4"/>
      <c r="H754" s="4"/>
      <c r="I754" s="7"/>
      <c r="J754" s="4"/>
      <c r="K754" s="4"/>
      <c r="L754" s="4"/>
      <c r="M754" s="4"/>
      <c r="N754" s="7"/>
      <c r="O754" s="4"/>
      <c r="P754" s="4"/>
      <c r="Q754" s="4"/>
      <c r="R754" s="4"/>
      <c r="S754" s="4"/>
      <c r="T754" s="4"/>
      <c r="U754" s="4"/>
      <c r="V754" s="4"/>
      <c r="W754" s="4"/>
      <c r="X754" s="4"/>
      <c r="Y754" s="4"/>
      <c r="Z754" s="4"/>
      <c r="AA754" s="4"/>
      <c r="AB754" s="4"/>
      <c r="AC754" s="4"/>
      <c r="AD754" s="4"/>
      <c r="AE754" s="4"/>
      <c r="AF754" s="4"/>
      <c r="AG754" s="4"/>
    </row>
    <row r="755">
      <c r="A755" s="7"/>
      <c r="B755" s="7"/>
      <c r="C755" s="7"/>
      <c r="D755" s="7"/>
      <c r="E755" s="4"/>
      <c r="F755" s="4"/>
      <c r="G755" s="7"/>
      <c r="H755" s="4"/>
      <c r="I755" s="7"/>
      <c r="J755" s="4"/>
      <c r="K755" s="4"/>
      <c r="L755" s="4"/>
      <c r="M755" s="7"/>
      <c r="N755" s="7"/>
      <c r="O755" s="7"/>
      <c r="P755" s="4"/>
      <c r="Q755" s="4"/>
      <c r="R755" s="4"/>
      <c r="S755" s="4"/>
      <c r="T755" s="4"/>
      <c r="U755" s="4"/>
      <c r="V755" s="4"/>
      <c r="W755" s="4"/>
      <c r="X755" s="4"/>
      <c r="Y755" s="4"/>
      <c r="Z755" s="4"/>
      <c r="AA755" s="4"/>
      <c r="AB755" s="4"/>
      <c r="AC755" s="4"/>
      <c r="AD755" s="4"/>
      <c r="AE755" s="4"/>
      <c r="AF755" s="4"/>
      <c r="AG755" s="4"/>
    </row>
    <row r="756">
      <c r="A756" s="7"/>
      <c r="B756" s="7"/>
      <c r="C756" s="7"/>
      <c r="D756" s="7"/>
      <c r="E756" s="4"/>
      <c r="F756" s="4"/>
      <c r="G756" s="4"/>
      <c r="H756" s="4"/>
      <c r="I756" s="7"/>
      <c r="J756" s="4"/>
      <c r="K756" s="4"/>
      <c r="L756" s="4"/>
      <c r="M756" s="7"/>
      <c r="N756" s="7"/>
      <c r="O756" s="7"/>
      <c r="P756" s="4"/>
      <c r="Q756" s="4"/>
      <c r="R756" s="4"/>
      <c r="S756" s="4"/>
      <c r="T756" s="4"/>
      <c r="U756" s="4"/>
      <c r="V756" s="4"/>
      <c r="W756" s="4"/>
      <c r="X756" s="4"/>
      <c r="Y756" s="4"/>
      <c r="Z756" s="4"/>
      <c r="AA756" s="4"/>
      <c r="AB756" s="4"/>
      <c r="AC756" s="4"/>
      <c r="AD756" s="4"/>
      <c r="AE756" s="4"/>
      <c r="AF756" s="4"/>
      <c r="AG756" s="4"/>
    </row>
    <row r="757">
      <c r="A757" s="7"/>
      <c r="B757" s="7"/>
      <c r="C757" s="7"/>
      <c r="D757" s="7"/>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row>
    <row r="758">
      <c r="A758" s="7"/>
      <c r="B758" s="7"/>
      <c r="C758" s="7"/>
      <c r="D758" s="7"/>
      <c r="E758" s="4"/>
      <c r="F758" s="4"/>
      <c r="G758" s="7"/>
      <c r="H758" s="4"/>
      <c r="I758" s="7"/>
      <c r="J758" s="4"/>
      <c r="K758" s="4"/>
      <c r="L758" s="4"/>
      <c r="M758" s="7"/>
      <c r="N758" s="7"/>
      <c r="O758" s="7"/>
      <c r="P758" s="4"/>
      <c r="Q758" s="4"/>
      <c r="R758" s="4"/>
      <c r="S758" s="4"/>
      <c r="T758" s="4"/>
      <c r="U758" s="4"/>
      <c r="V758" s="4"/>
      <c r="W758" s="4"/>
      <c r="X758" s="4"/>
      <c r="Y758" s="4"/>
      <c r="Z758" s="4"/>
      <c r="AA758" s="4"/>
      <c r="AB758" s="4"/>
      <c r="AC758" s="4"/>
      <c r="AD758" s="4"/>
      <c r="AE758" s="4"/>
      <c r="AF758" s="4"/>
      <c r="AG758" s="4"/>
    </row>
    <row r="759">
      <c r="A759" s="7"/>
      <c r="B759" s="7"/>
      <c r="C759" s="7"/>
      <c r="D759" s="7"/>
      <c r="E759" s="4"/>
      <c r="F759" s="4"/>
      <c r="G759" s="7"/>
      <c r="H759" s="4"/>
      <c r="I759" s="7"/>
      <c r="J759" s="4"/>
      <c r="K759" s="4"/>
      <c r="L759" s="4"/>
      <c r="M759" s="7"/>
      <c r="N759" s="7"/>
      <c r="O759" s="7"/>
      <c r="P759" s="4"/>
      <c r="Q759" s="4"/>
      <c r="R759" s="4"/>
      <c r="S759" s="4"/>
      <c r="T759" s="4"/>
      <c r="U759" s="4"/>
      <c r="V759" s="7"/>
      <c r="W759" s="7"/>
      <c r="X759" s="4"/>
      <c r="Y759" s="4"/>
      <c r="Z759" s="4"/>
      <c r="AA759" s="4"/>
      <c r="AB759" s="4"/>
      <c r="AC759" s="4"/>
      <c r="AD759" s="4"/>
      <c r="AE759" s="4"/>
      <c r="AF759" s="4"/>
      <c r="AG759" s="4"/>
    </row>
    <row r="760">
      <c r="A760" s="7"/>
      <c r="B760" s="7"/>
      <c r="C760" s="7"/>
      <c r="D760" s="7"/>
      <c r="E760" s="4"/>
      <c r="F760" s="4"/>
      <c r="G760" s="4"/>
      <c r="H760" s="4"/>
      <c r="I760" s="7"/>
      <c r="J760" s="4"/>
      <c r="K760" s="4"/>
      <c r="L760" s="4"/>
      <c r="M760" s="7"/>
      <c r="N760" s="7"/>
      <c r="O760" s="7"/>
      <c r="P760" s="4"/>
      <c r="Q760" s="4"/>
      <c r="R760" s="4"/>
      <c r="S760" s="4"/>
      <c r="T760" s="4"/>
      <c r="U760" s="4"/>
      <c r="V760" s="4"/>
      <c r="W760" s="4"/>
      <c r="X760" s="4"/>
      <c r="Y760" s="4"/>
      <c r="Z760" s="4"/>
      <c r="AA760" s="4"/>
      <c r="AB760" s="4"/>
      <c r="AC760" s="4"/>
      <c r="AD760" s="4"/>
      <c r="AE760" s="4"/>
      <c r="AF760" s="4"/>
      <c r="AG760" s="4"/>
    </row>
    <row r="761">
      <c r="A761" s="7"/>
      <c r="B761" s="7"/>
      <c r="C761" s="7"/>
      <c r="D761" s="7"/>
      <c r="E761" s="4"/>
      <c r="F761" s="4"/>
      <c r="G761" s="7"/>
      <c r="H761" s="4"/>
      <c r="I761" s="7"/>
      <c r="J761" s="4"/>
      <c r="K761" s="4"/>
      <c r="L761" s="4"/>
      <c r="M761" s="7"/>
      <c r="N761" s="7"/>
      <c r="O761" s="7"/>
      <c r="P761" s="4"/>
      <c r="Q761" s="4"/>
      <c r="R761" s="4"/>
      <c r="S761" s="4"/>
      <c r="T761" s="4"/>
      <c r="U761" s="4"/>
      <c r="V761" s="4"/>
      <c r="W761" s="4"/>
      <c r="X761" s="4"/>
      <c r="Y761" s="4"/>
      <c r="Z761" s="4"/>
      <c r="AA761" s="4"/>
      <c r="AB761" s="4"/>
      <c r="AC761" s="4"/>
      <c r="AD761" s="4"/>
      <c r="AE761" s="4"/>
      <c r="AF761" s="4"/>
      <c r="AG761" s="4"/>
    </row>
    <row r="762">
      <c r="A762" s="7"/>
      <c r="B762" s="7"/>
      <c r="C762" s="7"/>
      <c r="D762" s="7"/>
      <c r="E762" s="4"/>
      <c r="F762" s="4"/>
      <c r="G762" s="7"/>
      <c r="H762" s="4"/>
      <c r="I762" s="7"/>
      <c r="J762" s="4"/>
      <c r="K762" s="4"/>
      <c r="L762" s="4"/>
      <c r="M762" s="7"/>
      <c r="N762" s="7"/>
      <c r="O762" s="7"/>
      <c r="P762" s="4"/>
      <c r="Q762" s="4"/>
      <c r="R762" s="4"/>
      <c r="S762" s="4"/>
      <c r="T762" s="4"/>
      <c r="U762" s="4"/>
      <c r="V762" s="4"/>
      <c r="W762" s="4"/>
      <c r="X762" s="4"/>
      <c r="Y762" s="4"/>
      <c r="Z762" s="4"/>
      <c r="AA762" s="4"/>
      <c r="AB762" s="4"/>
      <c r="AC762" s="4"/>
      <c r="AD762" s="4"/>
      <c r="AE762" s="4"/>
      <c r="AF762" s="4"/>
      <c r="AG762" s="4"/>
    </row>
    <row r="763">
      <c r="A763" s="7"/>
      <c r="B763" s="7"/>
      <c r="C763" s="7"/>
      <c r="D763" s="7"/>
      <c r="E763" s="4"/>
      <c r="F763" s="4"/>
      <c r="G763" s="7"/>
      <c r="H763" s="4"/>
      <c r="I763" s="7"/>
      <c r="J763" s="4"/>
      <c r="K763" s="4"/>
      <c r="L763" s="4"/>
      <c r="M763" s="7"/>
      <c r="N763" s="7"/>
      <c r="O763" s="7"/>
      <c r="P763" s="4"/>
      <c r="Q763" s="4"/>
      <c r="R763" s="4"/>
      <c r="S763" s="4"/>
      <c r="T763" s="4"/>
      <c r="U763" s="4"/>
      <c r="V763" s="4"/>
      <c r="W763" s="4"/>
      <c r="X763" s="4"/>
      <c r="Y763" s="4"/>
      <c r="Z763" s="4"/>
      <c r="AA763" s="4"/>
      <c r="AB763" s="4"/>
      <c r="AC763" s="4"/>
      <c r="AD763" s="4"/>
      <c r="AE763" s="4"/>
      <c r="AF763" s="4"/>
      <c r="AG763" s="4"/>
    </row>
    <row r="764">
      <c r="A764" s="7"/>
      <c r="B764" s="7"/>
      <c r="C764" s="7"/>
      <c r="D764" s="7"/>
      <c r="E764" s="4"/>
      <c r="F764" s="4"/>
      <c r="G764" s="4"/>
      <c r="H764" s="4"/>
      <c r="I764" s="7"/>
      <c r="J764" s="4"/>
      <c r="K764" s="4"/>
      <c r="L764" s="4"/>
      <c r="M764" s="7"/>
      <c r="N764" s="7"/>
      <c r="O764" s="7"/>
      <c r="P764" s="4"/>
      <c r="Q764" s="4"/>
      <c r="R764" s="4"/>
      <c r="S764" s="4"/>
      <c r="T764" s="4"/>
      <c r="U764" s="4"/>
      <c r="V764" s="4"/>
      <c r="W764" s="4"/>
      <c r="X764" s="4"/>
      <c r="Y764" s="4"/>
      <c r="Z764" s="4"/>
      <c r="AA764" s="4"/>
      <c r="AB764" s="4"/>
      <c r="AC764" s="4"/>
      <c r="AD764" s="4"/>
      <c r="AE764" s="4"/>
      <c r="AF764" s="4"/>
      <c r="AG764" s="4"/>
    </row>
    <row r="765">
      <c r="A765" s="7"/>
      <c r="B765" s="7"/>
      <c r="C765" s="7"/>
      <c r="D765" s="7"/>
      <c r="E765" s="4"/>
      <c r="F765" s="4"/>
      <c r="G765" s="7"/>
      <c r="H765" s="4"/>
      <c r="I765" s="7"/>
      <c r="J765" s="4"/>
      <c r="K765" s="4"/>
      <c r="L765" s="4"/>
      <c r="M765" s="7"/>
      <c r="N765" s="7"/>
      <c r="O765" s="7"/>
      <c r="P765" s="4"/>
      <c r="Q765" s="4"/>
      <c r="R765" s="4"/>
      <c r="S765" s="4"/>
      <c r="T765" s="4"/>
      <c r="U765" s="4"/>
      <c r="V765" s="4"/>
      <c r="W765" s="4"/>
      <c r="X765" s="4"/>
      <c r="Y765" s="4"/>
      <c r="Z765" s="4"/>
      <c r="AA765" s="4"/>
      <c r="AB765" s="4"/>
      <c r="AC765" s="4"/>
      <c r="AD765" s="4"/>
      <c r="AE765" s="4"/>
      <c r="AF765" s="4"/>
      <c r="AG765" s="4"/>
    </row>
    <row r="766">
      <c r="A766" s="7"/>
      <c r="B766" s="7"/>
      <c r="C766" s="7"/>
      <c r="D766" s="7"/>
      <c r="E766" s="4"/>
      <c r="F766" s="4"/>
      <c r="G766" s="7"/>
      <c r="H766" s="4"/>
      <c r="I766" s="7"/>
      <c r="J766" s="4"/>
      <c r="K766" s="4"/>
      <c r="L766" s="4"/>
      <c r="M766" s="7"/>
      <c r="N766" s="7"/>
      <c r="O766" s="7"/>
      <c r="P766" s="4"/>
      <c r="Q766" s="4"/>
      <c r="R766" s="4"/>
      <c r="S766" s="4"/>
      <c r="T766" s="4"/>
      <c r="U766" s="4"/>
      <c r="V766" s="4"/>
      <c r="W766" s="4"/>
      <c r="X766" s="4"/>
      <c r="Y766" s="4"/>
      <c r="Z766" s="4"/>
      <c r="AA766" s="4"/>
      <c r="AB766" s="4"/>
      <c r="AC766" s="4"/>
      <c r="AD766" s="4"/>
      <c r="AE766" s="4"/>
      <c r="AF766" s="4"/>
      <c r="AG766" s="4"/>
    </row>
    <row r="767">
      <c r="A767" s="7"/>
      <c r="B767" s="7"/>
      <c r="C767" s="7"/>
      <c r="D767" s="7"/>
      <c r="E767" s="4"/>
      <c r="F767" s="4"/>
      <c r="G767" s="4"/>
      <c r="H767" s="4"/>
      <c r="I767" s="7"/>
      <c r="J767" s="4"/>
      <c r="K767" s="4"/>
      <c r="L767" s="4"/>
      <c r="M767" s="7"/>
      <c r="N767" s="7"/>
      <c r="O767" s="7"/>
      <c r="P767" s="4"/>
      <c r="Q767" s="4"/>
      <c r="R767" s="4"/>
      <c r="S767" s="4"/>
      <c r="T767" s="4"/>
      <c r="U767" s="4"/>
      <c r="V767" s="4"/>
      <c r="W767" s="4"/>
      <c r="X767" s="4"/>
      <c r="Y767" s="4"/>
      <c r="Z767" s="4"/>
      <c r="AA767" s="4"/>
      <c r="AB767" s="4"/>
      <c r="AC767" s="4"/>
      <c r="AD767" s="4"/>
      <c r="AE767" s="4"/>
      <c r="AF767" s="4"/>
      <c r="AG767" s="4"/>
    </row>
    <row r="768">
      <c r="A768" s="7"/>
      <c r="B768" s="7"/>
      <c r="C768" s="7"/>
      <c r="D768" s="7"/>
      <c r="E768" s="4"/>
      <c r="F768" s="4"/>
      <c r="G768" s="7"/>
      <c r="H768" s="4"/>
      <c r="I768" s="7"/>
      <c r="J768" s="4"/>
      <c r="K768" s="4"/>
      <c r="L768" s="4"/>
      <c r="M768" s="7"/>
      <c r="N768" s="7"/>
      <c r="O768" s="7"/>
      <c r="P768" s="4"/>
      <c r="Q768" s="4"/>
      <c r="R768" s="4"/>
      <c r="S768" s="4"/>
      <c r="T768" s="4"/>
      <c r="U768" s="4"/>
      <c r="V768" s="4"/>
      <c r="W768" s="4"/>
      <c r="X768" s="4"/>
      <c r="Y768" s="4"/>
      <c r="Z768" s="4"/>
      <c r="AA768" s="4"/>
      <c r="AB768" s="4"/>
      <c r="AC768" s="4"/>
      <c r="AD768" s="4"/>
      <c r="AE768" s="4"/>
      <c r="AF768" s="4"/>
      <c r="AG768" s="4"/>
    </row>
    <row r="769">
      <c r="A769" s="7"/>
      <c r="B769" s="7"/>
      <c r="C769" s="7"/>
      <c r="D769" s="7"/>
      <c r="E769" s="4"/>
      <c r="F769" s="4"/>
      <c r="G769" s="7"/>
      <c r="H769" s="4"/>
      <c r="I769" s="7"/>
      <c r="J769" s="4"/>
      <c r="K769" s="4"/>
      <c r="L769" s="4"/>
      <c r="M769" s="4"/>
      <c r="N769" s="7"/>
      <c r="O769" s="4"/>
      <c r="P769" s="4"/>
      <c r="Q769" s="4"/>
      <c r="R769" s="4"/>
      <c r="S769" s="4"/>
      <c r="T769" s="4"/>
      <c r="U769" s="4"/>
      <c r="V769" s="4"/>
      <c r="W769" s="4"/>
      <c r="X769" s="4"/>
      <c r="Y769" s="4"/>
      <c r="Z769" s="4"/>
      <c r="AA769" s="4"/>
      <c r="AB769" s="4"/>
      <c r="AC769" s="4"/>
      <c r="AD769" s="4"/>
      <c r="AE769" s="4"/>
      <c r="AF769" s="4"/>
      <c r="AG769" s="4"/>
    </row>
    <row r="770">
      <c r="A770" s="7"/>
      <c r="B770" s="7"/>
      <c r="C770" s="7"/>
      <c r="D770" s="7"/>
      <c r="E770" s="4"/>
      <c r="F770" s="4"/>
      <c r="G770" s="7"/>
      <c r="H770" s="4"/>
      <c r="I770" s="7"/>
      <c r="J770" s="4"/>
      <c r="K770" s="4"/>
      <c r="L770" s="4"/>
      <c r="M770" s="4"/>
      <c r="N770" s="7"/>
      <c r="O770" s="4"/>
      <c r="P770" s="4"/>
      <c r="Q770" s="4"/>
      <c r="R770" s="4"/>
      <c r="S770" s="4"/>
      <c r="T770" s="4"/>
      <c r="U770" s="4"/>
      <c r="V770" s="4"/>
      <c r="W770" s="4"/>
      <c r="X770" s="4"/>
      <c r="Y770" s="4"/>
      <c r="Z770" s="4"/>
      <c r="AA770" s="4"/>
      <c r="AB770" s="4"/>
      <c r="AC770" s="4"/>
      <c r="AD770" s="4"/>
      <c r="AE770" s="4"/>
      <c r="AF770" s="4"/>
      <c r="AG770" s="4"/>
    </row>
    <row r="771">
      <c r="A771" s="7"/>
      <c r="B771" s="7"/>
      <c r="C771" s="7"/>
      <c r="D771" s="7"/>
      <c r="E771" s="4"/>
      <c r="F771" s="4"/>
      <c r="G771" s="4"/>
      <c r="H771" s="4"/>
      <c r="I771" s="7"/>
      <c r="J771" s="4"/>
      <c r="K771" s="4"/>
      <c r="L771" s="4"/>
      <c r="M771" s="4"/>
      <c r="N771" s="7"/>
      <c r="O771" s="4"/>
      <c r="P771" s="4"/>
      <c r="Q771" s="4"/>
      <c r="R771" s="4"/>
      <c r="S771" s="4"/>
      <c r="T771" s="4"/>
      <c r="U771" s="4"/>
      <c r="V771" s="4"/>
      <c r="W771" s="4"/>
      <c r="X771" s="4"/>
      <c r="Y771" s="4"/>
      <c r="Z771" s="4"/>
      <c r="AA771" s="4"/>
      <c r="AB771" s="4"/>
      <c r="AC771" s="4"/>
      <c r="AD771" s="4"/>
      <c r="AE771" s="4"/>
      <c r="AF771" s="4"/>
      <c r="AG771" s="4"/>
    </row>
    <row r="772">
      <c r="A772" s="7"/>
      <c r="B772" s="7"/>
      <c r="C772" s="7"/>
      <c r="D772" s="7"/>
      <c r="E772" s="4"/>
      <c r="F772" s="4"/>
      <c r="G772" s="4"/>
      <c r="H772" s="4"/>
      <c r="I772" s="7"/>
      <c r="J772" s="4"/>
      <c r="K772" s="4"/>
      <c r="L772" s="4"/>
      <c r="M772" s="4"/>
      <c r="N772" s="7"/>
      <c r="O772" s="4"/>
      <c r="P772" s="4"/>
      <c r="Q772" s="4"/>
      <c r="R772" s="4"/>
      <c r="S772" s="4"/>
      <c r="T772" s="4"/>
      <c r="U772" s="4"/>
      <c r="V772" s="4"/>
      <c r="W772" s="4"/>
      <c r="X772" s="4"/>
      <c r="Y772" s="4"/>
      <c r="Z772" s="4"/>
      <c r="AA772" s="4"/>
      <c r="AB772" s="4"/>
      <c r="AC772" s="4"/>
      <c r="AD772" s="4"/>
      <c r="AE772" s="4"/>
      <c r="AF772" s="4"/>
      <c r="AG772" s="4"/>
    </row>
    <row r="773">
      <c r="A773" s="7"/>
      <c r="B773" s="7"/>
      <c r="C773" s="7"/>
      <c r="D773" s="7"/>
      <c r="E773" s="4"/>
      <c r="F773" s="4"/>
      <c r="G773" s="7"/>
      <c r="H773" s="4"/>
      <c r="I773" s="7"/>
      <c r="J773" s="4"/>
      <c r="K773" s="4"/>
      <c r="L773" s="4"/>
      <c r="M773" s="4"/>
      <c r="N773" s="7"/>
      <c r="O773" s="4"/>
      <c r="P773" s="4"/>
      <c r="Q773" s="4"/>
      <c r="R773" s="4"/>
      <c r="S773" s="4"/>
      <c r="T773" s="4"/>
      <c r="U773" s="4"/>
      <c r="V773" s="4"/>
      <c r="W773" s="4"/>
      <c r="X773" s="4"/>
      <c r="Y773" s="4"/>
      <c r="Z773" s="4"/>
      <c r="AA773" s="4"/>
      <c r="AB773" s="4"/>
      <c r="AC773" s="4"/>
      <c r="AD773" s="4"/>
      <c r="AE773" s="4"/>
      <c r="AF773" s="4"/>
      <c r="AG773" s="4"/>
    </row>
    <row r="774">
      <c r="A774" s="7"/>
      <c r="B774" s="7"/>
      <c r="C774" s="7"/>
      <c r="D774" s="7"/>
      <c r="E774" s="4"/>
      <c r="F774" s="4"/>
      <c r="G774" s="7"/>
      <c r="H774" s="4"/>
      <c r="I774" s="7"/>
      <c r="J774" s="4"/>
      <c r="K774" s="4"/>
      <c r="L774" s="4"/>
      <c r="M774" s="4"/>
      <c r="N774" s="7"/>
      <c r="O774" s="4"/>
      <c r="P774" s="4"/>
      <c r="Q774" s="4"/>
      <c r="R774" s="4"/>
      <c r="S774" s="4"/>
      <c r="T774" s="4"/>
      <c r="U774" s="4"/>
      <c r="V774" s="4"/>
      <c r="W774" s="4"/>
      <c r="X774" s="4"/>
      <c r="Y774" s="4"/>
      <c r="Z774" s="4"/>
      <c r="AA774" s="4"/>
      <c r="AB774" s="4"/>
      <c r="AC774" s="4"/>
      <c r="AD774" s="4"/>
      <c r="AE774" s="4"/>
      <c r="AF774" s="4"/>
      <c r="AG774" s="4"/>
    </row>
    <row r="775">
      <c r="A775" s="7"/>
      <c r="B775" s="7"/>
      <c r="C775" s="7"/>
      <c r="D775" s="7"/>
      <c r="E775" s="4"/>
      <c r="F775" s="4"/>
      <c r="G775" s="7"/>
      <c r="H775" s="4"/>
      <c r="I775" s="7"/>
      <c r="J775" s="4"/>
      <c r="K775" s="4"/>
      <c r="L775" s="4"/>
      <c r="M775" s="4"/>
      <c r="N775" s="7"/>
      <c r="O775" s="4"/>
      <c r="P775" s="4"/>
      <c r="Q775" s="4"/>
      <c r="R775" s="4"/>
      <c r="S775" s="4"/>
      <c r="T775" s="4"/>
      <c r="U775" s="4"/>
      <c r="V775" s="4"/>
      <c r="W775" s="4"/>
      <c r="X775" s="4"/>
      <c r="Y775" s="4"/>
      <c r="Z775" s="4"/>
      <c r="AA775" s="4"/>
      <c r="AB775" s="4"/>
      <c r="AC775" s="4"/>
      <c r="AD775" s="4"/>
      <c r="AE775" s="4"/>
      <c r="AF775" s="4"/>
      <c r="AG775" s="4"/>
    </row>
    <row r="776">
      <c r="A776" s="7"/>
      <c r="B776" s="7"/>
      <c r="C776" s="7"/>
      <c r="D776" s="7"/>
      <c r="E776" s="4"/>
      <c r="F776" s="4"/>
      <c r="G776" s="4"/>
      <c r="H776" s="4"/>
      <c r="I776" s="7"/>
      <c r="J776" s="4"/>
      <c r="K776" s="4"/>
      <c r="L776" s="4"/>
      <c r="M776" s="4"/>
      <c r="N776" s="7"/>
      <c r="O776" s="4"/>
      <c r="P776" s="4"/>
      <c r="Q776" s="4"/>
      <c r="R776" s="4"/>
      <c r="S776" s="4"/>
      <c r="T776" s="4"/>
      <c r="U776" s="4"/>
      <c r="V776" s="4"/>
      <c r="W776" s="4"/>
      <c r="X776" s="4"/>
      <c r="Y776" s="4"/>
      <c r="Z776" s="4"/>
      <c r="AA776" s="4"/>
      <c r="AB776" s="4"/>
      <c r="AC776" s="4"/>
      <c r="AD776" s="4"/>
      <c r="AE776" s="4"/>
      <c r="AF776" s="4"/>
      <c r="AG776" s="4"/>
    </row>
    <row r="777">
      <c r="A777" s="7"/>
      <c r="B777" s="7"/>
      <c r="C777" s="7"/>
      <c r="D777" s="7"/>
      <c r="E777" s="4"/>
      <c r="F777" s="4"/>
      <c r="G777" s="4"/>
      <c r="H777" s="4"/>
      <c r="I777" s="7"/>
      <c r="J777" s="4"/>
      <c r="K777" s="4"/>
      <c r="L777" s="4"/>
      <c r="M777" s="7"/>
      <c r="N777" s="7"/>
      <c r="O777" s="7"/>
      <c r="P777" s="4"/>
      <c r="Q777" s="4"/>
      <c r="R777" s="4"/>
      <c r="S777" s="4"/>
      <c r="T777" s="4"/>
      <c r="U777" s="4"/>
      <c r="V777" s="4"/>
      <c r="W777" s="4"/>
      <c r="X777" s="4"/>
      <c r="Y777" s="4"/>
      <c r="Z777" s="4"/>
      <c r="AA777" s="4"/>
      <c r="AB777" s="4"/>
      <c r="AC777" s="4"/>
      <c r="AD777" s="4"/>
      <c r="AE777" s="4"/>
      <c r="AF777" s="4"/>
      <c r="AG777" s="4"/>
    </row>
    <row r="778">
      <c r="A778" s="7"/>
      <c r="B778" s="7"/>
      <c r="C778" s="7"/>
      <c r="D778" s="7"/>
      <c r="E778" s="4"/>
      <c r="F778" s="4"/>
      <c r="G778" s="4"/>
      <c r="H778" s="4"/>
      <c r="I778" s="7"/>
      <c r="J778" s="4"/>
      <c r="K778" s="4"/>
      <c r="L778" s="4"/>
      <c r="M778" s="4"/>
      <c r="N778" s="7"/>
      <c r="O778" s="4"/>
      <c r="P778" s="4"/>
      <c r="Q778" s="4"/>
      <c r="R778" s="4"/>
      <c r="S778" s="4"/>
      <c r="T778" s="4"/>
      <c r="U778" s="4"/>
      <c r="V778" s="4"/>
      <c r="W778" s="4"/>
      <c r="X778" s="4"/>
      <c r="Y778" s="4"/>
      <c r="Z778" s="4"/>
      <c r="AA778" s="4"/>
      <c r="AB778" s="4"/>
      <c r="AC778" s="4"/>
      <c r="AD778" s="4"/>
      <c r="AE778" s="4"/>
      <c r="AF778" s="4"/>
      <c r="AG778" s="4"/>
    </row>
    <row r="779">
      <c r="A779" s="7"/>
      <c r="B779" s="7"/>
      <c r="C779" s="7"/>
      <c r="D779" s="7"/>
      <c r="E779" s="4"/>
      <c r="F779" s="4"/>
      <c r="G779" s="4"/>
      <c r="H779" s="4"/>
      <c r="I779" s="7"/>
      <c r="J779" s="4"/>
      <c r="K779" s="4"/>
      <c r="L779" s="4"/>
      <c r="M779" s="4"/>
      <c r="N779" s="7"/>
      <c r="O779" s="4"/>
      <c r="P779" s="4"/>
      <c r="Q779" s="4"/>
      <c r="R779" s="4"/>
      <c r="S779" s="4"/>
      <c r="T779" s="4"/>
      <c r="U779" s="4"/>
      <c r="V779" s="4"/>
      <c r="W779" s="4"/>
      <c r="X779" s="4"/>
      <c r="Y779" s="4"/>
      <c r="Z779" s="4"/>
      <c r="AA779" s="4"/>
      <c r="AB779" s="4"/>
      <c r="AC779" s="4"/>
      <c r="AD779" s="4"/>
      <c r="AE779" s="4"/>
      <c r="AF779" s="4"/>
      <c r="AG779" s="4"/>
    </row>
    <row r="780">
      <c r="A780" s="7"/>
      <c r="B780" s="7"/>
      <c r="C780" s="7"/>
      <c r="D780" s="7"/>
      <c r="E780" s="4"/>
      <c r="F780" s="4"/>
      <c r="G780" s="4"/>
      <c r="H780" s="4"/>
      <c r="I780" s="7"/>
      <c r="J780" s="4"/>
      <c r="K780" s="4"/>
      <c r="L780" s="4"/>
      <c r="M780" s="4"/>
      <c r="N780" s="7"/>
      <c r="O780" s="4"/>
      <c r="P780" s="4"/>
      <c r="Q780" s="4"/>
      <c r="R780" s="4"/>
      <c r="S780" s="4"/>
      <c r="T780" s="4"/>
      <c r="U780" s="4"/>
      <c r="V780" s="4"/>
      <c r="W780" s="4"/>
      <c r="X780" s="4"/>
      <c r="Y780" s="4"/>
      <c r="Z780" s="4"/>
      <c r="AA780" s="4"/>
      <c r="AB780" s="4"/>
      <c r="AC780" s="4"/>
      <c r="AD780" s="4"/>
      <c r="AE780" s="4"/>
      <c r="AF780" s="4"/>
      <c r="AG780" s="4"/>
    </row>
    <row r="781">
      <c r="A781" s="7"/>
      <c r="B781" s="7"/>
      <c r="C781" s="7"/>
      <c r="D781" s="7"/>
      <c r="E781" s="4"/>
      <c r="F781" s="4"/>
      <c r="G781" s="4"/>
      <c r="H781" s="4"/>
      <c r="I781" s="7"/>
      <c r="J781" s="4"/>
      <c r="K781" s="4"/>
      <c r="L781" s="4"/>
      <c r="M781" s="4"/>
      <c r="N781" s="7"/>
      <c r="O781" s="4"/>
      <c r="P781" s="4"/>
      <c r="Q781" s="4"/>
      <c r="R781" s="4"/>
      <c r="S781" s="4"/>
      <c r="T781" s="4"/>
      <c r="U781" s="4"/>
      <c r="V781" s="4"/>
      <c r="W781" s="4"/>
      <c r="X781" s="4"/>
      <c r="Y781" s="4"/>
      <c r="Z781" s="4"/>
      <c r="AA781" s="4"/>
      <c r="AB781" s="4"/>
      <c r="AC781" s="4"/>
      <c r="AD781" s="4"/>
      <c r="AE781" s="4"/>
      <c r="AF781" s="4"/>
      <c r="AG781" s="4"/>
    </row>
    <row r="782">
      <c r="A782" s="7"/>
      <c r="B782" s="7"/>
      <c r="C782" s="7"/>
      <c r="D782" s="7"/>
      <c r="E782" s="4"/>
      <c r="F782" s="4"/>
      <c r="G782" s="4"/>
      <c r="H782" s="4"/>
      <c r="I782" s="7"/>
      <c r="J782" s="4"/>
      <c r="K782" s="4"/>
      <c r="L782" s="4"/>
      <c r="M782" s="4"/>
      <c r="N782" s="7"/>
      <c r="O782" s="4"/>
      <c r="P782" s="4"/>
      <c r="Q782" s="4"/>
      <c r="R782" s="4"/>
      <c r="S782" s="4"/>
      <c r="T782" s="4"/>
      <c r="U782" s="4"/>
      <c r="V782" s="4"/>
      <c r="W782" s="4"/>
      <c r="X782" s="4"/>
      <c r="Y782" s="4"/>
      <c r="Z782" s="4"/>
      <c r="AA782" s="4"/>
      <c r="AB782" s="4"/>
      <c r="AC782" s="4"/>
      <c r="AD782" s="4"/>
      <c r="AE782" s="4"/>
      <c r="AF782" s="4"/>
      <c r="AG782" s="4"/>
    </row>
    <row r="783">
      <c r="A783" s="7"/>
      <c r="B783" s="7"/>
      <c r="C783" s="7"/>
      <c r="D783" s="7"/>
      <c r="E783" s="4"/>
      <c r="F783" s="4"/>
      <c r="G783" s="7"/>
      <c r="H783" s="4"/>
      <c r="I783" s="7"/>
      <c r="J783" s="4"/>
      <c r="K783" s="4"/>
      <c r="L783" s="4"/>
      <c r="M783" s="4"/>
      <c r="N783" s="7"/>
      <c r="O783" s="4"/>
      <c r="P783" s="4"/>
      <c r="Q783" s="4"/>
      <c r="R783" s="4"/>
      <c r="S783" s="4"/>
      <c r="T783" s="4"/>
      <c r="U783" s="4"/>
      <c r="V783" s="4"/>
      <c r="W783" s="4"/>
      <c r="X783" s="4"/>
      <c r="Y783" s="4"/>
      <c r="Z783" s="4"/>
      <c r="AA783" s="4"/>
      <c r="AB783" s="4"/>
      <c r="AC783" s="4"/>
      <c r="AD783" s="4"/>
      <c r="AE783" s="4"/>
      <c r="AF783" s="4"/>
      <c r="AG783" s="4"/>
    </row>
    <row r="784">
      <c r="A784" s="7"/>
      <c r="B784" s="7"/>
      <c r="C784" s="7"/>
      <c r="D784" s="7"/>
      <c r="E784" s="4"/>
      <c r="F784" s="4"/>
      <c r="G784" s="7"/>
      <c r="H784" s="4"/>
      <c r="I784" s="7"/>
      <c r="J784" s="4"/>
      <c r="K784" s="4"/>
      <c r="L784" s="4"/>
      <c r="M784" s="4"/>
      <c r="N784" s="7"/>
      <c r="O784" s="4"/>
      <c r="P784" s="4"/>
      <c r="Q784" s="4"/>
      <c r="R784" s="4"/>
      <c r="S784" s="4"/>
      <c r="T784" s="4"/>
      <c r="U784" s="4"/>
      <c r="V784" s="4"/>
      <c r="W784" s="4"/>
      <c r="X784" s="4"/>
      <c r="Y784" s="4"/>
      <c r="Z784" s="4"/>
      <c r="AA784" s="4"/>
      <c r="AB784" s="4"/>
      <c r="AC784" s="4"/>
      <c r="AD784" s="4"/>
      <c r="AE784" s="4"/>
      <c r="AF784" s="4"/>
      <c r="AG784" s="4"/>
    </row>
    <row r="785">
      <c r="A785" s="7"/>
      <c r="B785" s="7"/>
      <c r="C785" s="7"/>
      <c r="D785" s="7"/>
      <c r="E785" s="4"/>
      <c r="F785" s="4"/>
      <c r="G785" s="7"/>
      <c r="H785" s="4"/>
      <c r="I785" s="7"/>
      <c r="J785" s="4"/>
      <c r="K785" s="4"/>
      <c r="L785" s="4"/>
      <c r="M785" s="4"/>
      <c r="N785" s="7"/>
      <c r="O785" s="4"/>
      <c r="P785" s="4"/>
      <c r="Q785" s="4"/>
      <c r="R785" s="4"/>
      <c r="S785" s="4"/>
      <c r="T785" s="4"/>
      <c r="U785" s="4"/>
      <c r="V785" s="4"/>
      <c r="W785" s="4"/>
      <c r="X785" s="4"/>
      <c r="Y785" s="4"/>
      <c r="Z785" s="4"/>
      <c r="AA785" s="4"/>
      <c r="AB785" s="4"/>
      <c r="AC785" s="4"/>
      <c r="AD785" s="4"/>
      <c r="AE785" s="4"/>
      <c r="AF785" s="4"/>
      <c r="AG785" s="4"/>
    </row>
    <row r="786">
      <c r="A786" s="7"/>
      <c r="B786" s="7"/>
      <c r="C786" s="7"/>
      <c r="D786" s="7"/>
      <c r="E786" s="4"/>
      <c r="F786" s="4"/>
      <c r="G786" s="7"/>
      <c r="H786" s="4"/>
      <c r="I786" s="7"/>
      <c r="J786" s="4"/>
      <c r="K786" s="4"/>
      <c r="L786" s="4"/>
      <c r="M786" s="7"/>
      <c r="N786" s="7"/>
      <c r="O786" s="7"/>
      <c r="P786" s="4"/>
      <c r="Q786" s="4"/>
      <c r="R786" s="4"/>
      <c r="S786" s="4"/>
      <c r="T786" s="4"/>
      <c r="U786" s="4"/>
      <c r="V786" s="4"/>
      <c r="W786" s="4"/>
      <c r="X786" s="4"/>
      <c r="Y786" s="4"/>
      <c r="Z786" s="4"/>
      <c r="AA786" s="4"/>
      <c r="AB786" s="4"/>
      <c r="AC786" s="4"/>
      <c r="AD786" s="4"/>
      <c r="AE786" s="4"/>
      <c r="AF786" s="4"/>
      <c r="AG786" s="4"/>
    </row>
    <row r="787">
      <c r="A787" s="7"/>
      <c r="B787" s="7"/>
      <c r="C787" s="7"/>
      <c r="D787" s="7"/>
      <c r="E787" s="4"/>
      <c r="F787" s="4"/>
      <c r="G787" s="7"/>
      <c r="H787" s="4"/>
      <c r="I787" s="7"/>
      <c r="J787" s="4"/>
      <c r="K787" s="4"/>
      <c r="L787" s="4"/>
      <c r="M787" s="7"/>
      <c r="N787" s="7"/>
      <c r="O787" s="7"/>
      <c r="P787" s="4"/>
      <c r="Q787" s="4"/>
      <c r="R787" s="4"/>
      <c r="S787" s="4"/>
      <c r="T787" s="4"/>
      <c r="U787" s="4"/>
      <c r="V787" s="4"/>
      <c r="W787" s="4"/>
      <c r="X787" s="4"/>
      <c r="Y787" s="4"/>
      <c r="Z787" s="4"/>
      <c r="AA787" s="4"/>
      <c r="AB787" s="4"/>
      <c r="AC787" s="4"/>
      <c r="AD787" s="4"/>
      <c r="AE787" s="4"/>
      <c r="AF787" s="4"/>
      <c r="AG787" s="4"/>
    </row>
    <row r="788">
      <c r="A788" s="7"/>
      <c r="B788" s="7"/>
      <c r="C788" s="7"/>
      <c r="D788" s="7"/>
      <c r="E788" s="4"/>
      <c r="F788" s="4"/>
      <c r="G788" s="7"/>
      <c r="H788" s="4"/>
      <c r="I788" s="7"/>
      <c r="J788" s="4"/>
      <c r="K788" s="4"/>
      <c r="L788" s="4"/>
      <c r="M788" s="7"/>
      <c r="N788" s="7"/>
      <c r="O788" s="7"/>
      <c r="P788" s="4"/>
      <c r="Q788" s="4"/>
      <c r="R788" s="4"/>
      <c r="S788" s="4"/>
      <c r="T788" s="4"/>
      <c r="U788" s="4"/>
      <c r="V788" s="4"/>
      <c r="W788" s="4"/>
      <c r="X788" s="4"/>
      <c r="Y788" s="4"/>
      <c r="Z788" s="4"/>
      <c r="AA788" s="4"/>
      <c r="AB788" s="4"/>
      <c r="AC788" s="4"/>
      <c r="AD788" s="4"/>
      <c r="AE788" s="4"/>
      <c r="AF788" s="4"/>
      <c r="AG788" s="4"/>
    </row>
    <row r="789">
      <c r="A789" s="7"/>
      <c r="B789" s="7"/>
      <c r="C789" s="7"/>
      <c r="D789" s="7"/>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row>
    <row r="790">
      <c r="A790" s="7"/>
      <c r="B790" s="7"/>
      <c r="C790" s="7"/>
      <c r="D790" s="7"/>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row>
    <row r="791">
      <c r="A791" s="7"/>
      <c r="B791" s="7"/>
      <c r="C791" s="7"/>
      <c r="D791" s="7"/>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row>
    <row r="792">
      <c r="A792" s="7"/>
      <c r="B792" s="7"/>
      <c r="C792" s="7"/>
      <c r="D792" s="7"/>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row>
    <row r="793">
      <c r="A793" s="7"/>
      <c r="B793" s="7"/>
      <c r="C793" s="7"/>
      <c r="D793" s="7"/>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row>
    <row r="794">
      <c r="A794" s="7"/>
      <c r="B794" s="7"/>
      <c r="C794" s="7"/>
      <c r="D794" s="7"/>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row>
    <row r="795">
      <c r="A795" s="7"/>
      <c r="B795" s="7"/>
      <c r="C795" s="7"/>
      <c r="D795" s="7"/>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row>
    <row r="796">
      <c r="A796" s="7"/>
      <c r="B796" s="7"/>
      <c r="C796" s="7"/>
      <c r="D796" s="7"/>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row>
    <row r="797">
      <c r="A797" s="7"/>
      <c r="B797" s="7"/>
      <c r="C797" s="7"/>
      <c r="D797" s="7"/>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row>
    <row r="798">
      <c r="A798" s="7"/>
      <c r="B798" s="7"/>
      <c r="C798" s="7"/>
      <c r="D798" s="7"/>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row>
    <row r="799">
      <c r="A799" s="7"/>
      <c r="B799" s="7"/>
      <c r="C799" s="7"/>
      <c r="D799" s="7"/>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row>
    <row r="800">
      <c r="A800" s="7"/>
      <c r="B800" s="7"/>
      <c r="C800" s="7"/>
      <c r="D800" s="7"/>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row>
    <row r="801">
      <c r="A801" s="7"/>
      <c r="B801" s="7"/>
      <c r="C801" s="7"/>
      <c r="D801" s="7"/>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row>
    <row r="802">
      <c r="A802" s="7"/>
      <c r="B802" s="7"/>
      <c r="C802" s="7"/>
      <c r="D802" s="7"/>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row>
    <row r="803">
      <c r="A803" s="7"/>
      <c r="B803" s="7"/>
      <c r="C803" s="7"/>
      <c r="D803" s="7"/>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row>
    <row r="804">
      <c r="A804" s="7"/>
      <c r="B804" s="7"/>
      <c r="C804" s="7"/>
      <c r="D804" s="7"/>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row>
    <row r="805">
      <c r="A805" s="7"/>
      <c r="B805" s="7"/>
      <c r="C805" s="7"/>
      <c r="D805" s="7"/>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row>
    <row r="806">
      <c r="A806" s="7"/>
      <c r="B806" s="7"/>
      <c r="C806" s="7"/>
      <c r="D806" s="7"/>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row>
    <row r="807">
      <c r="A807" s="7"/>
      <c r="B807" s="7"/>
      <c r="C807" s="7"/>
      <c r="D807" s="7"/>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row>
    <row r="808">
      <c r="A808" s="7"/>
      <c r="B808" s="7"/>
      <c r="C808" s="7"/>
      <c r="D808" s="7"/>
      <c r="E808" s="4"/>
      <c r="F808" s="4"/>
      <c r="G808" s="4"/>
      <c r="H808" s="4"/>
      <c r="I808" s="4"/>
      <c r="J808" s="4"/>
      <c r="K808" s="4"/>
      <c r="L808" s="4"/>
      <c r="M808" s="4"/>
      <c r="N808" s="4"/>
      <c r="O808" s="4"/>
      <c r="P808" s="4"/>
      <c r="Q808" s="4"/>
      <c r="R808" s="4"/>
      <c r="S808" s="4"/>
      <c r="T808" s="4"/>
      <c r="U808" s="4"/>
      <c r="V808" s="4"/>
      <c r="W808" s="4"/>
      <c r="X808" s="4"/>
      <c r="Y808" s="4"/>
      <c r="Z808" s="4"/>
      <c r="AA808" s="4"/>
      <c r="AB808" s="7"/>
      <c r="AC808" s="7"/>
      <c r="AD808" s="4"/>
      <c r="AE808" s="4"/>
      <c r="AF808" s="4"/>
      <c r="AG808" s="4"/>
    </row>
    <row r="809">
      <c r="A809" s="7"/>
      <c r="B809" s="7"/>
      <c r="C809" s="7"/>
      <c r="D809" s="7"/>
      <c r="E809" s="4"/>
      <c r="F809" s="4"/>
      <c r="G809" s="4"/>
      <c r="H809" s="4"/>
      <c r="I809" s="4"/>
      <c r="J809" s="4"/>
      <c r="K809" s="4"/>
      <c r="L809" s="4"/>
      <c r="M809" s="4"/>
      <c r="N809" s="4"/>
      <c r="O809" s="4"/>
      <c r="P809" s="4"/>
      <c r="Q809" s="4"/>
      <c r="R809" s="4"/>
      <c r="S809" s="4"/>
      <c r="T809" s="4"/>
      <c r="U809" s="4"/>
      <c r="V809" s="4"/>
      <c r="W809" s="4"/>
      <c r="X809" s="4"/>
      <c r="Y809" s="4"/>
      <c r="Z809" s="4"/>
      <c r="AA809" s="4"/>
      <c r="AB809" s="7"/>
      <c r="AC809" s="7"/>
      <c r="AD809" s="4"/>
      <c r="AE809" s="4"/>
      <c r="AF809" s="4"/>
      <c r="AG809" s="4"/>
    </row>
    <row r="810">
      <c r="A810" s="7"/>
      <c r="B810" s="7"/>
      <c r="C810" s="7"/>
      <c r="D810" s="7"/>
      <c r="E810" s="4"/>
      <c r="F810" s="4"/>
      <c r="G810" s="4"/>
      <c r="H810" s="4"/>
      <c r="I810" s="4"/>
      <c r="J810" s="4"/>
      <c r="K810" s="4"/>
      <c r="L810" s="4"/>
      <c r="M810" s="4"/>
      <c r="N810" s="4"/>
      <c r="O810" s="4"/>
      <c r="P810" s="4"/>
      <c r="Q810" s="4"/>
      <c r="R810" s="4"/>
      <c r="S810" s="4"/>
      <c r="T810" s="4"/>
      <c r="U810" s="4"/>
      <c r="V810" s="4"/>
      <c r="W810" s="4"/>
      <c r="X810" s="4"/>
      <c r="Y810" s="4"/>
      <c r="Z810" s="4"/>
      <c r="AA810" s="4"/>
      <c r="AB810" s="7"/>
      <c r="AC810" s="7"/>
      <c r="AD810" s="4"/>
      <c r="AE810" s="4"/>
      <c r="AF810" s="4"/>
      <c r="AG810" s="4"/>
    </row>
    <row r="811">
      <c r="A811" s="7"/>
      <c r="B811" s="7"/>
      <c r="C811" s="7"/>
      <c r="D811" s="7"/>
      <c r="E811" s="4"/>
      <c r="F811" s="4"/>
      <c r="G811" s="4"/>
      <c r="H811" s="4"/>
      <c r="I811" s="4"/>
      <c r="J811" s="4"/>
      <c r="K811" s="4"/>
      <c r="L811" s="4"/>
      <c r="M811" s="4"/>
      <c r="N811" s="4"/>
      <c r="O811" s="4"/>
      <c r="P811" s="4"/>
      <c r="Q811" s="4"/>
      <c r="R811" s="4"/>
      <c r="S811" s="4"/>
      <c r="T811" s="4"/>
      <c r="U811" s="4"/>
      <c r="V811" s="4"/>
      <c r="W811" s="4"/>
      <c r="X811" s="4"/>
      <c r="Y811" s="4"/>
      <c r="Z811" s="4"/>
      <c r="AA811" s="4"/>
      <c r="AB811" s="7"/>
      <c r="AC811" s="7"/>
      <c r="AD811" s="4"/>
      <c r="AE811" s="4"/>
      <c r="AF811" s="4"/>
      <c r="AG811" s="4"/>
    </row>
    <row r="812">
      <c r="A812" s="7"/>
      <c r="B812" s="7"/>
      <c r="C812" s="7"/>
      <c r="D812" s="7"/>
      <c r="E812" s="4"/>
      <c r="F812" s="4"/>
      <c r="G812" s="4"/>
      <c r="H812" s="4"/>
      <c r="I812" s="4"/>
      <c r="J812" s="4"/>
      <c r="K812" s="4"/>
      <c r="L812" s="4"/>
      <c r="M812" s="4"/>
      <c r="N812" s="4"/>
      <c r="O812" s="4"/>
      <c r="P812" s="4"/>
      <c r="Q812" s="4"/>
      <c r="R812" s="4"/>
      <c r="S812" s="4"/>
      <c r="T812" s="4"/>
      <c r="U812" s="4"/>
      <c r="V812" s="4"/>
      <c r="W812" s="4"/>
      <c r="X812" s="4"/>
      <c r="Y812" s="4"/>
      <c r="Z812" s="4"/>
      <c r="AA812" s="4"/>
      <c r="AB812" s="7"/>
      <c r="AC812" s="7"/>
      <c r="AD812" s="4"/>
      <c r="AE812" s="4"/>
      <c r="AF812" s="4"/>
      <c r="AG812" s="4"/>
    </row>
    <row r="813">
      <c r="A813" s="7"/>
      <c r="B813" s="7"/>
      <c r="C813" s="7"/>
      <c r="D813" s="7"/>
      <c r="E813" s="4"/>
      <c r="F813" s="4"/>
      <c r="G813" s="4"/>
      <c r="H813" s="4"/>
      <c r="I813" s="4"/>
      <c r="J813" s="4"/>
      <c r="K813" s="4"/>
      <c r="L813" s="4"/>
      <c r="M813" s="4"/>
      <c r="N813" s="4"/>
      <c r="O813" s="4"/>
      <c r="P813" s="4"/>
      <c r="Q813" s="4"/>
      <c r="R813" s="4"/>
      <c r="S813" s="4"/>
      <c r="T813" s="4"/>
      <c r="U813" s="4"/>
      <c r="V813" s="4"/>
      <c r="W813" s="4"/>
      <c r="X813" s="4"/>
      <c r="Y813" s="4"/>
      <c r="Z813" s="4"/>
      <c r="AA813" s="4"/>
      <c r="AB813" s="7"/>
      <c r="AC813" s="7"/>
      <c r="AD813" s="4"/>
      <c r="AE813" s="4"/>
      <c r="AF813" s="4"/>
      <c r="AG813" s="4"/>
    </row>
    <row r="814">
      <c r="A814" s="7"/>
      <c r="B814" s="7"/>
      <c r="C814" s="7"/>
      <c r="D814" s="7"/>
      <c r="E814" s="4"/>
      <c r="F814" s="4"/>
      <c r="G814" s="4"/>
      <c r="H814" s="4"/>
      <c r="I814" s="4"/>
      <c r="J814" s="4"/>
      <c r="K814" s="4"/>
      <c r="L814" s="4"/>
      <c r="M814" s="4"/>
      <c r="N814" s="4"/>
      <c r="O814" s="4"/>
      <c r="P814" s="4"/>
      <c r="Q814" s="4"/>
      <c r="R814" s="4"/>
      <c r="S814" s="4"/>
      <c r="T814" s="4"/>
      <c r="U814" s="4"/>
      <c r="V814" s="4"/>
      <c r="W814" s="4"/>
      <c r="X814" s="4"/>
      <c r="Y814" s="4"/>
      <c r="Z814" s="4"/>
      <c r="AA814" s="4"/>
      <c r="AB814" s="7"/>
      <c r="AC814" s="7"/>
      <c r="AD814" s="4"/>
      <c r="AE814" s="4"/>
      <c r="AF814" s="4"/>
      <c r="AG814" s="4"/>
    </row>
    <row r="815">
      <c r="A815" s="7"/>
      <c r="B815" s="7"/>
      <c r="C815" s="7"/>
      <c r="D815" s="7"/>
      <c r="E815" s="4"/>
      <c r="F815" s="4"/>
      <c r="G815" s="4"/>
      <c r="H815" s="4"/>
      <c r="I815" s="4"/>
      <c r="J815" s="4"/>
      <c r="K815" s="4"/>
      <c r="L815" s="4"/>
      <c r="M815" s="4"/>
      <c r="N815" s="4"/>
      <c r="O815" s="4"/>
      <c r="P815" s="4"/>
      <c r="Q815" s="4"/>
      <c r="R815" s="4"/>
      <c r="S815" s="4"/>
      <c r="T815" s="4"/>
      <c r="U815" s="4"/>
      <c r="V815" s="4"/>
      <c r="W815" s="4"/>
      <c r="X815" s="4"/>
      <c r="Y815" s="4"/>
      <c r="Z815" s="4"/>
      <c r="AA815" s="4"/>
      <c r="AB815" s="7"/>
      <c r="AC815" s="7"/>
      <c r="AD815" s="4"/>
      <c r="AE815" s="4"/>
      <c r="AF815" s="4"/>
      <c r="AG815" s="4"/>
    </row>
    <row r="816">
      <c r="A816" s="7"/>
      <c r="B816" s="7"/>
      <c r="C816" s="7"/>
      <c r="D816" s="7"/>
      <c r="E816" s="4"/>
      <c r="F816" s="4"/>
      <c r="G816" s="4"/>
      <c r="H816" s="4"/>
      <c r="I816" s="4"/>
      <c r="J816" s="4"/>
      <c r="K816" s="4"/>
      <c r="L816" s="4"/>
      <c r="M816" s="4"/>
      <c r="N816" s="4"/>
      <c r="O816" s="4"/>
      <c r="P816" s="4"/>
      <c r="Q816" s="4"/>
      <c r="R816" s="4"/>
      <c r="S816" s="4"/>
      <c r="T816" s="4"/>
      <c r="U816" s="4"/>
      <c r="V816" s="4"/>
      <c r="W816" s="4"/>
      <c r="X816" s="4"/>
      <c r="Y816" s="4"/>
      <c r="Z816" s="4"/>
      <c r="AA816" s="4"/>
      <c r="AB816" s="7"/>
      <c r="AC816" s="7"/>
      <c r="AD816" s="4"/>
      <c r="AE816" s="4"/>
      <c r="AF816" s="4"/>
      <c r="AG816" s="4"/>
    </row>
    <row r="817">
      <c r="A817" s="7"/>
      <c r="B817" s="7"/>
      <c r="C817" s="7"/>
      <c r="D817" s="7"/>
      <c r="E817" s="4"/>
      <c r="F817" s="4"/>
      <c r="G817" s="4"/>
      <c r="H817" s="4"/>
      <c r="I817" s="4"/>
      <c r="J817" s="4"/>
      <c r="K817" s="4"/>
      <c r="L817" s="4"/>
      <c r="M817" s="4"/>
      <c r="N817" s="4"/>
      <c r="O817" s="4"/>
      <c r="P817" s="4"/>
      <c r="Q817" s="4"/>
      <c r="R817" s="4"/>
      <c r="S817" s="4"/>
      <c r="T817" s="4"/>
      <c r="U817" s="4"/>
      <c r="V817" s="4"/>
      <c r="W817" s="4"/>
      <c r="X817" s="4"/>
      <c r="Y817" s="4"/>
      <c r="Z817" s="4"/>
      <c r="AA817" s="4"/>
      <c r="AB817" s="7"/>
      <c r="AC817" s="7"/>
      <c r="AD817" s="4"/>
      <c r="AE817" s="4"/>
      <c r="AF817" s="4"/>
      <c r="AG817" s="4"/>
    </row>
    <row r="818">
      <c r="A818" s="7"/>
      <c r="B818" s="7"/>
      <c r="C818" s="7"/>
      <c r="D818" s="7"/>
      <c r="E818" s="4"/>
      <c r="F818" s="4"/>
      <c r="G818" s="4"/>
      <c r="H818" s="4"/>
      <c r="I818" s="4"/>
      <c r="J818" s="4"/>
      <c r="K818" s="4"/>
      <c r="L818" s="4"/>
      <c r="M818" s="4"/>
      <c r="N818" s="4"/>
      <c r="O818" s="4"/>
      <c r="P818" s="4"/>
      <c r="Q818" s="4"/>
      <c r="R818" s="4"/>
      <c r="S818" s="4"/>
      <c r="T818" s="4"/>
      <c r="U818" s="4"/>
      <c r="V818" s="4"/>
      <c r="W818" s="4"/>
      <c r="X818" s="4"/>
      <c r="Y818" s="4"/>
      <c r="Z818" s="4"/>
      <c r="AA818" s="4"/>
      <c r="AB818" s="7"/>
      <c r="AC818" s="7"/>
      <c r="AD818" s="4"/>
      <c r="AE818" s="4"/>
      <c r="AF818" s="4"/>
      <c r="AG818" s="4"/>
    </row>
    <row r="819">
      <c r="A819" s="7"/>
      <c r="B819" s="7"/>
      <c r="C819" s="7"/>
      <c r="D819" s="7"/>
      <c r="E819" s="4"/>
      <c r="F819" s="4"/>
      <c r="G819" s="4"/>
      <c r="H819" s="4"/>
      <c r="I819" s="4"/>
      <c r="J819" s="4"/>
      <c r="K819" s="4"/>
      <c r="L819" s="4"/>
      <c r="M819" s="4"/>
      <c r="N819" s="4"/>
      <c r="O819" s="4"/>
      <c r="P819" s="4"/>
      <c r="Q819" s="4"/>
      <c r="R819" s="4"/>
      <c r="S819" s="4"/>
      <c r="T819" s="4"/>
      <c r="U819" s="4"/>
      <c r="V819" s="4"/>
      <c r="W819" s="4"/>
      <c r="X819" s="4"/>
      <c r="Y819" s="4"/>
      <c r="Z819" s="4"/>
      <c r="AA819" s="4"/>
      <c r="AB819" s="7"/>
      <c r="AC819" s="7"/>
      <c r="AD819" s="4"/>
      <c r="AE819" s="4"/>
      <c r="AF819" s="4"/>
      <c r="AG819" s="4"/>
    </row>
    <row r="820">
      <c r="A820" s="7"/>
      <c r="B820" s="7"/>
      <c r="C820" s="7"/>
      <c r="D820" s="7"/>
      <c r="E820" s="4"/>
      <c r="F820" s="4"/>
      <c r="G820" s="4"/>
      <c r="H820" s="4"/>
      <c r="I820" s="4"/>
      <c r="J820" s="4"/>
      <c r="K820" s="4"/>
      <c r="L820" s="4"/>
      <c r="M820" s="4"/>
      <c r="N820" s="4"/>
      <c r="O820" s="4"/>
      <c r="P820" s="4"/>
      <c r="Q820" s="4"/>
      <c r="R820" s="4"/>
      <c r="S820" s="4"/>
      <c r="T820" s="4"/>
      <c r="U820" s="4"/>
      <c r="V820" s="4"/>
      <c r="W820" s="4"/>
      <c r="X820" s="4"/>
      <c r="Y820" s="4"/>
      <c r="Z820" s="4"/>
      <c r="AA820" s="4"/>
      <c r="AB820" s="7"/>
      <c r="AC820" s="7"/>
      <c r="AD820" s="4"/>
      <c r="AE820" s="4"/>
      <c r="AF820" s="4"/>
      <c r="AG820" s="4"/>
    </row>
    <row r="821">
      <c r="A821" s="7"/>
      <c r="B821" s="7"/>
      <c r="C821" s="7"/>
      <c r="D821" s="7"/>
      <c r="E821" s="4"/>
      <c r="F821" s="4"/>
      <c r="G821" s="4"/>
      <c r="H821" s="4"/>
      <c r="I821" s="4"/>
      <c r="J821" s="4"/>
      <c r="K821" s="4"/>
      <c r="L821" s="4"/>
      <c r="M821" s="4"/>
      <c r="N821" s="4"/>
      <c r="O821" s="4"/>
      <c r="P821" s="4"/>
      <c r="Q821" s="4"/>
      <c r="R821" s="4"/>
      <c r="S821" s="4"/>
      <c r="T821" s="4"/>
      <c r="U821" s="4"/>
      <c r="V821" s="4"/>
      <c r="W821" s="4"/>
      <c r="X821" s="4"/>
      <c r="Y821" s="4"/>
      <c r="Z821" s="4"/>
      <c r="AA821" s="4"/>
      <c r="AB821" s="7"/>
      <c r="AC821" s="7"/>
      <c r="AD821" s="4"/>
      <c r="AE821" s="4"/>
      <c r="AF821" s="4"/>
      <c r="AG821" s="4"/>
    </row>
    <row r="822">
      <c r="A822" s="7"/>
      <c r="B822" s="7"/>
      <c r="C822" s="7"/>
      <c r="D822" s="7"/>
      <c r="E822" s="4"/>
      <c r="F822" s="4"/>
      <c r="G822" s="4"/>
      <c r="H822" s="4"/>
      <c r="I822" s="4"/>
      <c r="J822" s="4"/>
      <c r="K822" s="4"/>
      <c r="L822" s="4"/>
      <c r="M822" s="4"/>
      <c r="N822" s="4"/>
      <c r="O822" s="4"/>
      <c r="P822" s="4"/>
      <c r="Q822" s="4"/>
      <c r="R822" s="4"/>
      <c r="S822" s="4"/>
      <c r="T822" s="4"/>
      <c r="U822" s="4"/>
      <c r="V822" s="4"/>
      <c r="W822" s="4"/>
      <c r="X822" s="4"/>
      <c r="Y822" s="4"/>
      <c r="Z822" s="4"/>
      <c r="AA822" s="4"/>
      <c r="AB822" s="7"/>
      <c r="AC822" s="7"/>
      <c r="AD822" s="4"/>
      <c r="AE822" s="4"/>
      <c r="AF822" s="4"/>
      <c r="AG822" s="4"/>
    </row>
    <row r="823">
      <c r="A823" s="7"/>
      <c r="B823" s="7"/>
      <c r="C823" s="7"/>
      <c r="D823" s="7"/>
      <c r="E823" s="4"/>
      <c r="F823" s="4"/>
      <c r="G823" s="4"/>
      <c r="H823" s="4"/>
      <c r="I823" s="4"/>
      <c r="J823" s="4"/>
      <c r="K823" s="4"/>
      <c r="L823" s="4"/>
      <c r="M823" s="4"/>
      <c r="N823" s="4"/>
      <c r="O823" s="4"/>
      <c r="P823" s="4"/>
      <c r="Q823" s="4"/>
      <c r="R823" s="4"/>
      <c r="S823" s="4"/>
      <c r="T823" s="4"/>
      <c r="U823" s="4"/>
      <c r="V823" s="4"/>
      <c r="W823" s="4"/>
      <c r="X823" s="4"/>
      <c r="Y823" s="4"/>
      <c r="Z823" s="4"/>
      <c r="AA823" s="4"/>
      <c r="AB823" s="7"/>
      <c r="AC823" s="7"/>
      <c r="AD823" s="4"/>
      <c r="AE823" s="4"/>
      <c r="AF823" s="4"/>
      <c r="AG823" s="4"/>
    </row>
    <row r="824">
      <c r="A824" s="7"/>
      <c r="B824" s="7"/>
      <c r="C824" s="7"/>
      <c r="D824" s="7"/>
      <c r="E824" s="4"/>
      <c r="F824" s="4"/>
      <c r="G824" s="4"/>
      <c r="H824" s="4"/>
      <c r="I824" s="4"/>
      <c r="J824" s="4"/>
      <c r="K824" s="4"/>
      <c r="L824" s="4"/>
      <c r="M824" s="4"/>
      <c r="N824" s="4"/>
      <c r="O824" s="4"/>
      <c r="P824" s="4"/>
      <c r="Q824" s="4"/>
      <c r="R824" s="4"/>
      <c r="S824" s="4"/>
      <c r="T824" s="4"/>
      <c r="U824" s="4"/>
      <c r="V824" s="4"/>
      <c r="W824" s="4"/>
      <c r="X824" s="4"/>
      <c r="Y824" s="4"/>
      <c r="Z824" s="4"/>
      <c r="AA824" s="4"/>
      <c r="AB824" s="7"/>
      <c r="AC824" s="7"/>
      <c r="AD824" s="4"/>
      <c r="AE824" s="4"/>
      <c r="AF824" s="4"/>
      <c r="AG824" s="4"/>
    </row>
    <row r="825">
      <c r="A825" s="7"/>
      <c r="B825" s="7"/>
      <c r="C825" s="7"/>
      <c r="D825" s="7"/>
      <c r="E825" s="4"/>
      <c r="F825" s="4"/>
      <c r="G825" s="4"/>
      <c r="H825" s="4"/>
      <c r="I825" s="4"/>
      <c r="J825" s="4"/>
      <c r="K825" s="4"/>
      <c r="L825" s="4"/>
      <c r="M825" s="4"/>
      <c r="N825" s="4"/>
      <c r="O825" s="4"/>
      <c r="P825" s="4"/>
      <c r="Q825" s="4"/>
      <c r="R825" s="4"/>
      <c r="S825" s="4"/>
      <c r="T825" s="4"/>
      <c r="U825" s="4"/>
      <c r="V825" s="4"/>
      <c r="W825" s="4"/>
      <c r="X825" s="4"/>
      <c r="Y825" s="4"/>
      <c r="Z825" s="4"/>
      <c r="AA825" s="4"/>
      <c r="AB825" s="7"/>
      <c r="AC825" s="7"/>
      <c r="AD825" s="4"/>
      <c r="AE825" s="4"/>
      <c r="AF825" s="4"/>
      <c r="AG825" s="4"/>
    </row>
    <row r="826">
      <c r="A826" s="7"/>
      <c r="B826" s="7"/>
      <c r="C826" s="7"/>
      <c r="D826" s="7"/>
      <c r="E826" s="4"/>
      <c r="F826" s="4"/>
      <c r="G826" s="4"/>
      <c r="H826" s="4"/>
      <c r="I826" s="4"/>
      <c r="J826" s="4"/>
      <c r="K826" s="4"/>
      <c r="L826" s="4"/>
      <c r="M826" s="4"/>
      <c r="N826" s="4"/>
      <c r="O826" s="4"/>
      <c r="P826" s="4"/>
      <c r="Q826" s="4"/>
      <c r="R826" s="4"/>
      <c r="S826" s="4"/>
      <c r="T826" s="4"/>
      <c r="U826" s="4"/>
      <c r="V826" s="4"/>
      <c r="W826" s="4"/>
      <c r="X826" s="4"/>
      <c r="Y826" s="4"/>
      <c r="Z826" s="4"/>
      <c r="AA826" s="4"/>
      <c r="AB826" s="7"/>
      <c r="AC826" s="7"/>
      <c r="AD826" s="4"/>
      <c r="AE826" s="4"/>
      <c r="AF826" s="4"/>
      <c r="AG826" s="4"/>
    </row>
    <row r="827">
      <c r="A827" s="7"/>
      <c r="B827" s="7"/>
      <c r="C827" s="7"/>
      <c r="D827" s="7"/>
      <c r="E827" s="4"/>
      <c r="F827" s="4"/>
      <c r="G827" s="4"/>
      <c r="H827" s="4"/>
      <c r="I827" s="4"/>
      <c r="J827" s="4"/>
      <c r="K827" s="4"/>
      <c r="L827" s="4"/>
      <c r="M827" s="4"/>
      <c r="N827" s="4"/>
      <c r="O827" s="4"/>
      <c r="P827" s="4"/>
      <c r="Q827" s="4"/>
      <c r="R827" s="4"/>
      <c r="S827" s="4"/>
      <c r="T827" s="4"/>
      <c r="U827" s="4"/>
      <c r="V827" s="4"/>
      <c r="W827" s="4"/>
      <c r="X827" s="4"/>
      <c r="Y827" s="4"/>
      <c r="Z827" s="4"/>
      <c r="AA827" s="4"/>
      <c r="AB827" s="7"/>
      <c r="AC827" s="7"/>
      <c r="AD827" s="4"/>
      <c r="AE827" s="4"/>
      <c r="AF827" s="4"/>
      <c r="AG827" s="4"/>
    </row>
    <row r="828">
      <c r="A828" s="7"/>
      <c r="B828" s="7"/>
      <c r="C828" s="7"/>
      <c r="D828" s="7"/>
      <c r="E828" s="4"/>
      <c r="F828" s="4"/>
      <c r="G828" s="4"/>
      <c r="H828" s="4"/>
      <c r="I828" s="4"/>
      <c r="J828" s="4"/>
      <c r="K828" s="4"/>
      <c r="L828" s="4"/>
      <c r="M828" s="4"/>
      <c r="N828" s="4"/>
      <c r="O828" s="4"/>
      <c r="P828" s="4"/>
      <c r="Q828" s="4"/>
      <c r="R828" s="4"/>
      <c r="S828" s="4"/>
      <c r="T828" s="4"/>
      <c r="U828" s="4"/>
      <c r="V828" s="4"/>
      <c r="W828" s="4"/>
      <c r="X828" s="4"/>
      <c r="Y828" s="4"/>
      <c r="Z828" s="4"/>
      <c r="AA828" s="4"/>
      <c r="AB828" s="7"/>
      <c r="AC828" s="7"/>
      <c r="AD828" s="4"/>
      <c r="AE828" s="4"/>
      <c r="AF828" s="4"/>
      <c r="AG828" s="4"/>
    </row>
    <row r="829">
      <c r="A829" s="7"/>
      <c r="B829" s="7"/>
      <c r="C829" s="7"/>
      <c r="D829" s="7"/>
      <c r="E829" s="4"/>
      <c r="F829" s="4"/>
      <c r="G829" s="4"/>
      <c r="H829" s="4"/>
      <c r="I829" s="4"/>
      <c r="J829" s="4"/>
      <c r="K829" s="4"/>
      <c r="L829" s="4"/>
      <c r="M829" s="4"/>
      <c r="N829" s="4"/>
      <c r="O829" s="4"/>
      <c r="P829" s="4"/>
      <c r="Q829" s="4"/>
      <c r="R829" s="4"/>
      <c r="S829" s="4"/>
      <c r="T829" s="4"/>
      <c r="U829" s="4"/>
      <c r="V829" s="4"/>
      <c r="W829" s="4"/>
      <c r="X829" s="4"/>
      <c r="Y829" s="4"/>
      <c r="Z829" s="4"/>
      <c r="AA829" s="4"/>
      <c r="AB829" s="7"/>
      <c r="AC829" s="7"/>
      <c r="AD829" s="4"/>
      <c r="AE829" s="4"/>
      <c r="AF829" s="4"/>
      <c r="AG829" s="4"/>
    </row>
    <row r="830">
      <c r="A830" s="7"/>
      <c r="B830" s="7"/>
      <c r="C830" s="7"/>
      <c r="D830" s="7"/>
      <c r="E830" s="4"/>
      <c r="F830" s="4"/>
      <c r="G830" s="4"/>
      <c r="H830" s="4"/>
      <c r="I830" s="4"/>
      <c r="J830" s="4"/>
      <c r="K830" s="4"/>
      <c r="L830" s="4"/>
      <c r="M830" s="4"/>
      <c r="N830" s="4"/>
      <c r="O830" s="4"/>
      <c r="P830" s="4"/>
      <c r="Q830" s="4"/>
      <c r="R830" s="4"/>
      <c r="S830" s="4"/>
      <c r="T830" s="4"/>
      <c r="U830" s="4"/>
      <c r="V830" s="4"/>
      <c r="W830" s="4"/>
      <c r="X830" s="4"/>
      <c r="Y830" s="4"/>
      <c r="Z830" s="4"/>
      <c r="AA830" s="4"/>
      <c r="AB830" s="7"/>
      <c r="AC830" s="7"/>
      <c r="AD830" s="4"/>
      <c r="AE830" s="4"/>
      <c r="AF830" s="4"/>
      <c r="AG830" s="4"/>
    </row>
    <row r="831">
      <c r="A831" s="7"/>
      <c r="B831" s="7"/>
      <c r="C831" s="7"/>
      <c r="D831" s="7"/>
      <c r="E831" s="4"/>
      <c r="F831" s="4"/>
      <c r="G831" s="4"/>
      <c r="H831" s="4"/>
      <c r="I831" s="4"/>
      <c r="J831" s="4"/>
      <c r="K831" s="4"/>
      <c r="L831" s="4"/>
      <c r="M831" s="4"/>
      <c r="N831" s="4"/>
      <c r="O831" s="4"/>
      <c r="P831" s="4"/>
      <c r="Q831" s="4"/>
      <c r="R831" s="4"/>
      <c r="S831" s="4"/>
      <c r="T831" s="4"/>
      <c r="U831" s="4"/>
      <c r="V831" s="4"/>
      <c r="W831" s="4"/>
      <c r="X831" s="4"/>
      <c r="Y831" s="4"/>
      <c r="Z831" s="4"/>
      <c r="AA831" s="4"/>
      <c r="AB831" s="7"/>
      <c r="AC831" s="7"/>
      <c r="AD831" s="4"/>
      <c r="AE831" s="4"/>
      <c r="AF831" s="4"/>
      <c r="AG831" s="4"/>
    </row>
    <row r="832">
      <c r="A832" s="7"/>
      <c r="B832" s="7"/>
      <c r="C832" s="7"/>
      <c r="D832" s="7"/>
      <c r="E832" s="4"/>
      <c r="F832" s="4"/>
      <c r="G832" s="4"/>
      <c r="H832" s="4"/>
      <c r="I832" s="4"/>
      <c r="J832" s="4"/>
      <c r="K832" s="4"/>
      <c r="L832" s="4"/>
      <c r="M832" s="4"/>
      <c r="N832" s="4"/>
      <c r="O832" s="4"/>
      <c r="P832" s="4"/>
      <c r="Q832" s="4"/>
      <c r="R832" s="4"/>
      <c r="S832" s="4"/>
      <c r="T832" s="4"/>
      <c r="U832" s="4"/>
      <c r="V832" s="4"/>
      <c r="W832" s="4"/>
      <c r="X832" s="4"/>
      <c r="Y832" s="4"/>
      <c r="Z832" s="4"/>
      <c r="AA832" s="4"/>
      <c r="AB832" s="7"/>
      <c r="AC832" s="7"/>
      <c r="AD832" s="4"/>
      <c r="AE832" s="4"/>
      <c r="AF832" s="4"/>
      <c r="AG832" s="4"/>
    </row>
    <row r="833">
      <c r="A833" s="7"/>
      <c r="B833" s="7"/>
      <c r="C833" s="7"/>
      <c r="D833" s="7"/>
      <c r="E833" s="4"/>
      <c r="F833" s="4"/>
      <c r="G833" s="4"/>
      <c r="H833" s="4"/>
      <c r="I833" s="4"/>
      <c r="J833" s="4"/>
      <c r="K833" s="4"/>
      <c r="L833" s="4"/>
      <c r="M833" s="4"/>
      <c r="N833" s="4"/>
      <c r="O833" s="4"/>
      <c r="P833" s="4"/>
      <c r="Q833" s="4"/>
      <c r="R833" s="4"/>
      <c r="S833" s="4"/>
      <c r="T833" s="4"/>
      <c r="U833" s="4"/>
      <c r="V833" s="4"/>
      <c r="W833" s="4"/>
      <c r="X833" s="4"/>
      <c r="Y833" s="4"/>
      <c r="Z833" s="4"/>
      <c r="AA833" s="4"/>
      <c r="AB833" s="7"/>
      <c r="AC833" s="7"/>
      <c r="AD833" s="4"/>
      <c r="AE833" s="4"/>
      <c r="AF833" s="4"/>
      <c r="AG833" s="4"/>
    </row>
    <row r="834">
      <c r="A834" s="7"/>
      <c r="B834" s="7"/>
      <c r="C834" s="7"/>
      <c r="D834" s="7"/>
      <c r="E834" s="4"/>
      <c r="F834" s="4"/>
      <c r="G834" s="4"/>
      <c r="H834" s="4"/>
      <c r="I834" s="4"/>
      <c r="J834" s="4"/>
      <c r="K834" s="4"/>
      <c r="L834" s="4"/>
      <c r="M834" s="4"/>
      <c r="N834" s="4"/>
      <c r="O834" s="4"/>
      <c r="P834" s="4"/>
      <c r="Q834" s="4"/>
      <c r="R834" s="4"/>
      <c r="S834" s="4"/>
      <c r="T834" s="4"/>
      <c r="U834" s="4"/>
      <c r="V834" s="4"/>
      <c r="W834" s="4"/>
      <c r="X834" s="4"/>
      <c r="Y834" s="4"/>
      <c r="Z834" s="4"/>
      <c r="AA834" s="4"/>
      <c r="AB834" s="7"/>
      <c r="AC834" s="7"/>
      <c r="AD834" s="4"/>
      <c r="AE834" s="4"/>
      <c r="AF834" s="4"/>
      <c r="AG834" s="4"/>
    </row>
    <row r="835">
      <c r="A835" s="7"/>
      <c r="B835" s="7"/>
      <c r="C835" s="7"/>
      <c r="D835" s="7"/>
      <c r="E835" s="4"/>
      <c r="F835" s="4"/>
      <c r="G835" s="4"/>
      <c r="H835" s="4"/>
      <c r="I835" s="4"/>
      <c r="J835" s="4"/>
      <c r="K835" s="4"/>
      <c r="L835" s="4"/>
      <c r="M835" s="4"/>
      <c r="N835" s="4"/>
      <c r="O835" s="4"/>
      <c r="P835" s="4"/>
      <c r="Q835" s="4"/>
      <c r="R835" s="4"/>
      <c r="S835" s="4"/>
      <c r="T835" s="4"/>
      <c r="U835" s="4"/>
      <c r="V835" s="4"/>
      <c r="W835" s="4"/>
      <c r="X835" s="4"/>
      <c r="Y835" s="4"/>
      <c r="Z835" s="4"/>
      <c r="AA835" s="4"/>
      <c r="AB835" s="7"/>
      <c r="AC835" s="7"/>
      <c r="AD835" s="4"/>
      <c r="AE835" s="4"/>
      <c r="AF835" s="4"/>
      <c r="AG835" s="4"/>
    </row>
    <row r="836">
      <c r="A836" s="7"/>
      <c r="B836" s="7"/>
      <c r="C836" s="7"/>
      <c r="D836" s="7"/>
      <c r="E836" s="4"/>
      <c r="F836" s="4"/>
      <c r="G836" s="4"/>
      <c r="H836" s="4"/>
      <c r="I836" s="4"/>
      <c r="J836" s="4"/>
      <c r="K836" s="4"/>
      <c r="L836" s="4"/>
      <c r="M836" s="4"/>
      <c r="N836" s="4"/>
      <c r="O836" s="4"/>
      <c r="P836" s="4"/>
      <c r="Q836" s="4"/>
      <c r="R836" s="4"/>
      <c r="S836" s="4"/>
      <c r="T836" s="4"/>
      <c r="U836" s="4"/>
      <c r="V836" s="4"/>
      <c r="W836" s="4"/>
      <c r="X836" s="4"/>
      <c r="Y836" s="4"/>
      <c r="Z836" s="4"/>
      <c r="AA836" s="4"/>
      <c r="AB836" s="7"/>
      <c r="AC836" s="7"/>
      <c r="AD836" s="4"/>
      <c r="AE836" s="4"/>
      <c r="AF836" s="4"/>
      <c r="AG836" s="4"/>
    </row>
    <row r="837">
      <c r="A837" s="7"/>
      <c r="B837" s="7"/>
      <c r="C837" s="7"/>
      <c r="D837" s="7"/>
      <c r="E837" s="4"/>
      <c r="F837" s="4"/>
      <c r="G837" s="4"/>
      <c r="H837" s="4"/>
      <c r="I837" s="4"/>
      <c r="J837" s="4"/>
      <c r="K837" s="4"/>
      <c r="L837" s="4"/>
      <c r="M837" s="4"/>
      <c r="N837" s="4"/>
      <c r="O837" s="4"/>
      <c r="P837" s="4"/>
      <c r="Q837" s="4"/>
      <c r="R837" s="4"/>
      <c r="S837" s="4"/>
      <c r="T837" s="4"/>
      <c r="U837" s="4"/>
      <c r="V837" s="4"/>
      <c r="W837" s="4"/>
      <c r="X837" s="4"/>
      <c r="Y837" s="4"/>
      <c r="Z837" s="4"/>
      <c r="AA837" s="4"/>
      <c r="AB837" s="7"/>
      <c r="AC837" s="7"/>
      <c r="AD837" s="4"/>
      <c r="AE837" s="4"/>
      <c r="AF837" s="4"/>
      <c r="AG837" s="4"/>
    </row>
    <row r="838">
      <c r="A838" s="7"/>
      <c r="B838" s="7"/>
      <c r="C838" s="7"/>
      <c r="D838" s="7"/>
      <c r="E838" s="4"/>
      <c r="F838" s="4"/>
      <c r="G838" s="4"/>
      <c r="H838" s="4"/>
      <c r="I838" s="4"/>
      <c r="J838" s="4"/>
      <c r="K838" s="4"/>
      <c r="L838" s="4"/>
      <c r="M838" s="4"/>
      <c r="N838" s="4"/>
      <c r="O838" s="4"/>
      <c r="P838" s="4"/>
      <c r="Q838" s="4"/>
      <c r="R838" s="4"/>
      <c r="S838" s="4"/>
      <c r="T838" s="4"/>
      <c r="U838" s="4"/>
      <c r="V838" s="4"/>
      <c r="W838" s="4"/>
      <c r="X838" s="4"/>
      <c r="Y838" s="4"/>
      <c r="Z838" s="4"/>
      <c r="AA838" s="4"/>
      <c r="AB838" s="7"/>
      <c r="AC838" s="7"/>
      <c r="AD838" s="4"/>
      <c r="AE838" s="4"/>
      <c r="AF838" s="4"/>
      <c r="AG838" s="4"/>
    </row>
    <row r="839">
      <c r="A839" s="7"/>
      <c r="B839" s="7"/>
      <c r="C839" s="7"/>
      <c r="D839" s="7"/>
      <c r="E839" s="4"/>
      <c r="F839" s="4"/>
      <c r="G839" s="4"/>
      <c r="H839" s="4"/>
      <c r="I839" s="4"/>
      <c r="J839" s="4"/>
      <c r="K839" s="4"/>
      <c r="L839" s="4"/>
      <c r="M839" s="4"/>
      <c r="N839" s="4"/>
      <c r="O839" s="4"/>
      <c r="P839" s="4"/>
      <c r="Q839" s="4"/>
      <c r="R839" s="4"/>
      <c r="S839" s="4"/>
      <c r="T839" s="4"/>
      <c r="U839" s="4"/>
      <c r="V839" s="4"/>
      <c r="W839" s="4"/>
      <c r="X839" s="4"/>
      <c r="Y839" s="4"/>
      <c r="Z839" s="4"/>
      <c r="AA839" s="4"/>
      <c r="AB839" s="7"/>
      <c r="AC839" s="7"/>
      <c r="AD839" s="4"/>
      <c r="AE839" s="4"/>
      <c r="AF839" s="4"/>
      <c r="AG839" s="4"/>
    </row>
    <row r="840">
      <c r="A840" s="7"/>
      <c r="B840" s="7"/>
      <c r="C840" s="7"/>
      <c r="D840" s="7"/>
      <c r="E840" s="4"/>
      <c r="F840" s="4"/>
      <c r="G840" s="4"/>
      <c r="H840" s="4"/>
      <c r="I840" s="4"/>
      <c r="J840" s="4"/>
      <c r="K840" s="4"/>
      <c r="L840" s="4"/>
      <c r="M840" s="4"/>
      <c r="N840" s="4"/>
      <c r="O840" s="4"/>
      <c r="P840" s="4"/>
      <c r="Q840" s="4"/>
      <c r="R840" s="4"/>
      <c r="S840" s="4"/>
      <c r="T840" s="4"/>
      <c r="U840" s="4"/>
      <c r="V840" s="4"/>
      <c r="W840" s="4"/>
      <c r="X840" s="4"/>
      <c r="Y840" s="4"/>
      <c r="Z840" s="4"/>
      <c r="AA840" s="4"/>
      <c r="AB840" s="7"/>
      <c r="AC840" s="7"/>
      <c r="AD840" s="4"/>
      <c r="AE840" s="4"/>
      <c r="AF840" s="4"/>
      <c r="AG840" s="4"/>
    </row>
    <row r="841">
      <c r="A841" s="7"/>
      <c r="B841" s="7"/>
      <c r="C841" s="7"/>
      <c r="D841" s="7"/>
      <c r="E841" s="4"/>
      <c r="F841" s="4"/>
      <c r="G841" s="4"/>
      <c r="H841" s="4"/>
      <c r="I841" s="4"/>
      <c r="J841" s="4"/>
      <c r="K841" s="4"/>
      <c r="L841" s="4"/>
      <c r="M841" s="4"/>
      <c r="N841" s="4"/>
      <c r="O841" s="4"/>
      <c r="P841" s="4"/>
      <c r="Q841" s="4"/>
      <c r="R841" s="4"/>
      <c r="S841" s="4"/>
      <c r="T841" s="4"/>
      <c r="U841" s="4"/>
      <c r="V841" s="4"/>
      <c r="W841" s="4"/>
      <c r="X841" s="4"/>
      <c r="Y841" s="4"/>
      <c r="Z841" s="4"/>
      <c r="AA841" s="4"/>
      <c r="AB841" s="7"/>
      <c r="AC841" s="7"/>
      <c r="AD841" s="4"/>
      <c r="AE841" s="4"/>
      <c r="AF841" s="4"/>
      <c r="AG841" s="4"/>
    </row>
    <row r="842">
      <c r="A842" s="7"/>
      <c r="B842" s="7"/>
      <c r="C842" s="7"/>
      <c r="D842" s="7"/>
      <c r="E842" s="4"/>
      <c r="F842" s="4"/>
      <c r="G842" s="4"/>
      <c r="H842" s="4"/>
      <c r="I842" s="4"/>
      <c r="J842" s="4"/>
      <c r="K842" s="4"/>
      <c r="L842" s="4"/>
      <c r="M842" s="4"/>
      <c r="N842" s="4"/>
      <c r="O842" s="4"/>
      <c r="P842" s="4"/>
      <c r="Q842" s="4"/>
      <c r="R842" s="4"/>
      <c r="S842" s="4"/>
      <c r="T842" s="4"/>
      <c r="U842" s="4"/>
      <c r="V842" s="4"/>
      <c r="W842" s="4"/>
      <c r="X842" s="4"/>
      <c r="Y842" s="4"/>
      <c r="Z842" s="4"/>
      <c r="AA842" s="4"/>
      <c r="AB842" s="7"/>
      <c r="AC842" s="7"/>
      <c r="AD842" s="4"/>
      <c r="AE842" s="4"/>
      <c r="AF842" s="4"/>
      <c r="AG842" s="4"/>
    </row>
    <row r="843">
      <c r="A843" s="7"/>
      <c r="B843" s="7"/>
      <c r="C843" s="7"/>
      <c r="D843" s="7"/>
      <c r="E843" s="4"/>
      <c r="F843" s="4"/>
      <c r="G843" s="4"/>
      <c r="H843" s="4"/>
      <c r="I843" s="4"/>
      <c r="J843" s="4"/>
      <c r="K843" s="4"/>
      <c r="L843" s="4"/>
      <c r="M843" s="4"/>
      <c r="N843" s="4"/>
      <c r="O843" s="4"/>
      <c r="P843" s="4"/>
      <c r="Q843" s="4"/>
      <c r="R843" s="4"/>
      <c r="S843" s="4"/>
      <c r="T843" s="4"/>
      <c r="U843" s="4"/>
      <c r="V843" s="4"/>
      <c r="W843" s="4"/>
      <c r="X843" s="4"/>
      <c r="Y843" s="4"/>
      <c r="Z843" s="4"/>
      <c r="AA843" s="4"/>
      <c r="AB843" s="7"/>
      <c r="AC843" s="7"/>
      <c r="AD843" s="4"/>
      <c r="AE843" s="4"/>
      <c r="AF843" s="4"/>
      <c r="AG843" s="4"/>
    </row>
    <row r="844">
      <c r="A844" s="7"/>
      <c r="B844" s="7"/>
      <c r="C844" s="7"/>
      <c r="D844" s="7"/>
      <c r="E844" s="4"/>
      <c r="F844" s="4"/>
      <c r="G844" s="4"/>
      <c r="H844" s="4"/>
      <c r="I844" s="4"/>
      <c r="J844" s="4"/>
      <c r="K844" s="4"/>
      <c r="L844" s="4"/>
      <c r="M844" s="4"/>
      <c r="N844" s="4"/>
      <c r="O844" s="4"/>
      <c r="P844" s="4"/>
      <c r="Q844" s="4"/>
      <c r="R844" s="4"/>
      <c r="S844" s="4"/>
      <c r="T844" s="4"/>
      <c r="U844" s="4"/>
      <c r="V844" s="4"/>
      <c r="W844" s="4"/>
      <c r="X844" s="4"/>
      <c r="Y844" s="4"/>
      <c r="Z844" s="4"/>
      <c r="AA844" s="4"/>
      <c r="AB844" s="7"/>
      <c r="AC844" s="7"/>
      <c r="AD844" s="4"/>
      <c r="AE844" s="4"/>
      <c r="AF844" s="4"/>
      <c r="AG844" s="4"/>
    </row>
    <row r="845">
      <c r="A845" s="7"/>
      <c r="B845" s="7"/>
      <c r="C845" s="7"/>
      <c r="D845" s="7"/>
      <c r="E845" s="4"/>
      <c r="F845" s="4"/>
      <c r="G845" s="4"/>
      <c r="H845" s="4"/>
      <c r="I845" s="4"/>
      <c r="J845" s="4"/>
      <c r="K845" s="4"/>
      <c r="L845" s="4"/>
      <c r="M845" s="4"/>
      <c r="N845" s="4"/>
      <c r="O845" s="4"/>
      <c r="P845" s="4"/>
      <c r="Q845" s="4"/>
      <c r="R845" s="4"/>
      <c r="S845" s="4"/>
      <c r="T845" s="4"/>
      <c r="U845" s="4"/>
      <c r="V845" s="4"/>
      <c r="W845" s="4"/>
      <c r="X845" s="4"/>
      <c r="Y845" s="4"/>
      <c r="Z845" s="4"/>
      <c r="AA845" s="4"/>
      <c r="AB845" s="7"/>
      <c r="AC845" s="7"/>
      <c r="AD845" s="4"/>
      <c r="AE845" s="4"/>
      <c r="AF845" s="4"/>
      <c r="AG845" s="4"/>
    </row>
    <row r="846">
      <c r="A846" s="7"/>
      <c r="B846" s="7"/>
      <c r="C846" s="7"/>
      <c r="D846" s="7"/>
      <c r="E846" s="4"/>
      <c r="F846" s="4"/>
      <c r="G846" s="4"/>
      <c r="H846" s="4"/>
      <c r="I846" s="4"/>
      <c r="J846" s="4"/>
      <c r="K846" s="4"/>
      <c r="L846" s="4"/>
      <c r="M846" s="4"/>
      <c r="N846" s="4"/>
      <c r="O846" s="4"/>
      <c r="P846" s="4"/>
      <c r="Q846" s="4"/>
      <c r="R846" s="4"/>
      <c r="S846" s="4"/>
      <c r="T846" s="4"/>
      <c r="U846" s="4"/>
      <c r="V846" s="4"/>
      <c r="W846" s="4"/>
      <c r="X846" s="4"/>
      <c r="Y846" s="4"/>
      <c r="Z846" s="4"/>
      <c r="AA846" s="4"/>
      <c r="AB846" s="7"/>
      <c r="AC846" s="7"/>
      <c r="AD846" s="4"/>
      <c r="AE846" s="4"/>
      <c r="AF846" s="4"/>
      <c r="AG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row>
    <row r="865">
      <c r="A865" s="4"/>
      <c r="B865" s="4"/>
      <c r="C865" s="4"/>
      <c r="D865" s="4"/>
      <c r="E865" s="4"/>
      <c r="F865" s="4"/>
      <c r="G865" s="4"/>
      <c r="H865" s="4"/>
      <c r="I865" s="4"/>
      <c r="J865" s="4"/>
      <c r="K865" s="4"/>
      <c r="L865" s="4"/>
      <c r="M865" s="4"/>
      <c r="N865" s="4"/>
      <c r="O865" s="4"/>
      <c r="P865" s="4"/>
      <c r="Q865" s="4"/>
      <c r="R865" s="4"/>
      <c r="S865" s="4"/>
      <c r="T865" s="4"/>
      <c r="U865" s="4"/>
      <c r="V865" s="4"/>
      <c r="W865" s="6"/>
      <c r="X865" s="4"/>
      <c r="Y865" s="4"/>
      <c r="Z865" s="4"/>
      <c r="AA865" s="4"/>
      <c r="AB865" s="4"/>
      <c r="AC865" s="4"/>
      <c r="AD865" s="4"/>
      <c r="AE865" s="4"/>
      <c r="AF865" s="4"/>
      <c r="AG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row>
    <row r="885">
      <c r="A885" s="4"/>
      <c r="B885" s="4"/>
      <c r="C885" s="4"/>
      <c r="D885" s="4"/>
      <c r="E885" s="4"/>
      <c r="F885" s="4"/>
      <c r="G885" s="4"/>
      <c r="H885" s="4"/>
      <c r="I885" s="4"/>
      <c r="J885" s="4"/>
      <c r="K885" s="4"/>
      <c r="L885" s="4"/>
      <c r="M885" s="4"/>
      <c r="N885" s="4"/>
      <c r="O885" s="4"/>
      <c r="P885" s="4"/>
      <c r="Q885" s="4"/>
      <c r="R885" s="4"/>
      <c r="S885" s="4"/>
      <c r="T885" s="4"/>
      <c r="U885" s="4"/>
      <c r="V885" s="4"/>
      <c r="W885" s="6"/>
      <c r="X885" s="4"/>
      <c r="Y885" s="4"/>
      <c r="Z885" s="4"/>
      <c r="AA885" s="4"/>
      <c r="AB885" s="4"/>
      <c r="AC885" s="4"/>
      <c r="AD885" s="4"/>
      <c r="AE885" s="4"/>
      <c r="AF885" s="4"/>
      <c r="AG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c r="AF1005" s="4"/>
      <c r="AG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c r="AF1006" s="4"/>
      <c r="AG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c r="AF1007" s="4"/>
      <c r="AG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c r="AF1008" s="4"/>
      <c r="AG1008" s="4"/>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c r="AD1009" s="4"/>
      <c r="AE1009" s="4"/>
      <c r="AF1009" s="4"/>
      <c r="AG1009"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4" max="4" width="48.38"/>
    <col customWidth="1" min="5" max="5" width="78.13"/>
    <col customWidth="1" min="6" max="6" width="65.88"/>
    <col customWidth="1" min="7" max="7" width="59.25"/>
    <col customWidth="1" min="8" max="8" width="48.88"/>
    <col customWidth="1" min="9" max="9" width="61.25"/>
  </cols>
  <sheetData>
    <row r="1">
      <c r="A1" s="8" t="s">
        <v>2</v>
      </c>
      <c r="B1" s="8" t="s">
        <v>3</v>
      </c>
      <c r="C1" s="8" t="s">
        <v>0</v>
      </c>
      <c r="D1" s="8" t="s">
        <v>1</v>
      </c>
      <c r="E1" s="9" t="s">
        <v>13</v>
      </c>
      <c r="F1" s="9" t="s">
        <v>8</v>
      </c>
      <c r="G1" s="10" t="s">
        <v>23</v>
      </c>
      <c r="H1" s="9" t="s">
        <v>6</v>
      </c>
      <c r="I1" s="9" t="s">
        <v>7</v>
      </c>
    </row>
    <row r="2">
      <c r="A2" s="11" t="str">
        <f>IFERROR(__xludf.DUMMYFUNCTION("sort(filter({'INPUT RAW'!C2:C1502,'INPUT RAW'!D2:D1502,'INPUT RAW'!A2:A1502,'INPUT RAW'!B2:B1502,'INPUT RAW'!N2:N1502,'INPUT RAW'!I2:I1502,'INPUT RAW'!X2:X1502,'INPUT RAW'!G2:G1502,'INPUT RAW'!H2:H1502},not(isblank('INPUT RAW'!A2:A1502))),1,TRUE,3,TRUE)"),"Birkenstock")</f>
        <v>Birkenstock</v>
      </c>
      <c r="B2" s="11" t="str">
        <f>IFERROR(__xludf.DUMMYFUNCTION("""COMPUTED_VALUE"""),"Sandal Unisex")</f>
        <v>Sandal Unisex</v>
      </c>
      <c r="C2" s="11" t="str">
        <f>IFERROR(__xludf.DUMMYFUNCTION("""COMPUTED_VALUE"""),"boston-oiled-leather-habana")</f>
        <v>boston-oiled-leather-habana</v>
      </c>
      <c r="D2" s="11" t="str">
        <f>IFERROR(__xludf.DUMMYFUNCTION("""COMPUTED_VALUE"""),"Boston Oiled Leather Habana")</f>
        <v>Boston Oiled Leather Habana</v>
      </c>
      <c r="E2" s="11"/>
      <c r="F2" s="11"/>
      <c r="G2" s="11"/>
      <c r="H2" s="11"/>
      <c r="I2" s="11"/>
    </row>
    <row r="3">
      <c r="A3" s="11" t="str">
        <f>IFERROR(__xludf.DUMMYFUNCTION("""COMPUTED_VALUE"""),"Birkenstock")</f>
        <v>Birkenstock</v>
      </c>
      <c r="B3" s="11" t="str">
        <f>IFERROR(__xludf.DUMMYFUNCTION("""COMPUTED_VALUE"""),"Sandal Unisex")</f>
        <v>Sandal Unisex</v>
      </c>
      <c r="C3" s="11" t="str">
        <f>IFERROR(__xludf.DUMMYFUNCTION("""COMPUTED_VALUE"""),"boston-suede-carafe-tonal")</f>
        <v>boston-suede-carafe-tonal</v>
      </c>
      <c r="D3" s="11" t="str">
        <f>IFERROR(__xludf.DUMMYFUNCTION("""COMPUTED_VALUE"""),"Boston Suede Carafe Tonal")</f>
        <v>Boston Suede Carafe Tonal</v>
      </c>
      <c r="E3" s="11"/>
      <c r="F3" s="11"/>
      <c r="G3" s="11"/>
      <c r="H3" s="11"/>
      <c r="I3" s="11"/>
    </row>
    <row r="4">
      <c r="A4" s="11" t="str">
        <f>IFERROR(__xludf.DUMMYFUNCTION("""COMPUTED_VALUE"""),"Birkenstock")</f>
        <v>Birkenstock</v>
      </c>
      <c r="B4" s="11" t="str">
        <f>IFERROR(__xludf.DUMMYFUNCTION("""COMPUTED_VALUE"""),"Sandal Women")</f>
        <v>Sandal Women</v>
      </c>
      <c r="C4" s="11" t="str">
        <f>IFERROR(__xludf.DUMMYFUNCTION("""COMPUTED_VALUE"""),"boston-suede-pink-clay")</f>
        <v>boston-suede-pink-clay</v>
      </c>
      <c r="D4" s="11" t="str">
        <f>IFERROR(__xludf.DUMMYFUNCTION("""COMPUTED_VALUE"""),"Boston Suede Pink Clay")</f>
        <v>Boston Suede Pink Clay</v>
      </c>
      <c r="E4" s="11"/>
      <c r="F4" s="11"/>
      <c r="G4" s="11"/>
      <c r="H4" s="11"/>
      <c r="I4" s="11"/>
    </row>
    <row r="5">
      <c r="A5" s="11" t="str">
        <f>IFERROR(__xludf.DUMMYFUNCTION("""COMPUTED_VALUE"""),"Birkenstock")</f>
        <v>Birkenstock</v>
      </c>
      <c r="B5" s="11" t="str">
        <f>IFERROR(__xludf.DUMMYFUNCTION("""COMPUTED_VALUE"""),"Sandal Men")</f>
        <v>Sandal Men</v>
      </c>
      <c r="C5" s="11" t="str">
        <f>IFERROR(__xludf.DUMMYFUNCTION("""COMPUTED_VALUE"""),"boston-wire-buckle-nubuck-black")</f>
        <v>boston-wire-buckle-nubuck-black</v>
      </c>
      <c r="D5" s="11" t="str">
        <f>IFERROR(__xludf.DUMMYFUNCTION("""COMPUTED_VALUE"""),"Boston Wire Buckle Nubuck Black")</f>
        <v>Boston Wire Buckle Nubuck Black</v>
      </c>
      <c r="E5" s="11"/>
      <c r="F5" s="11"/>
      <c r="G5" s="11"/>
      <c r="H5" s="11"/>
      <c r="I5" s="11"/>
    </row>
    <row r="6">
      <c r="A6" s="11" t="str">
        <f>IFERROR(__xludf.DUMMYFUNCTION("""COMPUTED_VALUE"""),"Birkenstock")</f>
        <v>Birkenstock</v>
      </c>
      <c r="B6" s="11" t="str">
        <f>IFERROR(__xludf.DUMMYFUNCTION("""COMPUTED_VALUE"""),"Sandal Men")</f>
        <v>Sandal Men</v>
      </c>
      <c r="C6" s="11" t="str">
        <f>IFERROR(__xludf.DUMMYFUNCTION("""COMPUTED_VALUE"""),"kyoto-pure-sage")</f>
        <v>kyoto-pure-sage</v>
      </c>
      <c r="D6" s="11" t="str">
        <f>IFERROR(__xludf.DUMMYFUNCTION("""COMPUTED_VALUE"""),"Kyoto Pure Sage")</f>
        <v>Kyoto Pure Sage</v>
      </c>
      <c r="E6" s="11"/>
      <c r="F6" s="11"/>
      <c r="G6" s="11"/>
      <c r="H6" s="11"/>
      <c r="I6" s="11"/>
    </row>
    <row r="7">
      <c r="A7" s="11" t="str">
        <f>IFERROR(__xludf.DUMMYFUNCTION("""COMPUTED_VALUE"""),"Birkenstock")</f>
        <v>Birkenstock</v>
      </c>
      <c r="B7" s="11" t="str">
        <f>IFERROR(__xludf.DUMMYFUNCTION("""COMPUTED_VALUE"""),"Sandal Women")</f>
        <v>Sandal Women</v>
      </c>
      <c r="C7" s="11" t="str">
        <f>IFERROR(__xludf.DUMMYFUNCTION("""COMPUTED_VALUE"""),"mantova-patent-black")</f>
        <v>mantova-patent-black</v>
      </c>
      <c r="D7" s="11" t="str">
        <f>IFERROR(__xludf.DUMMYFUNCTION("""COMPUTED_VALUE"""),"Mantova Patent Black")</f>
        <v>Mantova Patent Black</v>
      </c>
      <c r="E7" s="11"/>
      <c r="F7" s="11"/>
      <c r="G7" s="11"/>
      <c r="H7" s="11"/>
      <c r="I7" s="11"/>
    </row>
    <row r="8">
      <c r="A8" s="11" t="str">
        <f>IFERROR(__xludf.DUMMYFUNCTION("""COMPUTED_VALUE"""),"Birkenstock")</f>
        <v>Birkenstock</v>
      </c>
      <c r="B8" s="11" t="str">
        <f>IFERROR(__xludf.DUMMYFUNCTION("""COMPUTED_VALUE"""),"Sandal Women")</f>
        <v>Sandal Women</v>
      </c>
      <c r="C8" s="11" t="str">
        <f>IFERROR(__xludf.DUMMYFUNCTION("""COMPUTED_VALUE"""),"mantova-suede-taupe")</f>
        <v>mantova-suede-taupe</v>
      </c>
      <c r="D8" s="11" t="str">
        <f>IFERROR(__xludf.DUMMYFUNCTION("""COMPUTED_VALUE"""),"Mantova Suede Taupe")</f>
        <v>Mantova Suede Taupe</v>
      </c>
      <c r="E8" s="11"/>
      <c r="F8" s="11"/>
      <c r="G8" s="11"/>
      <c r="H8" s="11"/>
      <c r="I8" s="11"/>
    </row>
    <row r="9">
      <c r="A9" s="11" t="str">
        <f>IFERROR(__xludf.DUMMYFUNCTION("""COMPUTED_VALUE"""),"Birkenstock")</f>
        <v>Birkenstock</v>
      </c>
      <c r="B9" s="11" t="str">
        <f>IFERROR(__xludf.DUMMYFUNCTION("""COMPUTED_VALUE"""),"Sandal Men")</f>
        <v>Sandal Men</v>
      </c>
      <c r="C9" s="11" t="str">
        <f>IFERROR(__xludf.DUMMYFUNCTION("""COMPUTED_VALUE"""),"naples-wrapped-suede-carafe")</f>
        <v>naples-wrapped-suede-carafe</v>
      </c>
      <c r="D9" s="11" t="str">
        <f>IFERROR(__xludf.DUMMYFUNCTION("""COMPUTED_VALUE"""),"Naples Wrapped Suede Carafe")</f>
        <v>Naples Wrapped Suede Carafe</v>
      </c>
      <c r="E9" s="11"/>
      <c r="F9" s="11"/>
      <c r="G9" s="11"/>
      <c r="H9" s="11"/>
      <c r="I9" s="11"/>
    </row>
    <row r="10">
      <c r="A10" s="11" t="str">
        <f>IFERROR(__xludf.DUMMYFUNCTION("""COMPUTED_VALUE"""),"Birkenstock")</f>
        <v>Birkenstock</v>
      </c>
      <c r="B10" s="11" t="str">
        <f>IFERROR(__xludf.DUMMYFUNCTION("""COMPUTED_VALUE"""),"Sandal Unisex")</f>
        <v>Sandal Unisex</v>
      </c>
      <c r="C10" s="11" t="str">
        <f>IFERROR(__xludf.DUMMYFUNCTION("""COMPUTED_VALUE"""),"naples-wrapped-suede-taupe-bg")</f>
        <v>naples-wrapped-suede-taupe-bg</v>
      </c>
      <c r="D10" s="11" t="str">
        <f>IFERROR(__xludf.DUMMYFUNCTION("""COMPUTED_VALUE"""),"Naples Wrapped Suede Taupe")</f>
        <v>Naples Wrapped Suede Taupe</v>
      </c>
      <c r="E10" s="11" t="str">
        <f>IFERROR(__xludf.DUMMYFUNCTION("""COMPUTED_VALUE"""),"Madde in Germany
Birkenstock's Naples Wrapped is a semi-open moccasin style clog. Featuring Birkenstock's cork footbed and a two-component outsole, wrapped in the upper suede. Its natural design is down to the upper made from especially soft suede, which"&amp;" hugs the foot like a second skin. The two-component outsole combines the lightness and flexibility of EVA with the elasticity and scuff resistance of natural rubber.
This style features Birkenstock's Original Footbed, a contoured cork footbed that confo"&amp;"rms to the shape of your foot and features pronounced arch support, a deep heel cup and roomy toe box.
Sizing note: We carry Birkenstock in the regular width from size 41 and up, and the narrrow width from size 40 and down.")</f>
        <v>Madde in Germany
Birkenstock's Naples Wrapped is a semi-open moccasin style clog. Featuring Birkenstock's cork footbed and a two-component outsole, wrapped in the upper suede. Its natural design is down to the upper made from especially soft suede, which hugs the foot like a second skin. The two-component outsole combines the lightness and flexibility of EVA with the elasticity and scuff resistance of natural rubber.
This style features Birkenstock's Original Footbed, a contoured cork footbed that conforms to the shape of your foot and features pronounced arch support, a deep heel cup and roomy toe box.
Sizing note: We carry Birkenstock in the regular width from size 41 and up, and the narrrow width from size 40 and down.</v>
      </c>
      <c r="F10" s="11" t="str">
        <f>IFERROR(__xludf.DUMMYFUNCTION("""COMPUTED_VALUE"""),"The Birkenstock Naples Wrapped in Taupe Suede.")</f>
        <v>The Birkenstock Naples Wrapped in Taupe Suede.</v>
      </c>
      <c r="G10" s="11"/>
      <c r="H10" s="11" t="str">
        <f>IFERROR(__xludf.DUMMYFUNCTION("""COMPUTED_VALUE"""),"naples-wrapped-oiled-black-bg")</f>
        <v>naples-wrapped-oiled-black-bg</v>
      </c>
      <c r="I10" s="11"/>
    </row>
    <row r="11">
      <c r="A11" s="11" t="str">
        <f>IFERROR(__xludf.DUMMYFUNCTION("""COMPUTED_VALUE"""),"Birkenstock")</f>
        <v>Birkenstock</v>
      </c>
      <c r="B11" s="11" t="str">
        <f>IFERROR(__xludf.DUMMYFUNCTION("""COMPUTED_VALUE"""),"Shoe Unisex")</f>
        <v>Shoe Unisex</v>
      </c>
      <c r="C11" s="11" t="str">
        <f>IFERROR(__xludf.DUMMYFUNCTION("""COMPUTED_VALUE"""),"utti-suede-carafe")</f>
        <v>utti-suede-carafe</v>
      </c>
      <c r="D11" s="11" t="str">
        <f>IFERROR(__xludf.DUMMYFUNCTION("""COMPUTED_VALUE"""),"Utti Suede Carafe")</f>
        <v>Utti Suede Carafe</v>
      </c>
      <c r="E11" s="11"/>
      <c r="F11" s="11"/>
      <c r="G11" s="11"/>
      <c r="H11" s="11"/>
      <c r="I11" s="11"/>
    </row>
    <row r="12">
      <c r="A12" s="11" t="str">
        <f>IFERROR(__xludf.DUMMYFUNCTION("""COMPUTED_VALUE"""),"Livid Femme")</f>
        <v>Livid Femme</v>
      </c>
      <c r="B12" s="11" t="str">
        <f>IFERROR(__xludf.DUMMYFUNCTION("""COMPUTED_VALUE"""),"Jersey")</f>
        <v>Jersey</v>
      </c>
      <c r="C12" s="11" t="str">
        <f>IFERROR(__xludf.DUMMYFUNCTION("""COMPUTED_VALUE"""),"abby-chestnut")</f>
        <v>abby-chestnut</v>
      </c>
      <c r="D12" s="11" t="str">
        <f>IFERROR(__xludf.DUMMYFUNCTION("""COMPUTED_VALUE"""),"Abby Chestnut")</f>
        <v>Abby Chestnut</v>
      </c>
      <c r="E12" s="11" t="str">
        <f>IFERROR(__xludf.DUMMYFUNCTION("""COMPUTED_VALUE"""),"Made in Portugal
Abby features dropped shoulders, wider and longer short sleeves and a generous silhouette, ideal for someone who likes a more relaxed look.
Made from a pre-shrunk 6.5 Oz heavy 100% cotton jersey exclusively knitted for Livid in Portugal"&amp;". This particular fabric has been used in our heavyweight t-shirts for many years and has become very popular due to its durability and comfortable handfeel.
Details &amp; Features
- 100% cotton
- 220 gsm pre-shrunk jersey
- Garment dyed
- Sewn with durable "&amp;"poly-core cotton thread
- Knitted by Etevimol in Portugal
- Made at Texgoios in Portugal")</f>
        <v>Made in Portugal
Abby features dropped shoulders, wider and longer short sleeves and a generous silhouette, ideal for someone who likes a more relaxed look.
Made from a pre-shrunk 6.5 Oz heavy 100% cotton jersey exclusively knitted for Livid in Portugal. This particular fabric has been used in our heavyweight t-shirts for many years and has become very popular due to its durability and comfortable handfeel.
Details &amp; Features
- 100% cotton
- 220 gsm pre-shrunk jersey
- Garment dyed
- Sewn with durable poly-core cotton thread
- Knitted by Etevimol in Portugal
- Made at Texgoios in Portugal</v>
      </c>
      <c r="F12" s="11" t="str">
        <f>IFERROR(__xludf.DUMMYFUNCTION("""COMPUTED_VALUE"""),"Our Loose fit tee Abby, dyed in a seasonal colour.")</f>
        <v>Our Loose fit tee Abby, dyed in a seasonal colour.</v>
      </c>
      <c r="G12" s="11"/>
      <c r="H12" s="11" t="str">
        <f>IFERROR(__xludf.DUMMYFUNCTION("""COMPUTED_VALUE"""),"abby-white, abby-french-blue-fade-out")</f>
        <v>abby-white, abby-french-blue-fade-out</v>
      </c>
      <c r="I12" s="11" t="str">
        <f>IFERROR(__xludf.DUMMYFUNCTION("""COMPUTED_VALUE"""),"keri-japan-fog")</f>
        <v>keri-japan-fog</v>
      </c>
    </row>
    <row r="13">
      <c r="A13" s="11" t="str">
        <f>IFERROR(__xludf.DUMMYFUNCTION("""COMPUTED_VALUE"""),"Livid Femme")</f>
        <v>Livid Femme</v>
      </c>
      <c r="B13" s="11" t="str">
        <f>IFERROR(__xludf.DUMMYFUNCTION("""COMPUTED_VALUE"""),"T-Shirt")</f>
        <v>T-Shirt</v>
      </c>
      <c r="C13" s="11" t="str">
        <f>IFERROR(__xludf.DUMMYFUNCTION("""COMPUTED_VALUE"""),"abby-fog")</f>
        <v>abby-fog</v>
      </c>
      <c r="D13" s="11" t="str">
        <f>IFERROR(__xludf.DUMMYFUNCTION("""COMPUTED_VALUE"""),"Abby Fog")</f>
        <v>Abby Fog</v>
      </c>
      <c r="E13" s="11"/>
      <c r="F13" s="11"/>
      <c r="G13" s="11"/>
      <c r="H13" s="11"/>
      <c r="I13" s="11"/>
    </row>
    <row r="14">
      <c r="A14" s="11" t="str">
        <f>IFERROR(__xludf.DUMMYFUNCTION("""COMPUTED_VALUE"""),"Livid Femme")</f>
        <v>Livid Femme</v>
      </c>
      <c r="B14" s="11" t="str">
        <f>IFERROR(__xludf.DUMMYFUNCTION("""COMPUTED_VALUE"""),"T-Shirt")</f>
        <v>T-Shirt</v>
      </c>
      <c r="C14" s="11" t="str">
        <f>IFERROR(__xludf.DUMMYFUNCTION("""COMPUTED_VALUE"""),"abby-otter-ministripe")</f>
        <v>abby-otter-ministripe</v>
      </c>
      <c r="D14" s="11" t="str">
        <f>IFERROR(__xludf.DUMMYFUNCTION("""COMPUTED_VALUE"""),"Abby Otter Ministripe")</f>
        <v>Abby Otter Ministripe</v>
      </c>
      <c r="E14" s="11" t="str">
        <f>IFERROR(__xludf.DUMMYFUNCTION("""COMPUTED_VALUE"""),"Made in Portugal
Made from a pre-shrunk 6.5 Oz heavy 100% cotton jersey exclusively made for Livid in Portugal. This particular fabric has been used in our heavyweight t-shirts for many years and has become very popular due to its durability and comforta"&amp;"ble hand feel. Here made with a knitted stripe design.
Abby features dropped shoulders, wider, longer sleeves and a generous silhouette, ideal for someone who likes a more relaxed look.")</f>
        <v>Made in Portugal
Made from a pre-shrunk 6.5 Oz heavy 100% cotton jersey exclusively made for Livid in Portugal. This particular fabric has been used in our heavyweight t-shirts for many years and has become very popular due to its durability and comfortable hand feel. Here made with a knitted stripe design.
Abby features dropped shoulders, wider, longer sleeves and a generous silhouette, ideal for someone who likes a more relaxed look.</v>
      </c>
      <c r="F14" s="11" t="str">
        <f>IFERROR(__xludf.DUMMYFUNCTION("""COMPUTED_VALUE"""),"Our Loose fit tee Abby, made in a seasonal stripe.")</f>
        <v>Our Loose fit tee Abby, made in a seasonal stripe.</v>
      </c>
      <c r="G14" s="11" t="str">
        <f>IFERROR(__xludf.DUMMYFUNCTION("""COMPUTED_VALUE"""),"- 100% cotton
- 220 gsm pre-shrunk jersey
- Fine rib collar
- Finished with a raw roll-up hem
- Sewn with durable poly-core cotton thread
- Knitted by Etevimol in Portugal
- Made at Texgoios in Portugal")</f>
        <v>- 100% cotton
- 220 gsm pre-shrunk jersey
- Fine rib collar
- Finished with a raw roll-up hem
- Sewn with durable poly-core cotton thread
- Knitted by Etevimol in Portugal
- Made at Texgoios in Portugal</v>
      </c>
      <c r="H14" s="11" t="str">
        <f>IFERROR(__xludf.DUMMYFUNCTION("""COMPUTED_VALUE"""),"abby-chestnut, abby-green-stripe, abby-white")</f>
        <v>abby-chestnut, abby-green-stripe, abby-white</v>
      </c>
      <c r="I14" s="11" t="str">
        <f>IFERROR(__xludf.DUMMYFUNCTION("""COMPUTED_VALUE"""),"keri-japan-black")</f>
        <v>keri-japan-black</v>
      </c>
    </row>
    <row r="15">
      <c r="A15" s="11" t="str">
        <f>IFERROR(__xludf.DUMMYFUNCTION("""COMPUTED_VALUE"""),"Livid Femme")</f>
        <v>Livid Femme</v>
      </c>
      <c r="B15" s="11" t="str">
        <f>IFERROR(__xludf.DUMMYFUNCTION("""COMPUTED_VALUE"""),"Dress")</f>
        <v>Dress</v>
      </c>
      <c r="C15" s="11" t="str">
        <f>IFERROR(__xludf.DUMMYFUNCTION("""COMPUTED_VALUE"""),"aiofe-navy-seersucker")</f>
        <v>aiofe-navy-seersucker</v>
      </c>
      <c r="D15" s="11" t="str">
        <f>IFERROR(__xludf.DUMMYFUNCTION("""COMPUTED_VALUE"""),"Aiofe Navy Seersucker")</f>
        <v>Aiofe Navy Seersucker</v>
      </c>
      <c r="E15" s="11" t="str">
        <f>IFERROR(__xludf.DUMMYFUNCTION("""COMPUTED_VALUE"""),"Made in Portugal
Our V-neck dress, Aiofe. A relaxed summer dress with a wide full-length silhouette, featuring large patch pockets at the hip.
Made in a soft seersucker fabric woven by Somelos in Portugal featuring a fantastic texture. The puckering of "&amp;"the seersucker fabric keeps the fabric away from the skin, creating a cooling effect during the summer heat.
Details:
- 98% cotton, 2% elastane
- Seersucker woven by Somelos in Portugal
- Patch pockets at hip
- Zipper at back of neck made by YKK in Portu"&amp;"gal
- Stitched with durable poly core cotton thread
- Made at Stork in Portugal")</f>
        <v>Made in Portugal
Our V-neck dress, Aiofe. A relaxed summer dress with a wide full-length silhouette, featuring large patch pockets at the hip.
Made in a soft seersucker fabric woven by Somelos in Portugal featuring a fantastic texture. The puckering of the seersucker fabric keeps the fabric away from the skin, creating a cooling effect during the summer heat.
Details:
- 98% cotton, 2% elastane
- Seersucker woven by Somelos in Portugal
- Patch pockets at hip
- Zipper at back of neck made by YKK in Portugal
- Stitched with durable poly core cotton thread
- Made at Stork in Portugal</v>
      </c>
      <c r="F15" s="11" t="str">
        <f>IFERROR(__xludf.DUMMYFUNCTION("""COMPUTED_VALUE"""),"A relaxed summer dress with a wide full-length silhouette, featuring large patch pockets at the hip.")</f>
        <v>A relaxed summer dress with a wide full-length silhouette, featuring large patch pockets at the hip.</v>
      </c>
      <c r="G15" s="11"/>
      <c r="H15" s="11"/>
      <c r="I15" s="11"/>
    </row>
    <row r="16">
      <c r="A16" s="11" t="str">
        <f>IFERROR(__xludf.DUMMYFUNCTION("""COMPUTED_VALUE"""),"Livid Femme")</f>
        <v>Livid Femme</v>
      </c>
      <c r="B16" s="11" t="str">
        <f>IFERROR(__xludf.DUMMYFUNCTION("""COMPUTED_VALUE"""),"Jersey")</f>
        <v>Jersey</v>
      </c>
      <c r="C16" s="11" t="str">
        <f>IFERROR(__xludf.DUMMYFUNCTION("""COMPUTED_VALUE"""),"alpha-bone")</f>
        <v>alpha-bone</v>
      </c>
      <c r="D16" s="11" t="str">
        <f>IFERROR(__xludf.DUMMYFUNCTION("""COMPUTED_VALUE"""),"Alpha Bone")</f>
        <v>Alpha Bone</v>
      </c>
      <c r="E16" s="11"/>
      <c r="F16" s="11"/>
      <c r="G16" s="11"/>
      <c r="H16" s="11"/>
      <c r="I16" s="11"/>
    </row>
    <row r="17">
      <c r="A17" s="11" t="str">
        <f>IFERROR(__xludf.DUMMYFUNCTION("""COMPUTED_VALUE"""),"Livid Femme")</f>
        <v>Livid Femme</v>
      </c>
      <c r="B17" s="11" t="str">
        <f>IFERROR(__xludf.DUMMYFUNCTION("""COMPUTED_VALUE"""),"Shirt")</f>
        <v>Shirt</v>
      </c>
      <c r="C17" s="11" t="str">
        <f>IFERROR(__xludf.DUMMYFUNCTION("""COMPUTED_VALUE"""),"amber-japan-blue-scurry")</f>
        <v>amber-japan-blue-scurry</v>
      </c>
      <c r="D17" s="11" t="str">
        <f>IFERROR(__xludf.DUMMYFUNCTION("""COMPUTED_VALUE"""),"Amber Japan Blue Scurry")</f>
        <v>Amber Japan Blue Scurry</v>
      </c>
      <c r="E17" s="11"/>
      <c r="F17" s="11"/>
      <c r="G17" s="11"/>
      <c r="H17" s="11"/>
      <c r="I17" s="11"/>
    </row>
    <row r="18">
      <c r="A18" s="11" t="str">
        <f>IFERROR(__xludf.DUMMYFUNCTION("""COMPUTED_VALUE"""),"Livid Femme")</f>
        <v>Livid Femme</v>
      </c>
      <c r="B18" s="11" t="str">
        <f>IFERROR(__xludf.DUMMYFUNCTION("""COMPUTED_VALUE"""),"Shirt")</f>
        <v>Shirt</v>
      </c>
      <c r="C18" s="11" t="str">
        <f>IFERROR(__xludf.DUMMYFUNCTION("""COMPUTED_VALUE"""),"amber-japan-fog")</f>
        <v>amber-japan-fog</v>
      </c>
      <c r="D18" s="11" t="str">
        <f>IFERROR(__xludf.DUMMYFUNCTION("""COMPUTED_VALUE"""),"Amber Japan Fog")</f>
        <v>Amber Japan Fog</v>
      </c>
      <c r="E18" s="11"/>
      <c r="F18" s="11"/>
      <c r="G18" s="11"/>
      <c r="H18" s="11"/>
      <c r="I18" s="11"/>
    </row>
    <row r="19">
      <c r="A19" s="11" t="str">
        <f>IFERROR(__xludf.DUMMYFUNCTION("""COMPUTED_VALUE"""),"Livid Femme")</f>
        <v>Livid Femme</v>
      </c>
      <c r="B19" s="11" t="str">
        <f>IFERROR(__xludf.DUMMYFUNCTION("""COMPUTED_VALUE"""),"Shirt")</f>
        <v>Shirt</v>
      </c>
      <c r="C19" s="11" t="str">
        <f>IFERROR(__xludf.DUMMYFUNCTION("""COMPUTED_VALUE"""),"amber-japan-gravel")</f>
        <v>amber-japan-gravel</v>
      </c>
      <c r="D19" s="11" t="str">
        <f>IFERROR(__xludf.DUMMYFUNCTION("""COMPUTED_VALUE"""),"Amber Japan Gravel")</f>
        <v>Amber Japan Gravel</v>
      </c>
      <c r="E19" s="11"/>
      <c r="F19" s="11"/>
      <c r="G19" s="11"/>
      <c r="H19" s="11"/>
      <c r="I19" s="11"/>
    </row>
    <row r="20">
      <c r="A20" s="11" t="str">
        <f>IFERROR(__xludf.DUMMYFUNCTION("""COMPUTED_VALUE"""),"Livid Femme")</f>
        <v>Livid Femme</v>
      </c>
      <c r="B20" s="11" t="str">
        <f>IFERROR(__xludf.DUMMYFUNCTION("""COMPUTED_VALUE"""),"Shirt")</f>
        <v>Shirt</v>
      </c>
      <c r="C20" s="11" t="str">
        <f>IFERROR(__xludf.DUMMYFUNCTION("""COMPUTED_VALUE"""),"amber-japan-marble")</f>
        <v>amber-japan-marble</v>
      </c>
      <c r="D20" s="11" t="str">
        <f>IFERROR(__xludf.DUMMYFUNCTION("""COMPUTED_VALUE"""),"Amber Japan Marble")</f>
        <v>Amber Japan Marble</v>
      </c>
      <c r="E20" s="11" t="str">
        <f>IFERROR(__xludf.DUMMYFUNCTION("""COMPUTED_VALUE"""),"Made in Portugal
Amber, our cropped box fit shirt. Designed with wide, dropped shoulders, a boxy fit and a cropped straight cut hem that ends above the hips. Featuring a square button-down chest pocket, button-down collar and a box-peat at the back yoke."&amp;" Finished with mother of pearl buttons.
Made in an exceptionally light blue 7 Oz. denim woven by the artisinal denim mill Collect in Japan with a beautiful subtle texture. This particular denim is made with a rope-dyed warp yarn which has been given just"&amp;" a small handful of dips in indigo, resulting in a light and soft shade of blue. The Amber Japan Marble is further washed, resulting in an exceptionally light bue denim shirt with a subtle depth of colour.
Details
- 100% cotton
- 7 Oz. light indigo denim"&amp;" woven by Collect in Japan
- Mother of pearl buttons made by Louropel in Italy
- Stitched with durable poly core cotton thread
- Cut &amp; Sewn by Stork, Portugal")</f>
        <v>Made in Portugal
Amber, our cropped box fit shirt. Designed with wide, dropped shoulders, a boxy fit and a cropped straight cut hem that ends above the hips. Featuring a square button-down chest pocket, button-down collar and a box-peat at the back yoke. Finished with mother of pearl buttons.
Made in an exceptionally light blue 7 Oz. denim woven by the artisinal denim mill Collect in Japan with a beautiful subtle texture. This particular denim is made with a rope-dyed warp yarn which has been given just a small handful of dips in indigo, resulting in a light and soft shade of blue. The Amber Japan Marble is further washed, resulting in an exceptionally light bue denim shirt with a subtle depth of colour.
Details
- 100% cotton
- 7 Oz. light indigo denim woven by Collect in Japan
- Mother of pearl buttons made by Louropel in Italy
- Stitched with durable poly core cotton thread
- Cut &amp; Sewn by Stork, Portugal</v>
      </c>
      <c r="F20" s="11" t="str">
        <f>IFERROR(__xludf.DUMMYFUNCTION("""COMPUTED_VALUE"""),"Amber, our cropped box fit shirt.")</f>
        <v>Amber, our cropped box fit shirt.</v>
      </c>
      <c r="G20" s="11"/>
      <c r="H20" s="11"/>
      <c r="I20" s="11"/>
    </row>
    <row r="21">
      <c r="A21" s="11" t="str">
        <f>IFERROR(__xludf.DUMMYFUNCTION("""COMPUTED_VALUE"""),"Livid Femme")</f>
        <v>Livid Femme</v>
      </c>
      <c r="B21" s="11" t="str">
        <f>IFERROR(__xludf.DUMMYFUNCTION("""COMPUTED_VALUE"""),"Jeans")</f>
        <v>Jeans</v>
      </c>
      <c r="C21" s="11" t="str">
        <f>IFERROR(__xludf.DUMMYFUNCTION("""COMPUTED_VALUE"""),"ann-japan-black")</f>
        <v>ann-japan-black</v>
      </c>
      <c r="D21" s="11" t="str">
        <f>IFERROR(__xludf.DUMMYFUNCTION("""COMPUTED_VALUE"""),"Ann Japan Black")</f>
        <v>Ann Japan Black</v>
      </c>
      <c r="E21" s="11" t="str">
        <f>IFERROR(__xludf.DUMMYFUNCTION("""COMPUTED_VALUE"""),"Made in Portugal
Introducing Ann, our curved, high rise tapered fit. Identical to our popular Tia from the waist to the thigh, Ann then tapers to a slimmer leg opening. Perfect for the customer who wants a slimmer silhouette, but needs more room at the h"&amp;"ip and thigh, or a customer who wants a relaxed tapered look.
The Japan Black Comfort. Made from a 10,6 Oz black comfort wideloom denim woven at the renowned Japanese fabric mill, Kuroki. This particular fabric have been made with a premium black sulphur"&amp;" dye that keep the dark shade longer than most fabrics in the same segment. While all black denim loose colour, this particular denim fades in contrast after wear. This is due a special technique called rope dye, whereas the yarns are dipped in short inte"&amp;"rvals between oxidation. This prevents the colour from completely penetrating the core of the fibres, leaving it fresh, natural and untouched. When the layers of black colour wears off the surface of the yarns, the natural coloured cotton core will appear"&amp;", leaving a contrast fade throughout the jeans.
All black denim will loose its colour. Some transform into a dull grey version of itself, but this particular denim, fades in contrast giving more and more life, resulting in a denim that only get more beau"&amp;"tiful with age.
Another small detail. The surface of this particular denim has been given an anti-dust treatment, preventing lint from attaching to the surface of the fabric. 
Details &amp; Features
- 10,6 Oz comfort wideloom denim from Kuroki, Japan
- 96% "&amp;"cotton / 4% polyurethane
- Warp &amp; weft dyed in black
- 5 Oz ecru canvas pocketing
- Black leather patch w/ wax treatment. Made in Italy
- YKK two-prongtack, silver button and zip fly
- YKK solid copper washed-burr rivets
- Stitched with poly core cotton t"&amp;"hread
- Made at Lisama, Portugal
Model is 178 cm and wears a size 26/34.
Available sizes are 24-33 in 32″ inseam and 26-34 in 34″ inseam.")</f>
        <v>Made in Portugal
Introducing Ann, our curved, high rise tapered fit. Identical to our popular Tia from the waist to the thigh, Ann then tapers to a slimmer leg opening. Perfect for the customer who wants a slimmer silhouette, but needs more room at the hip and thigh, or a customer who wants a relaxed tapered look.
The Japan Black Comfort. Made from a 10,6 Oz black comfort wideloom denim woven at the renowned Japanese fabric mill, Kuroki. This particular fabric have been made with a premium black sulphur dye that keep the dark shade longer than most fabrics in the same segment. While all black denim loose colour, this particular denim fades in contrast after wear. This is due a special technique called rope dye, whereas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All black denim will loose its colour. Some transform into a dull grey version of itself, but this particular denim, fades in contrast giving more and more life, resulting in a denim that only get more beautiful with age.
Another small detail. The surface of this particular denim has been given an anti-dust treatment, preventing lint from attaching to the surface of the fabric. 
Details &amp; Features
- 10,6 Oz comfort wideloom denim from Kuroki, Japan
- 96% cotton / 4% polyurethane
- Warp &amp; weft dyed in black
- 5 Oz ecru canvas pocketing
- Black leather patch w/ wax treatment. Made in Italy
- YKK two-prongtack, silver button and zip fly
- YKK solid copper washed-burr rivets
- Stitched with poly core cotton thread
- Made at Lisama, Portugal
Model is 178 cm and wears a size 26/34.
Available sizes are 24-33 in 32″ inseam and 26-34 in 34″ inseam.</v>
      </c>
      <c r="F21" s="11" t="str">
        <f>IFERROR(__xludf.DUMMYFUNCTION("""COMPUTED_VALUE"""),"Introducing Ann, our tapered fit similar to Tia from waist to thigh, then slimming at the leg for a sleeker silhouette or relaxed tapered look.")</f>
        <v>Introducing Ann, our tapered fit similar to Tia from waist to thigh, then slimming at the leg for a sleeker silhouette or relaxed tapered look.</v>
      </c>
      <c r="G21" s="11"/>
      <c r="H21" s="11" t="str">
        <f>IFERROR(__xludf.DUMMYFUNCTION("""COMPUTED_VALUE"""),"ann-japan-dawn")</f>
        <v>ann-japan-dawn</v>
      </c>
      <c r="I21" s="11"/>
    </row>
    <row r="22">
      <c r="A22" s="11" t="str">
        <f>IFERROR(__xludf.DUMMYFUNCTION("""COMPUTED_VALUE"""),"Livid Femme")</f>
        <v>Livid Femme</v>
      </c>
      <c r="B22" s="11" t="str">
        <f>IFERROR(__xludf.DUMMYFUNCTION("""COMPUTED_VALUE"""),"Dress")</f>
        <v>Dress</v>
      </c>
      <c r="C22" s="11" t="str">
        <f>IFERROR(__xludf.DUMMYFUNCTION("""COMPUTED_VALUE"""),"ardenne-paper-yarn-black")</f>
        <v>ardenne-paper-yarn-black</v>
      </c>
      <c r="D22" s="11" t="str">
        <f>IFERROR(__xludf.DUMMYFUNCTION("""COMPUTED_VALUE"""),"Ardenne Paper yarn Black")</f>
        <v>Ardenne Paper yarn Black</v>
      </c>
      <c r="E22" s="11" t="str">
        <f>IFERROR(__xludf.DUMMYFUNCTION("""COMPUTED_VALUE"""),"Made in China
Ardenne, our paper yarn dress, knitted in a delicate rib. Sleeveless, featuring a funnel neck, a fitted shape and a full length.
Knitted in a paper, or washi yarn that gives the dress a delicate feel with a distinct tactile handfeel that i"&amp;"s silky and cool on the skin. 
Details
- 65% paper, 35% recycled polyamide
- Paper yarn spun by Topline
- Cool, light and breathable 
- Knitted by Springair in China")</f>
        <v>Made in China
Ardenne, our paper yarn dress, knitted in a delicate rib. Sleeveless, featuring a funnel neck, a fitted shape and a full length.
Knitted in a paper, or washi yarn that gives the dress a delicate feel with a distinct tactile handfeel that is silky and cool on the skin. 
Details
- 65% paper, 35% recycled polyamide
- Paper yarn spun by Topline
- Cool, light and breathable 
- Knitted by Springair in China</v>
      </c>
      <c r="F22" s="11" t="str">
        <f>IFERROR(__xludf.DUMMYFUNCTION("""COMPUTED_VALUE"""),"Ardenne, our knitted paper yarn dress.")</f>
        <v>Ardenne, our knitted paper yarn dress.</v>
      </c>
      <c r="G22" s="11"/>
      <c r="H22" s="11"/>
      <c r="I22" s="11"/>
    </row>
    <row r="23">
      <c r="A23" s="11" t="str">
        <f>IFERROR(__xludf.DUMMYFUNCTION("""COMPUTED_VALUE"""),"Livid Femme")</f>
        <v>Livid Femme</v>
      </c>
      <c r="B23" s="11" t="str">
        <f>IFERROR(__xludf.DUMMYFUNCTION("""COMPUTED_VALUE"""),"Dress")</f>
        <v>Dress</v>
      </c>
      <c r="C23" s="11" t="str">
        <f>IFERROR(__xludf.DUMMYFUNCTION("""COMPUTED_VALUE"""),"armand-black")</f>
        <v>armand-black</v>
      </c>
      <c r="D23" s="11" t="str">
        <f>IFERROR(__xludf.DUMMYFUNCTION("""COMPUTED_VALUE"""),"Armand Black")</f>
        <v>Armand Black</v>
      </c>
      <c r="E23" s="11" t="str">
        <f>IFERROR(__xludf.DUMMYFUNCTION("""COMPUTED_VALUE"""),"Made in China
Armand is a column draped dress with a winged armhole. Sideseam splits accentuating ease. 
Made in a beautiful crepe fabric woven by Komon Koubou, the Armand dress exhibits a fluid and elegant drape, while feeling light and breathable on t"&amp;"he skin.")</f>
        <v>Made in China
Armand is a column draped dress with a winged armhole. Sideseam splits accentuating ease. 
Made in a beautiful crepe fabric woven by Komon Koubou, the Armand dress exhibits a fluid and elegant drape, while feeling light and breathable on the skin.</v>
      </c>
      <c r="F23" s="11" t="str">
        <f>IFERROR(__xludf.DUMMYFUNCTION("""COMPUTED_VALUE"""),"Armand, our column draped dress.")</f>
        <v>Armand, our column draped dress.</v>
      </c>
      <c r="G23" s="11" t="str">
        <f>IFERROR(__xludf.DUMMYFUNCTION("""COMPUTED_VALUE"""),"- Polyester crepe woven by Komon Koubou in Japan
- Stitched with durable poly core thread
- Cut and sewn by Yinmao in China")</f>
        <v>- Polyester crepe woven by Komon Koubou in Japan
- Stitched with durable poly core thread
- Cut and sewn by Yinmao in China</v>
      </c>
      <c r="H23" s="11"/>
      <c r="I23" s="11"/>
    </row>
    <row r="24">
      <c r="A24" s="11" t="str">
        <f>IFERROR(__xludf.DUMMYFUNCTION("""COMPUTED_VALUE"""),"Livid Femme")</f>
        <v>Livid Femme</v>
      </c>
      <c r="B24" s="11" t="str">
        <f>IFERROR(__xludf.DUMMYFUNCTION("""COMPUTED_VALUE"""),"Shirt")</f>
        <v>Shirt</v>
      </c>
      <c r="C24" s="11" t="str">
        <f>IFERROR(__xludf.DUMMYFUNCTION("""COMPUTED_VALUE"""),"ayla-dove-linen-1")</f>
        <v>ayla-dove-linen-1</v>
      </c>
      <c r="D24" s="11" t="str">
        <f>IFERROR(__xludf.DUMMYFUNCTION("""COMPUTED_VALUE"""),"Ayla Dove Linen")</f>
        <v>Ayla Dove Linen</v>
      </c>
      <c r="E24" s="11" t="str">
        <f>IFERROR(__xludf.DUMMYFUNCTION("""COMPUTED_VALUE"""),"Made in Portugal
Ayla Dove Linen, made from a pure linen fabric developed and woven at Somelos in Portugal. This fabric provides a lustrous drape, and the 1x1 linen weave gives casual crimp when worn.
Designed for a relaxed, yet elegant fit, Ayla featur"&amp;"es a small notch collar and a center front closure with mother of pearl buttons. The hem is elongated and curved, and can be worn loose or tucked.
Details:
- 100% Linen 
- Woven at Somelos in Portugal
- Fabric developed by Livid
- Real mother of pearl bu"&amp;"ttons made by Louropel in Portugal
- Stitched with high quality poly core cotton thread
- Made at Stork in Portugal 
Go to our fit guide to read more about the Ayla.")</f>
        <v>Made in Portugal
Ayla Dove Linen, made from a pure linen fabric developed and woven at Somelos in Portugal. This fabric provides a lustrous drape, and the 1x1 linen weave gives casual crimp when worn.
Designed for a relaxed, yet elegant fit, Ayla features a small notch collar and a center front closure with mother of pearl buttons. The hem is elongated and curved, and can be worn loose or tucked.
Details:
- 100% Linen 
- Woven at Somelos in Portugal
- Fabric developed by Livid
- Real mother of pearl buttons made by Louropel in Portugal
- Stitched with high quality poly core cotton thread
- Made at Stork in Portugal 
Go to our fit guide to read more about the Ayla.</v>
      </c>
      <c r="F24" s="11" t="str">
        <f>IFERROR(__xludf.DUMMYFUNCTION("""COMPUTED_VALUE"""),"Ayla Dove Linen, made from a pure linen fabric which provides a lustrous drape, and a casual crimp when worn.")</f>
        <v>Ayla Dove Linen, made from a pure linen fabric which provides a lustrous drape, and a casual crimp when worn.</v>
      </c>
      <c r="G24" s="11"/>
      <c r="H24" s="11"/>
      <c r="I24" s="11"/>
    </row>
    <row r="25">
      <c r="A25" s="11" t="str">
        <f>IFERROR(__xludf.DUMMYFUNCTION("""COMPUTED_VALUE"""),"Livid Femme")</f>
        <v>Livid Femme</v>
      </c>
      <c r="B25" s="11" t="str">
        <f>IFERROR(__xludf.DUMMYFUNCTION("""COMPUTED_VALUE"""),"Scarf")</f>
        <v>Scarf</v>
      </c>
      <c r="C25" s="11" t="str">
        <f>IFERROR(__xludf.DUMMYFUNCTION("""COMPUTED_VALUE"""),"binou-grey")</f>
        <v>binou-grey</v>
      </c>
      <c r="D25" s="11" t="str">
        <f>IFERROR(__xludf.DUMMYFUNCTION("""COMPUTED_VALUE"""),"Binou Grey")</f>
        <v>Binou Grey</v>
      </c>
      <c r="E25" s="11" t="str">
        <f>IFERROR(__xludf.DUMMYFUNCTION("""COMPUTED_VALUE"""),"Made in Portugal
Crafted from long-haired Toscana lambskin, Binou is a long boa with dramatic presence.
Toscana lambskin is famous for its long, silky wool, and fur-like appearance. With even finer wool fibres than Merino, Toscana lambskin is both silky"&amp;" against the skin and comfortably warming.
Cut and sewn by Octa in Portugal, our long-time partner for leather goods, where only four people cut and sew the garments.")</f>
        <v>Made in Portugal
Crafted from long-haired Toscana lambskin, Binou is a long boa with dramatic presence.
Toscana lambskin is famous for its long, silky wool, and fur-like appearance. With even finer wool fibres than Merino, Toscana lambskin is both silky against the skin and comfortably warming.
Cut and sewn by Octa in Portugal, our long-time partner for leather goods, where only four people cut and sew the garments.</v>
      </c>
      <c r="F25" s="11" t="str">
        <f>IFERROR(__xludf.DUMMYFUNCTION("""COMPUTED_VALUE"""),"Binou, a long boa crafted with soft Toscana lambskin.")</f>
        <v>Binou, a long boa crafted with soft Toscana lambskin.</v>
      </c>
      <c r="G25" s="11" t="str">
        <f>IFERROR(__xludf.DUMMYFUNCTION("""COMPUTED_VALUE"""),"- 100% Toscana lambskin
- Lambskin tanned in Spain
- Sourced from Toscana sheep living in the mountain ranges in Spain, the lambskin is a by-product of the food industry.
- Made from real lambskin, every garment is subtly unique, with wool fibres varying "&amp;"from soft waves to tighter curls.
- Produced by Octa, Portugal")</f>
        <v>- 100% Toscana lambskin
- Lambskin tanned in Spain
- Sourced from Toscana sheep living in the mountain ranges in Spain, the lambskin is a by-product of the food industry.
- Made from real lambskin, every garment is subtly unique, with wool fibres varying from soft waves to tighter curls.
- Produced by Octa, Portugal</v>
      </c>
      <c r="H25" s="11"/>
      <c r="I25" s="11" t="str">
        <f>IFERROR(__xludf.DUMMYFUNCTION("""COMPUTED_VALUE"""),"blythe-coat-black, blanche-black, noni-black")</f>
        <v>blythe-coat-black, blanche-black, noni-black</v>
      </c>
    </row>
    <row r="26">
      <c r="A26" s="11" t="str">
        <f>IFERROR(__xludf.DUMMYFUNCTION("""COMPUTED_VALUE"""),"Livid Femme")</f>
        <v>Livid Femme</v>
      </c>
      <c r="B26" s="11" t="str">
        <f>IFERROR(__xludf.DUMMYFUNCTION("""COMPUTED_VALUE"""),"Skirt")</f>
        <v>Skirt</v>
      </c>
      <c r="C26" s="11" t="str">
        <f>IFERROR(__xludf.DUMMYFUNCTION("""COMPUTED_VALUE"""),"blanche-black")</f>
        <v>blanche-black</v>
      </c>
      <c r="D26" s="11" t="str">
        <f>IFERROR(__xludf.DUMMYFUNCTION("""COMPUTED_VALUE"""),"Blanche Black")</f>
        <v>Blanche Black</v>
      </c>
      <c r="E26" s="11" t="str">
        <f>IFERROR(__xludf.DUMMYFUNCTION("""COMPUTED_VALUE"""),"Made in China
Blanche. A statement full-length evening skirt made in an all-over stitched and smocked floral pattern.
Designed to be worn together with the Noni top for the full evening look, where both pieces can also be worn as separates.
The fabric "&amp;"of the skirt is stitched throughout to create the bubbly texture at the surface, which also provides a comfortable stretch, making the skirt mold to the hip, and allowing it to be worn higher or lower to acheive the desired length.")</f>
        <v>Made in China
Blanche. A statement full-length evening skirt made in an all-over stitched and smocked floral pattern.
Designed to be worn together with the Noni top for the full evening look, where both pieces can also be worn as separates.
The fabric of the skirt is stitched throughout to create the bubbly texture at the surface, which also provides a comfortable stretch, making the skirt mold to the hip, and allowing it to be worn higher or lower to acheive the desired length.</v>
      </c>
      <c r="F26" s="11" t="str">
        <f>IFERROR(__xludf.DUMMYFUNCTION("""COMPUTED_VALUE"""),"Long evening skirt made in an all-over stitched and smocked floral pattern.")</f>
        <v>Long evening skirt made in an all-over stitched and smocked floral pattern.</v>
      </c>
      <c r="G26" s="11" t="str">
        <f>IFERROR(__xludf.DUMMYFUNCTION("""COMPUTED_VALUE"""),"- 100% Polyester
- Fabric woven by Takisada Nagoya, Japan
- Stitched to create a smocked floral pattern overall
- Cut and sewn by Yinmao, China")</f>
        <v>- 100% Polyester
- Fabric woven by Takisada Nagoya, Japan
- Stitched to create a smocked floral pattern overall
- Cut and sewn by Yinmao, China</v>
      </c>
      <c r="H26" s="11" t="str">
        <f>IFERROR(__xludf.DUMMYFUNCTION("""COMPUTED_VALUE"""),"noni-black")</f>
        <v>noni-black</v>
      </c>
      <c r="I26" s="11" t="str">
        <f>IFERROR(__xludf.DUMMYFUNCTION("""COMPUTED_VALUE"""),"noni-black")</f>
        <v>noni-black</v>
      </c>
    </row>
    <row r="27">
      <c r="A27" s="11" t="str">
        <f>IFERROR(__xludf.DUMMYFUNCTION("""COMPUTED_VALUE"""),"Livid Femme")</f>
        <v>Livid Femme</v>
      </c>
      <c r="B27" s="11" t="str">
        <f>IFERROR(__xludf.DUMMYFUNCTION("""COMPUTED_VALUE"""),"Coat")</f>
        <v>Coat</v>
      </c>
      <c r="C27" s="11" t="str">
        <f>IFERROR(__xludf.DUMMYFUNCTION("""COMPUTED_VALUE"""),"blythe-coat-black")</f>
        <v>blythe-coat-black</v>
      </c>
      <c r="D27" s="11" t="str">
        <f>IFERROR(__xludf.DUMMYFUNCTION("""COMPUTED_VALUE"""),"Blythe Coat Black")</f>
        <v>Blythe Coat Black</v>
      </c>
      <c r="E27" s="11" t="str">
        <f>IFERROR(__xludf.DUMMYFUNCTION("""COMPUTED_VALUE"""),"Made in China
Made in a gloriously soft cashmere blend doubleface cloth that's both lightweight and warming. Finished with elegant low profile seams, possible due to the fine splittable doubleface wool weave.
The Blythe Coat is designed with a dramatic "&amp;"full length, featuring dropped shoulders, wide sleeves and a deep neckline with peak lapels. Single-button closure at the waist.")</f>
        <v>Made in China
Made in a gloriously soft cashmere blend doubleface cloth that's both lightweight and warming. Finished with elegant low profile seams, possible due to the fine splittable doubleface wool weave.
The Blythe Coat is designed with a dramatic full length, featuring dropped shoulders, wide sleeves and a deep neckline with peak lapels. Single-button closure at the waist.</v>
      </c>
      <c r="F27" s="11" t="str">
        <f>IFERROR(__xludf.DUMMYFUNCTION("""COMPUTED_VALUE"""),"Blythe, our cashmere blend coat.")</f>
        <v>Blythe, our cashmere blend coat.</v>
      </c>
      <c r="G27" s="11" t="str">
        <f>IFERROR(__xludf.DUMMYFUNCTION("""COMPUTED_VALUE"""),"- 90% wool, 10% cashmere 
- Doubleface splittable fabric woven by Taian Fanzhen, China
- Manufactured by Forever Intl, China")</f>
        <v>- 90% wool, 10% cashmere 
- Doubleface splittable fabric woven by Taian Fanzhen, China
- Manufactured by Forever Intl, China</v>
      </c>
      <c r="H27" s="11"/>
      <c r="I27" s="11" t="str">
        <f>IFERROR(__xludf.DUMMYFUNCTION("""COMPUTED_VALUE"""),"keri-japan-black, toucan-black")</f>
        <v>keri-japan-black, toucan-black</v>
      </c>
    </row>
    <row r="28">
      <c r="A28" s="11" t="str">
        <f>IFERROR(__xludf.DUMMYFUNCTION("""COMPUTED_VALUE"""),"Livid Femme")</f>
        <v>Livid Femme</v>
      </c>
      <c r="B28" s="11" t="str">
        <f>IFERROR(__xludf.DUMMYFUNCTION("""COMPUTED_VALUE"""),"Shorts")</f>
        <v>Shorts</v>
      </c>
      <c r="C28" s="11" t="str">
        <f>IFERROR(__xludf.DUMMYFUNCTION("""COMPUTED_VALUE"""),"boogie-blue-stripe")</f>
        <v>boogie-blue-stripe</v>
      </c>
      <c r="D28" s="11" t="str">
        <f>IFERROR(__xludf.DUMMYFUNCTION("""COMPUTED_VALUE"""),"Boogie Blue Stripe")</f>
        <v>Boogie Blue Stripe</v>
      </c>
      <c r="E28" s="11" t="str">
        <f>IFERROR(__xludf.DUMMYFUNCTION("""COMPUTED_VALUE"""),"Made in Portugal
Boogie, our care-free summer short. Made with an elasticated waistband with two large patch pockets at the thigh. Designed in the same fabric as our Aiden Blue Stripe, for a complete set.
Made in a custom structured poplin fabric design"&amp;"ed by Livid and woven by Somelos in Portugal. This particular fabric gets a slight seersucker texture from a subtle pucker along the stripes, while its poplin weave base creates a crisp handfeel.
Details
- Textured poplin fabric, 100% cotton
- Woven by S"&amp;"omelos in Portugal exclusively for Livid
- Elastic waistband
- Patch pockets
- Stitched with poly core cotton thread
- Cut &amp; Sewn by Stork, Portugal")</f>
        <v>Made in Portugal
Boogie, our care-free summer short. Made with an elasticated waistband with two large patch pockets at the thigh. Designed in the same fabric as our Aiden Blue Stripe, for a complete set.
Made in a custom structured poplin fabric designed by Livid and woven by Somelos in Portugal. This particular fabric gets a slight seersucker texture from a subtle pucker along the stripes, while its poplin weave base creates a crisp handfeel.
Details
- Textured poplin fabric, 100% cotton
- Woven by Somelos in Portugal exclusively for Livid
- Elastic waistband
- Patch pockets
- Stitched with poly core cotton thread
- Cut &amp; Sewn by Stork, Portugal</v>
      </c>
      <c r="F28" s="11" t="str">
        <f>IFERROR(__xludf.DUMMYFUNCTION("""COMPUTED_VALUE"""),"Boogie, our summer short with an elasticated waistband, featuring two large patch pockets at the thigh.")</f>
        <v>Boogie, our summer short with an elasticated waistband, featuring two large patch pockets at the thigh.</v>
      </c>
      <c r="G28" s="11"/>
      <c r="H28" s="11" t="str">
        <f>IFERROR(__xludf.DUMMYFUNCTION("""COMPUTED_VALUE"""),"boogie-eclipse-stripe-poplin")</f>
        <v>boogie-eclipse-stripe-poplin</v>
      </c>
      <c r="I28" s="11" t="str">
        <f>IFERROR(__xludf.DUMMYFUNCTION("""COMPUTED_VALUE"""),"aiden-blue-stripe")</f>
        <v>aiden-blue-stripe</v>
      </c>
    </row>
    <row r="29">
      <c r="A29" s="11" t="str">
        <f>IFERROR(__xludf.DUMMYFUNCTION("""COMPUTED_VALUE"""),"Livid Femme")</f>
        <v>Livid Femme</v>
      </c>
      <c r="B29" s="11" t="str">
        <f>IFERROR(__xludf.DUMMYFUNCTION("""COMPUTED_VALUE"""),"Skirt")</f>
        <v>Skirt</v>
      </c>
      <c r="C29" s="11" t="str">
        <f>IFERROR(__xludf.DUMMYFUNCTION("""COMPUTED_VALUE"""),"bowser-black")</f>
        <v>bowser-black</v>
      </c>
      <c r="D29" s="11" t="str">
        <f>IFERROR(__xludf.DUMMYFUNCTION("""COMPUTED_VALUE"""),"Bowser Black")</f>
        <v>Bowser Black</v>
      </c>
      <c r="E29" s="11" t="str">
        <f>IFERROR(__xludf.DUMMYFUNCTION("""COMPUTED_VALUE"""),"Made in China
Made in a gloriously soft cashmere blend, that's both lightweight and warming. Finished with elegant low profile seams, possible due to the fine splittable doubleface wool.
The Bowser skirt sits comfortably above the hip, ending just below"&amp;" the knee. The signature silver two-way zip allows a custom length split to be set at the front.
Details
- 90% wool, 10% cashmere 
- Doubleface splittable fabric woven by Taian Fanzhen, China
- YKK two-way sillver zip
- Manufactured by Bonus Trading, Chi"&amp;"na")</f>
        <v>Made in China
Made in a gloriously soft cashmere blend, that's both lightweight and warming. Finished with elegant low profile seams, possible due to the fine splittable doubleface wool.
The Bowser skirt sits comfortably above the hip, ending just below the knee. The signature silver two-way zip allows a custom length split to be set at the front.
Details
- 90% wool, 10% cashmere 
- Doubleface splittable fabric woven by Taian Fanzhen, China
- YKK two-way sillver zip
- Manufactured by Bonus Trading, China</v>
      </c>
      <c r="F29" s="11" t="str">
        <f>IFERROR(__xludf.DUMMYFUNCTION("""COMPUTED_VALUE"""),"Bowser, our cashmere blend skirt.")</f>
        <v>Bowser, our cashmere blend skirt.</v>
      </c>
      <c r="G29" s="11"/>
      <c r="H29" s="11"/>
      <c r="I29" s="11" t="str">
        <f>IFERROR(__xludf.DUMMYFUNCTION("""COMPUTED_VALUE"""),"teta-black")</f>
        <v>teta-black</v>
      </c>
    </row>
    <row r="30">
      <c r="A30" s="11" t="str">
        <f>IFERROR(__xludf.DUMMYFUNCTION("""COMPUTED_VALUE"""),"Livid Femme")</f>
        <v>Livid Femme</v>
      </c>
      <c r="B30" s="11" t="str">
        <f>IFERROR(__xludf.DUMMYFUNCTION("""COMPUTED_VALUE"""),"Dress")</f>
        <v>Dress</v>
      </c>
      <c r="C30" s="11" t="str">
        <f>IFERROR(__xludf.DUMMYFUNCTION("""COMPUTED_VALUE"""),"brooke-black")</f>
        <v>brooke-black</v>
      </c>
      <c r="D30" s="11" t="str">
        <f>IFERROR(__xludf.DUMMYFUNCTION("""COMPUTED_VALUE"""),"Brooke Black")</f>
        <v>Brooke Black</v>
      </c>
      <c r="E30" s="11"/>
      <c r="F30" s="11"/>
      <c r="G30" s="11"/>
      <c r="H30" s="11"/>
      <c r="I30" s="11"/>
    </row>
    <row r="31">
      <c r="A31" s="11" t="str">
        <f>IFERROR(__xludf.DUMMYFUNCTION("""COMPUTED_VALUE"""),"Livid Femme")</f>
        <v>Livid Femme</v>
      </c>
      <c r="B31" s="11" t="str">
        <f>IFERROR(__xludf.DUMMYFUNCTION("""COMPUTED_VALUE"""),"Longsleeve")</f>
        <v>Longsleeve</v>
      </c>
      <c r="C31" s="11" t="str">
        <f>IFERROR(__xludf.DUMMYFUNCTION("""COMPUTED_VALUE"""),"cavi-bone")</f>
        <v>cavi-bone</v>
      </c>
      <c r="D31" s="11" t="str">
        <f>IFERROR(__xludf.DUMMYFUNCTION("""COMPUTED_VALUE"""),"Cavi Bone")</f>
        <v>Cavi Bone</v>
      </c>
      <c r="E31" s="11" t="str">
        <f>IFERROR(__xludf.DUMMYFUNCTION("""COMPUTED_VALUE"""),"Made in Portugal
Our waffle knit longsleeve Cavi. Designed with a bateau neckline and a relaxed fit with long sleeves. ")</f>
        <v>Made in Portugal
Our waffle knit longsleeve Cavi. Designed with a bateau neckline and a relaxed fit with long sleeves. </v>
      </c>
      <c r="F31" s="11" t="str">
        <f>IFERROR(__xludf.DUMMYFUNCTION("""COMPUTED_VALUE"""),"Cavi, our waffle knit longsleeve top.")</f>
        <v>Cavi, our waffle knit longsleeve top.</v>
      </c>
      <c r="G31" s="11" t="str">
        <f>IFERROR(__xludf.DUMMYFUNCTION("""COMPUTED_VALUE"""),"- 100% cotton
- Pre-shrunk waffle jersey, knitted at Etevimol, Portugal
- Sewn with durable poly-core cotton thread
- Made at Texgoios in Portugal")</f>
        <v>- 100% cotton
- Pre-shrunk waffle jersey, knitted at Etevimol, Portugal
- Sewn with durable poly-core cotton thread
- Made at Texgoios in Portugal</v>
      </c>
      <c r="H31" s="11"/>
      <c r="I31" s="11" t="str">
        <f>IFERROR(__xludf.DUMMYFUNCTION("""COMPUTED_VALUE"""),"keri-japan-gravel")</f>
        <v>keri-japan-gravel</v>
      </c>
    </row>
    <row r="32">
      <c r="A32" s="11" t="str">
        <f>IFERROR(__xludf.DUMMYFUNCTION("""COMPUTED_VALUE"""),"Livid Femme")</f>
        <v>Livid Femme</v>
      </c>
      <c r="B32" s="11" t="str">
        <f>IFERROR(__xludf.DUMMYFUNCTION("""COMPUTED_VALUE"""),"Shirt")</f>
        <v>Shirt</v>
      </c>
      <c r="C32" s="11" t="str">
        <f>IFERROR(__xludf.DUMMYFUNCTION("""COMPUTED_VALUE"""),"centi-aloe-fine-silk")</f>
        <v>centi-aloe-fine-silk</v>
      </c>
      <c r="D32" s="11" t="str">
        <f>IFERROR(__xludf.DUMMYFUNCTION("""COMPUTED_VALUE"""),"Centi Aloe Fine Silk")</f>
        <v>Centi Aloe Fine Silk</v>
      </c>
      <c r="E32" s="11"/>
      <c r="F32" s="11"/>
      <c r="G32" s="11"/>
      <c r="H32" s="11"/>
      <c r="I32" s="11"/>
    </row>
    <row r="33">
      <c r="A33" s="11" t="str">
        <f>IFERROR(__xludf.DUMMYFUNCTION("""COMPUTED_VALUE"""),"Livid Femme")</f>
        <v>Livid Femme</v>
      </c>
      <c r="B33" s="11" t="str">
        <f>IFERROR(__xludf.DUMMYFUNCTION("""COMPUTED_VALUE"""),"Shirt")</f>
        <v>Shirt</v>
      </c>
      <c r="C33" s="11" t="str">
        <f>IFERROR(__xludf.DUMMYFUNCTION("""COMPUTED_VALUE"""),"centi-top-stone")</f>
        <v>centi-top-stone</v>
      </c>
      <c r="D33" s="11" t="str">
        <f>IFERROR(__xludf.DUMMYFUNCTION("""COMPUTED_VALUE"""),"Centi Stone")</f>
        <v>Centi Stone</v>
      </c>
      <c r="E33" s="11" t="str">
        <f>IFERROR(__xludf.DUMMYFUNCTION("""COMPUTED_VALUE"""),"Made in India
A new addition to our linen programme, the Centi is a box-fit linen shirt.
Made in a light pure linen fabric and finshed with mother of pearl buttons. 
Details
- 100% linen
- Linen production, fabric weaving and final cut &amp; sew all done a"&amp;"t Dibella in India
- Mother of pearl buttons
- Sewn with durable poly core cotton thread")</f>
        <v>Made in India
A new addition to our linen programme, the Centi is a box-fit linen shirt.
Made in a light pure linen fabric and finshed with mother of pearl buttons. 
Details
- 100% linen
- Linen production, fabric weaving and final cut &amp; sew all done at Dibella in India
- Mother of pearl buttons
- Sewn with durable poly core cotton thread</v>
      </c>
      <c r="F33" s="11" t="str">
        <f>IFERROR(__xludf.DUMMYFUNCTION("""COMPUTED_VALUE"""),"Centi, our box-fit linen shirt.")</f>
        <v>Centi, our box-fit linen shirt.</v>
      </c>
      <c r="G33" s="11"/>
      <c r="H33" s="11"/>
      <c r="I33" s="11"/>
    </row>
    <row r="34">
      <c r="A34" s="11" t="str">
        <f>IFERROR(__xludf.DUMMYFUNCTION("""COMPUTED_VALUE"""),"Livid Femme")</f>
        <v>Livid Femme</v>
      </c>
      <c r="B34" s="11" t="str">
        <f>IFERROR(__xludf.DUMMYFUNCTION("""COMPUTED_VALUE"""),"Shirt")</f>
        <v>Shirt</v>
      </c>
      <c r="C34" s="11" t="str">
        <f>IFERROR(__xludf.DUMMYFUNCTION("""COMPUTED_VALUE"""),"centi-white-fine-silk")</f>
        <v>centi-white-fine-silk</v>
      </c>
      <c r="D34" s="11" t="str">
        <f>IFERROR(__xludf.DUMMYFUNCTION("""COMPUTED_VALUE"""),"Centi White Fine Silk")</f>
        <v>Centi White Fine Silk</v>
      </c>
      <c r="E34" s="11"/>
      <c r="F34" s="11"/>
      <c r="G34" s="11"/>
      <c r="H34" s="11"/>
      <c r="I34" s="11"/>
    </row>
    <row r="35">
      <c r="A35" s="11" t="str">
        <f>IFERROR(__xludf.DUMMYFUNCTION("""COMPUTED_VALUE"""),"Livid Femme")</f>
        <v>Livid Femme</v>
      </c>
      <c r="B35" s="11" t="str">
        <f>IFERROR(__xludf.DUMMYFUNCTION("""COMPUTED_VALUE"""),"Jersey")</f>
        <v>Jersey</v>
      </c>
      <c r="C35" s="11" t="str">
        <f>IFERROR(__xludf.DUMMYFUNCTION("""COMPUTED_VALUE"""),"coty-white")</f>
        <v>coty-white</v>
      </c>
      <c r="D35" s="11" t="str">
        <f>IFERROR(__xludf.DUMMYFUNCTION("""COMPUTED_VALUE"""),"Coty White")</f>
        <v>Coty White</v>
      </c>
      <c r="E35" s="11"/>
      <c r="F35" s="11"/>
      <c r="G35" s="11"/>
      <c r="H35" s="11"/>
      <c r="I35" s="11"/>
    </row>
    <row r="36">
      <c r="A36" s="11" t="str">
        <f>IFERROR(__xludf.DUMMYFUNCTION("""COMPUTED_VALUE"""),"Livid Femme")</f>
        <v>Livid Femme</v>
      </c>
      <c r="B36" s="11" t="str">
        <f>IFERROR(__xludf.DUMMYFUNCTION("""COMPUTED_VALUE"""),"Knitwear")</f>
        <v>Knitwear</v>
      </c>
      <c r="C36" s="11" t="str">
        <f>IFERROR(__xludf.DUMMYFUNCTION("""COMPUTED_VALUE"""),"crystal-black")</f>
        <v>crystal-black</v>
      </c>
      <c r="D36" s="11" t="str">
        <f>IFERROR(__xludf.DUMMYFUNCTION("""COMPUTED_VALUE"""),"Crystal Black")</f>
        <v>Crystal Black</v>
      </c>
      <c r="E36" s="11" t="str">
        <f>IFERROR(__xludf.DUMMYFUNCTION("""COMPUTED_VALUE"""),"Made in China 
Deep V cardigan, knitted in a super soft brushed alpaca yarn. Constructed with wide sleeves, dropped shoulders and relaxed, long body with long sideseam splits. Finished with mother of pear buttons.
The alpaca fibers in this yarn are spun"&amp;" around a nylon core for durability, with a touch of spandex to keep its shape over time.")</f>
        <v>Made in China 
Deep V cardigan, knitted in a super soft brushed alpaca yarn. Constructed with wide sleeves, dropped shoulders and relaxed, long body with long sideseam splits. Finished with mother of pear buttons.
The alpaca fibers in this yarn are spun around a nylon core for durability, with a touch of spandex to keep its shape over time.</v>
      </c>
      <c r="F36" s="11" t="str">
        <f>IFERROR(__xludf.DUMMYFUNCTION("""COMPUTED_VALUE"""),"Crystal, our brushed alpaca cardigan.")</f>
        <v>Crystal, our brushed alpaca cardigan.</v>
      </c>
      <c r="G36" s="11" t="str">
        <f>IFERROR(__xludf.DUMMYFUNCTION("""COMPUTED_VALUE"""),"- 79% Alpaca, 19% Nylon, 2% Spandex
- Alpaca yarn spun by QCYarn, China
- Brushed 7 guage knit
- Soft, elastic and super resistant.
- Mother of pearl buttons
- Knitted by Springair in China")</f>
        <v>- 79% Alpaca, 19% Nylon, 2% Spandex
- Alpaca yarn spun by QCYarn, China
- Brushed 7 guage knit
- Soft, elastic and super resistant.
- Mother of pearl buttons
- Knitted by Springair in China</v>
      </c>
      <c r="H36" s="11"/>
      <c r="I36" s="11" t="str">
        <f>IFERROR(__xludf.DUMMYFUNCTION("""COMPUTED_VALUE"""),"keri-japan-gravel")</f>
        <v>keri-japan-gravel</v>
      </c>
    </row>
    <row r="37">
      <c r="A37" s="11" t="str">
        <f>IFERROR(__xludf.DUMMYFUNCTION("""COMPUTED_VALUE"""),"Livid Femme")</f>
        <v>Livid Femme</v>
      </c>
      <c r="B37" s="11" t="str">
        <f>IFERROR(__xludf.DUMMYFUNCTION("""COMPUTED_VALUE"""),"Knitwear")</f>
        <v>Knitwear</v>
      </c>
      <c r="C37" s="11" t="str">
        <f>IFERROR(__xludf.DUMMYFUNCTION("""COMPUTED_VALUE"""),"daphne-black")</f>
        <v>daphne-black</v>
      </c>
      <c r="D37" s="11" t="str">
        <f>IFERROR(__xludf.DUMMYFUNCTION("""COMPUTED_VALUE"""),"Daphne Black")</f>
        <v>Daphne Black</v>
      </c>
      <c r="E37" s="11" t="str">
        <f>IFERROR(__xludf.DUMMYFUNCTION("""COMPUTED_VALUE"""),"Made in China 
Made in pure merino wool, boiled to acheive a perfect balance between warmth, breathabilty and softness. The weight of the boiled merino wool gives the Daphne sweater a soft and heavy drape.
The Daphne crewneck sweater features exposed se"&amp;"am details, constructed with a bold fit exhibiting the wool knit's drape, with side splits and a longer back.")</f>
        <v>Made in China 
Made in pure merino wool, boiled to acheive a perfect balance between warmth, breathabilty and softness. The weight of the boiled merino wool gives the Daphne sweater a soft and heavy drape.
The Daphne crewneck sweater features exposed seam details, constructed with a bold fit exhibiting the wool knit's drape, with side splits and a longer back.</v>
      </c>
      <c r="F37" s="11" t="str">
        <f>IFERROR(__xludf.DUMMYFUNCTION("""COMPUTED_VALUE"""),"Daphne, our boiled merino wool crewneck sweater.")</f>
        <v>Daphne, our boiled merino wool crewneck sweater.</v>
      </c>
      <c r="G37" s="11" t="str">
        <f>IFERROR(__xludf.DUMMYFUNCTION("""COMPUTED_VALUE"""),"- 100% merino wool, boiled
- Merino wool yarn spun in Italy by Tollegno 1900
- Warm, breathable and hardwearing
- Knitted by Goldfine in China")</f>
        <v>- 100% merino wool, boiled
- Merino wool yarn spun in Italy by Tollegno 1900
- Warm, breathable and hardwearing
- Knitted by Goldfine in China</v>
      </c>
      <c r="H37" s="11" t="str">
        <f>IFERROR(__xludf.DUMMYFUNCTION("""COMPUTED_VALUE"""),"daphne-cream")</f>
        <v>daphne-cream</v>
      </c>
      <c r="I37" s="11" t="str">
        <f>IFERROR(__xludf.DUMMYFUNCTION("""COMPUTED_VALUE"""),"keri-japan-black")</f>
        <v>keri-japan-black</v>
      </c>
    </row>
    <row r="38">
      <c r="A38" s="11" t="str">
        <f>IFERROR(__xludf.DUMMYFUNCTION("""COMPUTED_VALUE"""),"Livid Femme")</f>
        <v>Livid Femme</v>
      </c>
      <c r="B38" s="11" t="str">
        <f>IFERROR(__xludf.DUMMYFUNCTION("""COMPUTED_VALUE"""),"Knitwear")</f>
        <v>Knitwear</v>
      </c>
      <c r="C38" s="11" t="str">
        <f>IFERROR(__xludf.DUMMYFUNCTION("""COMPUTED_VALUE"""),"daphne-cream")</f>
        <v>daphne-cream</v>
      </c>
      <c r="D38" s="11" t="str">
        <f>IFERROR(__xludf.DUMMYFUNCTION("""COMPUTED_VALUE"""),"Daphne Cream")</f>
        <v>Daphne Cream</v>
      </c>
      <c r="E38" s="11" t="str">
        <f>IFERROR(__xludf.DUMMYFUNCTION("""COMPUTED_VALUE"""),"Made in China 
Made in pure merino wool, boiled to acheive a perfect balance between warmth, breathabilty and softness. The weight of the boiled merino wool gives the Daphne sweater a soft and heavy drape.
The Daphne crewneck sweater features exposed se"&amp;"am details, constructed with a bold fit exhibiting the wool knit's drape, with side splits and a longer back.")</f>
        <v>Made in China 
Made in pure merino wool, boiled to acheive a perfect balance between warmth, breathabilty and softness. The weight of the boiled merino wool gives the Daphne sweater a soft and heavy drape.
The Daphne crewneck sweater features exposed seam details, constructed with a bold fit exhibiting the wool knit's drape, with side splits and a longer back.</v>
      </c>
      <c r="F38" s="11" t="str">
        <f>IFERROR(__xludf.DUMMYFUNCTION("""COMPUTED_VALUE"""),"Daphne, our boiled merino wool crewneck sweater.")</f>
        <v>Daphne, our boiled merino wool crewneck sweater.</v>
      </c>
      <c r="G38" s="11" t="str">
        <f>IFERROR(__xludf.DUMMYFUNCTION("""COMPUTED_VALUE"""),"- 100% merino wool, boiled
- Merino wool yarn spun in Italy by Tollegno 1900
- Warm, breathable and hardwearing
- Knitted by Goldfine in China")</f>
        <v>- 100% merino wool, boiled
- Merino wool yarn spun in Italy by Tollegno 1900
- Warm, breathable and hardwearing
- Knitted by Goldfine in China</v>
      </c>
      <c r="H38" s="11" t="str">
        <f>IFERROR(__xludf.DUMMYFUNCTION("""COMPUTED_VALUE"""),"daphne-black")</f>
        <v>daphne-black</v>
      </c>
      <c r="I38" s="11" t="str">
        <f>IFERROR(__xludf.DUMMYFUNCTION("""COMPUTED_VALUE"""),"keri-japan-black")</f>
        <v>keri-japan-black</v>
      </c>
    </row>
    <row r="39">
      <c r="A39" s="11" t="str">
        <f>IFERROR(__xludf.DUMMYFUNCTION("""COMPUTED_VALUE"""),"Livid Femme")</f>
        <v>Livid Femme</v>
      </c>
      <c r="B39" s="11" t="str">
        <f>IFERROR(__xludf.DUMMYFUNCTION("""COMPUTED_VALUE"""),"Knitwear")</f>
        <v>Knitwear</v>
      </c>
      <c r="C39" s="11" t="str">
        <f>IFERROR(__xludf.DUMMYFUNCTION("""COMPUTED_VALUE"""),"deka-chestnut-stripe")</f>
        <v>deka-chestnut-stripe</v>
      </c>
      <c r="D39" s="11" t="str">
        <f>IFERROR(__xludf.DUMMYFUNCTION("""COMPUTED_VALUE"""),"Deka Chestnut Stripe")</f>
        <v>Deka Chestnut Stripe</v>
      </c>
      <c r="E39" s="11" t="str">
        <f>IFERROR(__xludf.DUMMYFUNCTION("""COMPUTED_VALUE"""),"Made in China
Deka, funnel necked with a boxy fit, made with dropped shoulders and elongated sleeves. Knitted with a delicate stripe pattern in a lightweight mohair yarn.
Knitted in a light and soft brushed mohair yarn. The mohair fibers in this yarn ar"&amp;"e spun around a nylon core for durability, with a touch of spandex to keep the garment's shape over time.")</f>
        <v>Made in China
Deka, funnel necked with a boxy fit, made with dropped shoulders and elongated sleeves. Knitted with a delicate stripe pattern in a lightweight mohair yarn.
Knitted in a light and soft brushed mohair yarn. The mohair fibers in this yarn are spun around a nylon core for durability, with a touch of spandex to keep the garment's shape over time.</v>
      </c>
      <c r="F39" s="11" t="str">
        <f>IFERROR(__xludf.DUMMYFUNCTION("""COMPUTED_VALUE"""),"Deka, our funnel neck mohair sweater.")</f>
        <v>Deka, our funnel neck mohair sweater.</v>
      </c>
      <c r="G39" s="11" t="str">
        <f>IFERROR(__xludf.DUMMYFUNCTION("""COMPUTED_VALUE"""),"- 72% mohair, 26% Nylon, 2% Spandex
- Mohar yarn spun by QC Yarn, China
- Soft, light and resistant
- Knitted by Springair in China")</f>
        <v>- 72% mohair, 26% Nylon, 2% Spandex
- Mohar yarn spun by QC Yarn, China
- Soft, light and resistant
- Knitted by Springair in China</v>
      </c>
      <c r="H39" s="11" t="str">
        <f>IFERROR(__xludf.DUMMYFUNCTION("""COMPUTED_VALUE"""),"deka-violet-stripe")</f>
        <v>deka-violet-stripe</v>
      </c>
      <c r="I39" s="11" t="str">
        <f>IFERROR(__xludf.DUMMYFUNCTION("""COMPUTED_VALUE"""),"keri-japan-black")</f>
        <v>keri-japan-black</v>
      </c>
    </row>
    <row r="40">
      <c r="A40" s="11" t="str">
        <f>IFERROR(__xludf.DUMMYFUNCTION("""COMPUTED_VALUE"""),"Livid Femme")</f>
        <v>Livid Femme</v>
      </c>
      <c r="B40" s="11" t="str">
        <f>IFERROR(__xludf.DUMMYFUNCTION("""COMPUTED_VALUE"""),"Knitwear")</f>
        <v>Knitwear</v>
      </c>
      <c r="C40" s="11" t="str">
        <f>IFERROR(__xludf.DUMMYFUNCTION("""COMPUTED_VALUE"""),"deka-violet-stripe")</f>
        <v>deka-violet-stripe</v>
      </c>
      <c r="D40" s="11" t="str">
        <f>IFERROR(__xludf.DUMMYFUNCTION("""COMPUTED_VALUE"""),"Deka Violet Stripe")</f>
        <v>Deka Violet Stripe</v>
      </c>
      <c r="E40" s="11" t="str">
        <f>IFERROR(__xludf.DUMMYFUNCTION("""COMPUTED_VALUE"""),"Made in China
Deka, funnel necked with a boxy fit, made with dropped shoulders and elongated sleeves. Knitted with a delicate stripe pattern in a lightweight mohair yarn.
Knitted in a light and soft brushed mohair yarn. The mohair fibers in this yarn ar"&amp;"e spun around a nylon core for durability, with a touch of spandex to keep the garment's shape over time.")</f>
        <v>Made in China
Deka, funnel necked with a boxy fit, made with dropped shoulders and elongated sleeves. Knitted with a delicate stripe pattern in a lightweight mohair yarn.
Knitted in a light and soft brushed mohair yarn. The mohair fibers in this yarn are spun around a nylon core for durability, with a touch of spandex to keep the garment's shape over time.</v>
      </c>
      <c r="F40" s="11" t="str">
        <f>IFERROR(__xludf.DUMMYFUNCTION("""COMPUTED_VALUE"""),"Deka, our funnel neck mohair sweater.")</f>
        <v>Deka, our funnel neck mohair sweater.</v>
      </c>
      <c r="G40" s="11" t="str">
        <f>IFERROR(__xludf.DUMMYFUNCTION("""COMPUTED_VALUE"""),"- 72% mohair, 26% Nylon, 2% Spandex
- Mohar yarn spun by QC Yarn, China
- Soft, light and resistant
- Knitted by Springair in China")</f>
        <v>- 72% mohair, 26% Nylon, 2% Spandex
- Mohar yarn spun by QC Yarn, China
- Soft, light and resistant
- Knitted by Springair in China</v>
      </c>
      <c r="H40" s="11" t="str">
        <f>IFERROR(__xludf.DUMMYFUNCTION("""COMPUTED_VALUE"""),"deka-chestnut-stripe")</f>
        <v>deka-chestnut-stripe</v>
      </c>
      <c r="I40" s="11" t="str">
        <f>IFERROR(__xludf.DUMMYFUNCTION("""COMPUTED_VALUE"""),"keri-japan-gravel")</f>
        <v>keri-japan-gravel</v>
      </c>
    </row>
    <row r="41">
      <c r="A41" s="11" t="str">
        <f>IFERROR(__xludf.DUMMYFUNCTION("""COMPUTED_VALUE"""),"Livid Femme")</f>
        <v>Livid Femme</v>
      </c>
      <c r="B41" s="11" t="str">
        <f>IFERROR(__xludf.DUMMYFUNCTION("""COMPUTED_VALUE"""),"Skirt")</f>
        <v>Skirt</v>
      </c>
      <c r="C41" s="11" t="str">
        <f>IFERROR(__xludf.DUMMYFUNCTION("""COMPUTED_VALUE"""),"devon-japan-shadow")</f>
        <v>devon-japan-shadow</v>
      </c>
      <c r="D41" s="11" t="str">
        <f>IFERROR(__xludf.DUMMYFUNCTION("""COMPUTED_VALUE"""),"Devon Japan Shadow")</f>
        <v>Devon Japan Shadow</v>
      </c>
      <c r="E41" s="11" t="str">
        <f>IFERROR(__xludf.DUMMYFUNCTION("""COMPUTED_VALUE"""),"Made in Portugal
Introducing Devon, our mid-length denim skirt. Made in a 13 Oz black denim woven by the renowned denim mill Kuroki in Japan, washed to our faded black finish, Japan Shadow. 
Designed with a waist that allows wearing the Devon both high "&amp;"waisted, or lower on the hip if desired by sizing up. Ending in a classic mid-length.
Details &amp; Features
- 13 Oz wideloom denim from Kuroki, Japan
- One wash to increase softness
- 100% Sanforized cotton
- Warp &amp; Weft dyed in black
- 8 Oz 5 Oz ecru canva"&amp;"s pocketing
- Black leather patch w/ wax treatment, Made in Italy.
- YKK two-prongtack, silver button and zip fly
- YKK solid copper washed-burr rivets
- Stitched with poly core cotton thread
- Made at Lisama, Portugal")</f>
        <v>Made in Portugal
Introducing Devon, our mid-length denim skirt. Made in a 13 Oz black denim woven by the renowned denim mill Kuroki in Japan, washed to our faded black finish, Japan Shadow. 
Designed with a waist that allows wearing the Devon both high waisted, or lower on the hip if desired by sizing up. Ending in a classic mid-length.
Details &amp; Features
- 13 Oz wideloom denim from Kuroki, Japan
- One wash to increase softness
- 100% Sanforized cotton
- Warp &amp; Weft dyed in black
- 8 Oz 5 Oz ecru canvas pocketing
- Black leather patch w/ wax treatment, Made in Italy.
- YKK two-prongtack, silver button and zip fly
- YKK solid copper washed-burr rivets
- Stitched with poly core cotton thread
- Made at Lisama, Portugal</v>
      </c>
      <c r="F41" s="11" t="str">
        <f>IFERROR(__xludf.DUMMYFUNCTION("""COMPUTED_VALUE"""),"Devon, our mid-length denim skirt. Made in a 13 Oz black denim woven by the renowned denim mill Kuroki in Japan, washed to our faded black finish, Japan Shadow.")</f>
        <v>Devon, our mid-length denim skirt. Made in a 13 Oz black denim woven by the renowned denim mill Kuroki in Japan, washed to our faded black finish, Japan Shadow.</v>
      </c>
      <c r="G41" s="11"/>
      <c r="H41" s="11"/>
      <c r="I41" s="11" t="str">
        <f>IFERROR(__xludf.DUMMYFUNCTION("""COMPUTED_VALUE"""),"nile-black")</f>
        <v>nile-black</v>
      </c>
    </row>
    <row r="42">
      <c r="A42" s="11" t="str">
        <f>IFERROR(__xludf.DUMMYFUNCTION("""COMPUTED_VALUE"""),"Livid Femme")</f>
        <v>Livid Femme</v>
      </c>
      <c r="B42" s="11" t="str">
        <f>IFERROR(__xludf.DUMMYFUNCTION("""COMPUTED_VALUE"""),"Jeans")</f>
        <v>Jeans</v>
      </c>
      <c r="C42" s="11" t="str">
        <f>IFERROR(__xludf.DUMMYFUNCTION("""COMPUTED_VALUE"""),"ella-japan-black")</f>
        <v>ella-japan-black</v>
      </c>
      <c r="D42" s="11" t="str">
        <f>IFERROR(__xludf.DUMMYFUNCTION("""COMPUTED_VALUE"""),"Ella Japan Black")</f>
        <v>Ella Japan Black</v>
      </c>
      <c r="E42" s="11" t="str">
        <f>IFERROR(__xludf.DUMMYFUNCTION("""COMPUTED_VALUE"""),"Made in Portugal
The Japan Black Comfort. Made from a 10,6 Oz black comfort wideloom denim woven at the renowned Japanese fabric mill, Kuroki. This particular fabric have been made with a premium black sulphur dye that keep the dark shade longer than mos"&amp;"t fabrics in the same segment. While all black denim loose colour, this particular denim fades in contrast after wear. This is due a special technique called rope dye, whereas the yarns are dipped in short intervals between oxidation. This prevents the co"&amp;"lour from completely penetrating the core of the fibres, leaving it fresh, natural and untouched. When the layers of black colour wears off the surface of the yarns, the natural coloured cotton core will appear, leaving a contrast fade throughout the jean"&amp;"s.
All black denim will loose its colour. Some transform into a dull grey version of itself, but this particular denim, fades in contrast giving more and more life, resulting in a denim that only get more beautiful with age.
Another small detail. The su"&amp;"rface of this particular denim has been an anti-dust treatment, preventing lint from attaching to the surface of the fabric. 
Details &amp; Features
- 10,6 Oz comfort wideloom denim from Kuroki, Japan
- 96% cotton / 4% polyurethane
- Warp &amp; weft dyed in blac"&amp;"k
- 5 Oz ecru canvas pocketing
- Black leather patch w/ wax treatment. Made in Italy
- YKK two-prongtack, silver button and zip fly
- YKK solid copper washed-burr rivets
- Stitched with poly core cotton thread
- Made at Lisama, Portugal
Model is 178 cm a"&amp;"nd wears a size 26/34
Go to our fitguide to read more about the Ella fit.
Available sizes are 24-34 in 32″ inseam and 26-34 in 34″ inseam.")</f>
        <v>Made in Portugal
The Japan Black Comfort. Made from a 10,6 Oz black comfort wideloom denim woven at the renowned Japanese fabric mill, Kuroki. This particular fabric have been made with a premium black sulphur dye that keep the dark shade longer than most fabrics in the same segment. While all black denim loose colour, this particular denim fades in contrast after wear. This is due a special technique called rope dye, whereas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All black denim will loose its colour. Some transform into a dull grey version of itself, but this particular denim, fades in contrast giving more and more life, resulting in a denim that only get more beautiful with age.
Another small detail. The surface of this particular denim has been an anti-dust treatment, preventing lint from attaching to the surface of the fabric. 
Details &amp; Features
- 10,6 Oz comfort wideloom denim from Kuroki, Japan
- 96% cotton / 4% polyurethane
- Warp &amp; weft dyed in black
- 5 Oz ecru canvas pocketing
- Black leather patch w/ wax treatment. Made in Italy
- YKK two-prongtack, silver button and zip fly
- YKK solid copper washed-burr rivets
- Stitched with poly core cotton thread
- Made at Lisama, Portugal
Model is 178 cm and wears a size 26/34
Go to our fitguide to read more about the Ella fit.
Available sizes are 24-34 in 32″ inseam and 26-34 in 34″ inseam.</v>
      </c>
      <c r="F42" s="11" t="str">
        <f>IFERROR(__xludf.DUMMYFUNCTION("""COMPUTED_VALUE"""),"Made from black comfort denim at Kuroki. Fabric dyed with premium black sulphur to maintain dark shade. Special rope dye technique used for contrast fades after wear.")</f>
        <v>Made from black comfort denim at Kuroki. Fabric dyed with premium black sulphur to maintain dark shade. Special rope dye technique used for contrast fades after wear.</v>
      </c>
      <c r="G42" s="11"/>
      <c r="H42" s="11" t="str">
        <f>IFERROR(__xludf.DUMMYFUNCTION("""COMPUTED_VALUE"""),"ella-japan-indigo")</f>
        <v>ella-japan-indigo</v>
      </c>
      <c r="I42" s="11"/>
    </row>
    <row r="43">
      <c r="A43" s="11" t="str">
        <f>IFERROR(__xludf.DUMMYFUNCTION("""COMPUTED_VALUE"""),"Livid Femme")</f>
        <v>Livid Femme</v>
      </c>
      <c r="B43" s="11" t="str">
        <f>IFERROR(__xludf.DUMMYFUNCTION("""COMPUTED_VALUE"""),"Jeans")</f>
        <v>Jeans</v>
      </c>
      <c r="C43" s="11" t="str">
        <f>IFERROR(__xludf.DUMMYFUNCTION("""COMPUTED_VALUE"""),"ella-japan-indigo")</f>
        <v>ella-japan-indigo</v>
      </c>
      <c r="D43" s="11" t="str">
        <f>IFERROR(__xludf.DUMMYFUNCTION("""COMPUTED_VALUE"""),"Ella Japan Indigo")</f>
        <v>Ella Japan Indigo</v>
      </c>
      <c r="E43" s="11" t="str">
        <f>IFERROR(__xludf.DUMMYFUNCTION("""COMPUTED_VALUE"""),"Made in Portugal
The Japan Indigo. Made from a beautiful mid-weight wideloom denim woven at the renowned Japanese fabric mill, Kuroki. This particular fabric was built by Kuroki with a main goal at hand, creating a comfortable stretch denim that maintain"&amp;"ed the look of a rigid (100% cotton) denim. That is also particularly why this denim is the most widely used denim-article throughout our collections, now being the fabric of choice for 10 different core-styles in our rage. A super versatile denim, beauti"&amp;"ful in all types of shades in addition to providing great comfort, stretch and recovery after wear. A safe choice for all who loves a pair of genuine fitting jeans in their wardrobe.
Made in our slim/straight leg jeans, Ella.
Details &amp; Features
- 13 Oz "&amp;"comfort wideloom denim from Kuroki, Japan. 
- 98% cotton / 2% polyurethane
- Warp dyed in indigo, natural coloured weft
- 5 Oz ecru canvas pocketing 
- Tanned leather patch w/ wax treatment, Made in Italy. 
- YKK two-prongtack, silver button and zip fly
-"&amp;" YKK solid copper washed-burr rivets
- Stitched with poly core cotton thread
- Made at Lisama, Portugal
Model is 178 cm and wears a size 26/34
Go to our fit guide to read more about the Ella Slim/straight. 
Available sizes are 24-34 in 32” inseam and 2"&amp;"6-34 in 34” inseam.")</f>
        <v>Made in Portugal
The Japan Indigo. Made from a beautiful mid-weight wideloom denim woven at the renowned Japanese fabric mill, Kuroki. This particular fabric was built by Kuroki with a main goal at hand, creating a comfortable stretch denim that maintained the look of a rigid (100% cotton) denim. That is also particularly why this denim is the most widely used denim-article throughout our collections, now being the fabric of choice for 10 different core-styles in our rage. A super versatile denim, beautiful in all types of shades in addition to providing great comfort, stretch and recovery after wear. A safe choice for all who loves a pair of genuine fitting jeans in their wardrobe.
Made in our slim/straight leg jeans, Ella.
Details &amp; Features
- 13 Oz comfort wideloom denim from Kuroki, Japan. 
- 98% cotton / 2% polyurethane
- Warp dyed in indigo, natural coloured weft
- 5 Oz ecru canvas pocketing 
- Tanned leather patch w/ wax treatment, Made in Italy. 
- YKK two-prongtack, silver button and zip fly
- YKK solid copper washed-burr rivets
- Stitched with poly core cotton thread
- Made at Lisama, Portugal
Model is 178 cm and wears a size 26/34
Go to our fit guide to read more about the Ella Slim/straight. 
Available sizes are 24-34 in 32” inseam and 26-34 in 34” inseam.</v>
      </c>
      <c r="F43" s="11" t="str">
        <f>IFERROR(__xludf.DUMMYFUNCTION("""COMPUTED_VALUE"""),"The Japan Indigo is made with a goal to create a comfortable denim that looks rigid while offering comfort, stretch, and recovery after wear. Perfect for those loving genuine fitting jeans.")</f>
        <v>The Japan Indigo is made with a goal to create a comfortable denim that looks rigid while offering comfort, stretch, and recovery after wear. Perfect for those loving genuine fitting jeans.</v>
      </c>
      <c r="G43" s="11"/>
      <c r="H43" s="11" t="str">
        <f>IFERROR(__xludf.DUMMYFUNCTION("""COMPUTED_VALUE"""),"ella-japan-black")</f>
        <v>ella-japan-black</v>
      </c>
      <c r="I43" s="11"/>
    </row>
    <row r="44">
      <c r="A44" s="11" t="str">
        <f>IFERROR(__xludf.DUMMYFUNCTION("""COMPUTED_VALUE"""),"Livid Femme")</f>
        <v>Livid Femme</v>
      </c>
      <c r="B44" s="11" t="str">
        <f>IFERROR(__xludf.DUMMYFUNCTION("""COMPUTED_VALUE"""),"Shirt")</f>
        <v>Shirt</v>
      </c>
      <c r="C44" s="11" t="str">
        <f>IFERROR(__xludf.DUMMYFUNCTION("""COMPUTED_VALUE"""),"esme-linen-white-linen")</f>
        <v>esme-linen-white-linen</v>
      </c>
      <c r="D44" s="11" t="str">
        <f>IFERROR(__xludf.DUMMYFUNCTION("""COMPUTED_VALUE"""),"Esme Linen White Linen")</f>
        <v>Esme Linen White Linen</v>
      </c>
      <c r="E44" s="11" t="str">
        <f>IFERROR(__xludf.DUMMYFUNCTION("""COMPUTED_VALUE"""),"Made in Portugal
Esme, made from a pure linen fabric developed and woven at Somelos in Portugal. This fabric provides a lustrous drape, perfect breathability and the 1x1 linen weave gives a casual crimp when worn.
Designed for an elegant and easy going "&amp;"fit, Esme has a straight cut, slightly shorter front and a box pleat at the back yoke. Finished with mother of pearl buttoons.
Details:
- 100% Linen 
- Woven at Somelos in Portugal
- Real mother of pearl buttons made by Louropel in Italy
- Stitched with "&amp;"durable poly core cotton thread
- Made at Stork in Portugal")</f>
        <v>Made in Portugal
Esme, made from a pure linen fabric developed and woven at Somelos in Portugal. This fabric provides a lustrous drape, perfect breathability and the 1x1 linen weave gives a casual crimp when worn.
Designed for an elegant and easy going fit, Esme has a straight cut, slightly shorter front and a box pleat at the back yoke. Finished with mother of pearl buttoons.
Details:
- 100% Linen 
- Woven at Somelos in Portugal
- Real mother of pearl buttons made by Louropel in Italy
- Stitched with durable poly core cotton thread
- Made at Stork in Portugal</v>
      </c>
      <c r="F44" s="11" t="str">
        <f>IFERROR(__xludf.DUMMYFUNCTION("""COMPUTED_VALUE"""),"Designed for an elegant and easy going fit, Esme has a straight cut, slightly shorter front and a box pleat at the back yoke. Finished with mother of pearl buttoons.")</f>
        <v>Designed for an elegant and easy going fit, Esme has a straight cut, slightly shorter front and a box pleat at the back yoke. Finished with mother of pearl buttoons.</v>
      </c>
      <c r="G44" s="11"/>
      <c r="H44" s="11"/>
      <c r="I44" s="11" t="str">
        <f>IFERROR(__xludf.DUMMYFUNCTION("""COMPUTED_VALUE"""),"keri-black-linen")</f>
        <v>keri-black-linen</v>
      </c>
    </row>
    <row r="45">
      <c r="A45" s="11" t="str">
        <f>IFERROR(__xludf.DUMMYFUNCTION("""COMPUTED_VALUE"""),"Livid Femme")</f>
        <v>Livid Femme</v>
      </c>
      <c r="B45" s="11" t="str">
        <f>IFERROR(__xludf.DUMMYFUNCTION("""COMPUTED_VALUE"""),"Singlet")</f>
        <v>Singlet</v>
      </c>
      <c r="C45" s="11" t="str">
        <f>IFERROR(__xludf.DUMMYFUNCTION("""COMPUTED_VALUE"""),"eva-bone")</f>
        <v>eva-bone</v>
      </c>
      <c r="D45" s="11" t="str">
        <f>IFERROR(__xludf.DUMMYFUNCTION("""COMPUTED_VALUE"""),"Eva Bone")</f>
        <v>Eva Bone</v>
      </c>
      <c r="E45" s="11"/>
      <c r="F45" s="11"/>
      <c r="G45" s="11"/>
      <c r="H45" s="11"/>
      <c r="I45" s="11"/>
    </row>
    <row r="46">
      <c r="A46" s="11" t="str">
        <f>IFERROR(__xludf.DUMMYFUNCTION("""COMPUTED_VALUE"""),"Livid Femme")</f>
        <v>Livid Femme</v>
      </c>
      <c r="B46" s="11" t="str">
        <f>IFERROR(__xludf.DUMMYFUNCTION("""COMPUTED_VALUE"""),"Singlet")</f>
        <v>Singlet</v>
      </c>
      <c r="C46" s="11" t="str">
        <f>IFERROR(__xludf.DUMMYFUNCTION("""COMPUTED_VALUE"""),"eva-magnet")</f>
        <v>eva-magnet</v>
      </c>
      <c r="D46" s="11" t="str">
        <f>IFERROR(__xludf.DUMMYFUNCTION("""COMPUTED_VALUE"""),"Eva Magnet")</f>
        <v>Eva Magnet</v>
      </c>
      <c r="E46" s="11" t="str">
        <f>IFERROR(__xludf.DUMMYFUNCTION("""COMPUTED_VALUE"""),"Made in Portugal
Our jersey top Eva is one of our jersey essentials. Eva is made in a soft pure cotton jersey knitted in Portugal.
Eva features a slim shape, wide neck opening with a narrow jersey rib at neck and sleeve opening.
The shape gives a relax"&amp;"ed silhouette and a perfect complement to any outfit.
The garment features:
- 100% cotton
- 150 gsm pre-shrunk jersey
- Sewn with strong poly core cotton thread
- Jersey knitted at Etevimol in Portugal
- Made at Texgoios in Portugal")</f>
        <v>Made in Portugal
Our jersey top Eva is one of our jersey essentials. Eva is made in a soft pure cotton jersey knitted in Portugal.
Eva features a slim shape, wide neck opening with a narrow jersey rib at neck and sleeve opening.
The shape gives a relaxed silhouette and a perfect complement to any outfit.
The garment features:
- 100% cotton
- 150 gsm pre-shrunk jersey
- Sewn with strong poly core cotton thread
- Jersey knitted at Etevimol in Portugal
- Made at Texgoios in Portugal</v>
      </c>
      <c r="F46" s="11" t="str">
        <f>IFERROR(__xludf.DUMMYFUNCTION("""COMPUTED_VALUE"""),"Eva features a slim shape, wide neck opening with a narrow jersey rib at neck and sleeve opening. The shape gives a relaxed silhouette and a perfect complement to any outfit.")</f>
        <v>Eva features a slim shape, wide neck opening with a narrow jersey rib at neck and sleeve opening. The shape gives a relaxed silhouette and a perfect complement to any outfit.</v>
      </c>
      <c r="G46" s="11"/>
      <c r="H46" s="11" t="str">
        <f>IFERROR(__xludf.DUMMYFUNCTION("""COMPUTED_VALUE"""),"eva-black, eva-white")</f>
        <v>eva-black, eva-white</v>
      </c>
      <c r="I46" s="11" t="str">
        <f>IFERROR(__xludf.DUMMYFUNCTION("""COMPUTED_VALUE"""),"keri-japan-dawn, 001-stealth-black-w")</f>
        <v>keri-japan-dawn, 001-stealth-black-w</v>
      </c>
    </row>
    <row r="47">
      <c r="A47" s="11" t="str">
        <f>IFERROR(__xludf.DUMMYFUNCTION("""COMPUTED_VALUE"""),"Livid Femme")</f>
        <v>Livid Femme</v>
      </c>
      <c r="B47" s="11" t="str">
        <f>IFERROR(__xludf.DUMMYFUNCTION("""COMPUTED_VALUE"""),"Jeans")</f>
        <v>Jeans</v>
      </c>
      <c r="C47" s="11" t="str">
        <f>IFERROR(__xludf.DUMMYFUNCTION("""COMPUTED_VALUE"""),"faye-japan-dawn")</f>
        <v>faye-japan-dawn</v>
      </c>
      <c r="D47" s="11" t="str">
        <f>IFERROR(__xludf.DUMMYFUNCTION("""COMPUTED_VALUE"""),"Faye Japan Dawn")</f>
        <v>Faye Japan Dawn</v>
      </c>
      <c r="E47" s="11" t="str">
        <f>IFERROR(__xludf.DUMMYFUNCTION("""COMPUTED_VALUE"""),"Made in Portugal
Introducing Faye, our rigid curved straight fit. Made in a Japanese denim quality, 100% cotton, washed for a soft handfeel. Faye is curved at the waist giving a great fit, with a straight silhouette that slightly tapers at the leg openin"&amp;"g. A very classic, but super relevant fit in this moment, that goes perfectly with your favourite pair of boots.
Faye Japan Dawn features our mid-blue wash, made in a solid 13 Oz 100% cotton denim from the renowned Japanese denim mill Kuroki. Soft to the"&amp;" touch, the Japan Dawn reveals an incredible depth of colour and wonderful texture, due to the long-fibred indigo rope-dyed yarns of the fabric. Not too light, and not too dark, the Japan Dawn strikes the perfect balance for your everyday mid-blue needs. "&amp;"A definite essential.
Details &amp; Features
- Mid-blue washed rope-dyed indigo denim
- 13 Oz wideloom denim from Kuroki, Japan
- 100% Sanforized cotton
- Warp dyed in indigo, natural coloured weft
- 8 Oz ecru canvas pocketing
- Tanned leather patch w/ wax t"&amp;"reatment, Made in Italy.
- YKK two-prongtack, silver button fly
- YKK solid copper washed-burr rivets
- Stitched with poly core cotton thread
- Made at Lisama, Portugal
Model is 178 cm and wears a size 26/34.
Available sizes are 25-32 in 32” inseam, and"&amp;" 26-33 in 34 inseam.""")</f>
        <v>Made in Portugal
Introducing Faye, our rigid curved straight fit. Made in a Japanese denim quality, 100% cotton, washed for a soft handfeel. Faye is curved at the waist giving a great fit, with a straight silhouette that slightly tapers at the leg opening. A very classic, but super relevant fit in this moment, that goes perfectly with your favourite pair of boots.
Faye Japan Dawn features our mid-blue wash, made in a solid 13 Oz 100% cotton denim from the renowned Japanese denim mill Kuroki. Soft to the touch, the Japan Dawn reveals an incredible depth of colour and wonderful texture, due to the long-fibred indigo rope-dyed yarns of the fabric. Not too light, and not too dark, the Japan Dawn strikes the perfect balance for your everyday mid-blue needs. A definite essential.
Details &amp; Features
- Mid-blue washed rope-dyed indigo denim
- 13 Oz wideloom denim from Kuroki, Japan
- 100% Sanforized cotton
- Warp dyed in indigo, natural coloured weft
- 8 Oz ecru canvas pocketing
- Tanned leather patch w/ wax treatment, Made in Italy.
- YKK two-prongtack, silver button fly
- YKK solid copper washed-burr rivets
- Stitched with poly core cotton thread
- Made at Lisama, Portugal
Model is 178 cm and wears a size 26/34.
Available sizes are 25-32 in 32” inseam, and 26-33 in 34 inseam."</v>
      </c>
      <c r="F47" s="11" t="str">
        <f>IFERROR(__xludf.DUMMYFUNCTION("""COMPUTED_VALUE"""),"Introducing Faye, our rigid curved straight fit. Made in a Japanese denim quality, 100% cotton, washed for a soft handfeel. Perfectly pairs with your favourite boots.")</f>
        <v>Introducing Faye, our rigid curved straight fit. Made in a Japanese denim quality, 100% cotton, washed for a soft handfeel. Perfectly pairs with your favourite boots.</v>
      </c>
      <c r="G47" s="11"/>
      <c r="H47" s="11" t="str">
        <f>IFERROR(__xludf.DUMMYFUNCTION("""COMPUTED_VALUE"""),"faye-japan-shadow, faye-japan-mole")</f>
        <v>faye-japan-shadow, faye-japan-mole</v>
      </c>
      <c r="I47" s="11"/>
    </row>
    <row r="48">
      <c r="A48" s="11" t="str">
        <f>IFERROR(__xludf.DUMMYFUNCTION("""COMPUTED_VALUE"""),"Livid Femme")</f>
        <v>Livid Femme</v>
      </c>
      <c r="B48" s="11" t="str">
        <f>IFERROR(__xludf.DUMMYFUNCTION("""COMPUTED_VALUE"""),"Jeans")</f>
        <v>Jeans</v>
      </c>
      <c r="C48" s="11" t="str">
        <f>IFERROR(__xludf.DUMMYFUNCTION("""COMPUTED_VALUE"""),"faye-japan-shadow")</f>
        <v>faye-japan-shadow</v>
      </c>
      <c r="D48" s="11" t="str">
        <f>IFERROR(__xludf.DUMMYFUNCTION("""COMPUTED_VALUE"""),"Faye Japan Shadow")</f>
        <v>Faye Japan Shadow</v>
      </c>
      <c r="E48" s="11" t="str">
        <f>IFERROR(__xludf.DUMMYFUNCTION("""COMPUTED_VALUE"""),"Made in Portugal
Faye, our rigid curved straight fit.
Made in a Japanese denim quality, 100% cotton, washed for a soft handfeel. Faye is curved at the waist giving a great fit, with a straight silhouette that slightly tapers at the leg opening. A very c"&amp;"lassic, but super relevant fit in this moment, that goes perfectly with your favourite pair of boots.
Faye Japan Shadow is made from a 13 Oz 100% cotton, black wideloom denim woven by the renowned Japanese fabric mill, Kuroki. Washed down to a lived-in l"&amp;"ook. The Japan Shadow achieves a subtle depth and texture to the greying black, thanks to the 
special dyeing technique called rope dye, where the yarns are dipped in short intervals between oxidation. This prevents the colour from completely penetrating "&amp;"the core of the fibres, leaving it fresh, natural and untouched. When the layers of black colour wears off the surface of the yarns, the natural coloured cotton core will appear, leaving a contrast fade throughout the jeans.
Details &amp; Features
- 13 Oz wi"&amp;"deloom denim from Kuroki, Japan
- 100% Sanforized cotton
- Warp &amp; Weft sulphur dyed black
- 8 Oz 5 Oz ecru canvas pocketing
- Black leather patch w/ wax treatment, Made in Italy.
- YKK two-prongtack, silver button and zip fly
- YKK solid copper washed-bur"&amp;"r rivets
- Stitched with poly core cotton thread
- Made at Lisama, Portugal
Model is 178 cm and wears a size 26/34.
Available sizes are 25-32 in 32” inseam, and 26-33 in 34"" inseam.")</f>
        <v>Made in Portugal
Faye, our rigid curved straight fit.
Made in a Japanese denim quality, 100% cotton, washed for a soft handfeel. Faye is curved at the waist giving a great fit, with a straight silhouette that slightly tapers at the leg opening. A very classic, but super relevant fit in this moment, that goes perfectly with your favourite pair of boots.
Faye Japan Shadow is made from a 13 Oz 100% cotton, black wideloom denim woven by the renowned Japanese fabric mill, Kuroki. Washed down to a lived-in look. The Japan Shadow achieves a subtle depth and texture to the greying black, thanks to the 
special dyeing technique called rope dye, where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Details &amp; Features
- 13 Oz wideloom denim from Kuroki, Japan
- 100% Sanforized cotton
- Warp &amp; Weft sulphur dyed black
- 8 Oz 5 Oz ecru canvas pocketing
- Black leather patch w/ wax treatment, Made in Italy.
- YKK two-prongtack, silver button and zip fly
- YKK solid copper washed-burr rivets
- Stitched with poly core cotton thread
- Made at Lisama, Portugal
Model is 178 cm and wears a size 26/34.
Available sizes are 25-32 in 32” inseam, and 26-33 in 34" inseam.</v>
      </c>
      <c r="F48" s="11" t="str">
        <f>IFERROR(__xludf.DUMMYFUNCTION("""COMPUTED_VALUE"""),"Curved at the waist for a great fit, straight silhouette that tapers slightly at the leg opening. Classic, but super relevant, perfect with your favorite boots.")</f>
        <v>Curved at the waist for a great fit, straight silhouette that tapers slightly at the leg opening. Classic, but super relevant, perfect with your favorite boots.</v>
      </c>
      <c r="G48" s="11"/>
      <c r="H48" s="11" t="str">
        <f>IFERROR(__xludf.DUMMYFUNCTION("""COMPUTED_VALUE"""),"faye-japan-dawn, faye-japan-mole")</f>
        <v>faye-japan-dawn, faye-japan-mole</v>
      </c>
      <c r="I48" s="11"/>
    </row>
    <row r="49">
      <c r="A49" s="11" t="str">
        <f>IFERROR(__xludf.DUMMYFUNCTION("""COMPUTED_VALUE"""),"Livid Femme")</f>
        <v>Livid Femme</v>
      </c>
      <c r="B49" s="11" t="str">
        <f>IFERROR(__xludf.DUMMYFUNCTION("""COMPUTED_VALUE"""),"Trouser")</f>
        <v>Trouser</v>
      </c>
      <c r="C49" s="11" t="str">
        <f>IFERROR(__xludf.DUMMYFUNCTION("""COMPUTED_VALUE"""),"fir-black")</f>
        <v>fir-black</v>
      </c>
      <c r="D49" s="11" t="str">
        <f>IFERROR(__xludf.DUMMYFUNCTION("""COMPUTED_VALUE"""),"Fir Black")</f>
        <v>Fir Black</v>
      </c>
      <c r="E49" s="11" t="str">
        <f>IFERROR(__xludf.DUMMYFUNCTION("""COMPUTED_VALUE"""),"Made in Portugal
Fir, our front pleat trouser. Constructed with a low rise, the Fir sits at the hip, flowing down to a wide leg opening.
Made in a light wool blend suiting fabric woven by Albano Morgado in Portugal, which is wrinkle resistant with a sha"&amp;"rp press fold. The light tropical wool weight of the fabric combined with the wide pleated fit of the Fir trousers, creates an elegant drape with fluid movement. ")</f>
        <v>Made in Portugal
Fir, our front pleat trouser. Constructed with a low rise, the Fir sits at the hip, flowing down to a wide leg opening.
Made in a light wool blend suiting fabric woven by Albano Morgado in Portugal, which is wrinkle resistant with a sharp press fold. The light tropical wool weight of the fabric combined with the wide pleated fit of the Fir trousers, creates an elegant drape with fluid movement. </v>
      </c>
      <c r="F49" s="11" t="str">
        <f>IFERROR(__xludf.DUMMYFUNCTION("""COMPUTED_VALUE"""),"Fir, our wide pleated trousers.")</f>
        <v>Fir, our wide pleated trousers.</v>
      </c>
      <c r="G49" s="11" t="str">
        <f>IFERROR(__xludf.DUMMYFUNCTION("""COMPUTED_VALUE"""),"- 55% Polyester, 45% Wool Tropical wool blend
- Woven by Albano Morgado in Portugal
- YKK zip fly with silver metal hook and eye closure
- Stitched with durable poly-core cotton thread
- Made at JMF, Portugal")</f>
        <v>- 55% Polyester, 45% Wool Tropical wool blend
- Woven by Albano Morgado in Portugal
- YKK zip fly with silver metal hook and eye closure
- Stitched with durable poly-core cotton thread
- Made at JMF, Portugal</v>
      </c>
      <c r="H49" s="11"/>
      <c r="I49" s="11"/>
    </row>
    <row r="50">
      <c r="A50" s="11" t="str">
        <f>IFERROR(__xludf.DUMMYFUNCTION("""COMPUTED_VALUE"""),"Livid Femme")</f>
        <v>Livid Femme</v>
      </c>
      <c r="B50" s="11" t="str">
        <f>IFERROR(__xludf.DUMMYFUNCTION("""COMPUTED_VALUE"""),"Jersey")</f>
        <v>Jersey</v>
      </c>
      <c r="C50" s="11" t="str">
        <f>IFERROR(__xludf.DUMMYFUNCTION("""COMPUTED_VALUE"""),"forte-black")</f>
        <v>forte-black</v>
      </c>
      <c r="D50" s="11" t="str">
        <f>IFERROR(__xludf.DUMMYFUNCTION("""COMPUTED_VALUE"""),"Forte Black")</f>
        <v>Forte Black</v>
      </c>
      <c r="E50" s="11"/>
      <c r="F50" s="11"/>
      <c r="G50" s="11"/>
      <c r="H50" s="11"/>
      <c r="I50" s="11"/>
    </row>
    <row r="51">
      <c r="A51" s="11" t="str">
        <f>IFERROR(__xludf.DUMMYFUNCTION("""COMPUTED_VALUE"""),"Livid Femme")</f>
        <v>Livid Femme</v>
      </c>
      <c r="B51" s="11" t="str">
        <f>IFERROR(__xludf.DUMMYFUNCTION("""COMPUTED_VALUE"""),"Dress")</f>
        <v>Dress</v>
      </c>
      <c r="C51" s="11" t="str">
        <f>IFERROR(__xludf.DUMMYFUNCTION("""COMPUTED_VALUE"""),"franca-black")</f>
        <v>franca-black</v>
      </c>
      <c r="D51" s="11" t="str">
        <f>IFERROR(__xludf.DUMMYFUNCTION("""COMPUTED_VALUE"""),"Franca Black")</f>
        <v>Franca Black</v>
      </c>
      <c r="E51" s="11" t="str">
        <f>IFERROR(__xludf.DUMMYFUNCTION("""COMPUTED_VALUE"""),"Made in China
Franca is a pinched waist dress that eleganly finishes in an full A-line hem. The high-collared neckline offers structure to the draped silhouette.
Made in a beautiful crepe fabric woven by Komon Koubou in Japan, the Franca dress exhibits "&amp;"a fluid and elegant drape, while feeling light and breathable on the skin.
Details
- Polyester crepe woven by Komon Koubou in Japan
- Zipper at back of neck, made by YKK
- Stitched with durable poly core thread
- Cut &amp; Sewn by Yinmao, China")</f>
        <v>Made in China
Franca is a pinched waist dress that eleganly finishes in an full A-line hem. The high-collared neckline offers structure to the draped silhouette.
Made in a beautiful crepe fabric woven by Komon Koubou in Japan, the Franca dress exhibits a fluid and elegant drape, while feeling light and breathable on the skin.
Details
- Polyester crepe woven by Komon Koubou in Japan
- Zipper at back of neck, made by YKK
- Stitched with durable poly core thread
- Cut &amp; Sewn by Yinmao, China</v>
      </c>
      <c r="F51" s="11" t="str">
        <f>IFERROR(__xludf.DUMMYFUNCTION("""COMPUTED_VALUE"""),"Franca, our pinched waist dress in a Japanese crepe fabric.")</f>
        <v>Franca, our pinched waist dress in a Japanese crepe fabric.</v>
      </c>
      <c r="G51" s="11"/>
      <c r="H51" s="11"/>
      <c r="I51" s="11"/>
    </row>
    <row r="52">
      <c r="A52" s="11" t="str">
        <f>IFERROR(__xludf.DUMMYFUNCTION("""COMPUTED_VALUE"""),"Livid Femme")</f>
        <v>Livid Femme</v>
      </c>
      <c r="B52" s="11" t="str">
        <f>IFERROR(__xludf.DUMMYFUNCTION("""COMPUTED_VALUE"""),"Dress")</f>
        <v>Dress</v>
      </c>
      <c r="C52" s="11" t="str">
        <f>IFERROR(__xludf.DUMMYFUNCTION("""COMPUTED_VALUE"""),"harper-black")</f>
        <v>harper-black</v>
      </c>
      <c r="D52" s="11" t="str">
        <f>IFERROR(__xludf.DUMMYFUNCTION("""COMPUTED_VALUE"""),"Harper Black")</f>
        <v>Harper Black</v>
      </c>
      <c r="E52" s="11" t="str">
        <f>IFERROR(__xludf.DUMMYFUNCTION("""COMPUTED_VALUE"""),"Made in Portugal
Introducing Harper, our full length rib jersey dress. Made in a soft 100% cotton rib jersey knitted in Portugal.
Harper features a slim fitted shape with an open neck opening, and ends with a full-length, slightly flared skirt.
The gar"&amp;"ment features:
- 100% cotton
- Constructed with durable poly-core cotton thread- Pre-shrunk rib jersey, knitted at Etevimol, Portugal
- Made at Texgoios in Portugal")</f>
        <v>Made in Portugal
Introducing Harper, our full length rib jersey dress. Made in a soft 100% cotton rib jersey knitted in Portugal.
Harper features a slim fitted shape with an open neck opening, and ends with a full-length, slightly flared skirt.
The garment features:
- 100% cotton
- Constructed with durable poly-core cotton thread- Pre-shrunk rib jersey, knitted at Etevimol, Portugal
- Made at Texgoios in Portugal</v>
      </c>
      <c r="F52" s="11" t="str">
        <f>IFERROR(__xludf.DUMMYFUNCTION("""COMPUTED_VALUE"""),"Harper, our full length rib jersey dress.")</f>
        <v>Harper, our full length rib jersey dress.</v>
      </c>
      <c r="G52" s="11"/>
      <c r="H52" s="11"/>
      <c r="I52" s="11" t="str">
        <f>IFERROR(__xludf.DUMMYFUNCTION("""COMPUTED_VALUE"""),"001-stealth-black-w")</f>
        <v>001-stealth-black-w</v>
      </c>
    </row>
    <row r="53">
      <c r="A53" s="11" t="str">
        <f>IFERROR(__xludf.DUMMYFUNCTION("""COMPUTED_VALUE"""),"Livid Femme")</f>
        <v>Livid Femme</v>
      </c>
      <c r="B53" s="11" t="str">
        <f>IFERROR(__xludf.DUMMYFUNCTION("""COMPUTED_VALUE"""),"Knitwear")</f>
        <v>Knitwear</v>
      </c>
      <c r="C53" s="11" t="str">
        <f>IFERROR(__xludf.DUMMYFUNCTION("""COMPUTED_VALUE"""),"heist-charcoal")</f>
        <v>heist-charcoal</v>
      </c>
      <c r="D53" s="11" t="str">
        <f>IFERROR(__xludf.DUMMYFUNCTION("""COMPUTED_VALUE"""),"Heist Charcoal")</f>
        <v>Heist Charcoal</v>
      </c>
      <c r="E53" s="11" t="str">
        <f>IFERROR(__xludf.DUMMYFUNCTION("""COMPUTED_VALUE"""),"Made in China 
Made in pure merino wool, boiled to acheive a perfect balance between warmth, breathabilty and softness. The weight of the boiled merino wool gives the Heist skirt a soft and heavy drape.
The Heist skirt is made to be full length, constru"&amp;"cted with a ribbed elastic waist, allowing it to be worn high or lower depending on preference.
Made to match the Mercer sweater for a full set, which can also be worn as separates.")</f>
        <v>Made in China 
Made in pure merino wool, boiled to acheive a perfect balance between warmth, breathabilty and softness. The weight of the boiled merino wool gives the Heist skirt a soft and heavy drape.
The Heist skirt is made to be full length, constructed with a ribbed elastic waist, allowing it to be worn high or lower depending on preference.
Made to match the Mercer sweater for a full set, which can also be worn as separates.</v>
      </c>
      <c r="F53" s="11" t="str">
        <f>IFERROR(__xludf.DUMMYFUNCTION("""COMPUTED_VALUE"""),"Heist, our boiled merino wool skirt.")</f>
        <v>Heist, our boiled merino wool skirt.</v>
      </c>
      <c r="G53" s="11" t="str">
        <f>IFERROR(__xludf.DUMMYFUNCTION("""COMPUTED_VALUE"""),"- 100% merino wool, boiled
- Merino wool yarn spun in Italy by Tollegno 1900
- Warm, breathable and hardwearing
- Knitted by Goldfine in China")</f>
        <v>- 100% merino wool, boiled
- Merino wool yarn spun in Italy by Tollegno 1900
- Warm, breathable and hardwearing
- Knitted by Goldfine in China</v>
      </c>
      <c r="H53" s="11" t="str">
        <f>IFERROR(__xludf.DUMMYFUNCTION("""COMPUTED_VALUE"""),"mercer-charcoal-melange")</f>
        <v>mercer-charcoal-melange</v>
      </c>
      <c r="I53" s="11" t="str">
        <f>IFERROR(__xludf.DUMMYFUNCTION("""COMPUTED_VALUE"""),"mercer-charcoal-melange")</f>
        <v>mercer-charcoal-melange</v>
      </c>
    </row>
    <row r="54">
      <c r="A54" s="11" t="str">
        <f>IFERROR(__xludf.DUMMYFUNCTION("""COMPUTED_VALUE"""),"Livid Femme")</f>
        <v>Livid Femme</v>
      </c>
      <c r="B54" s="11" t="str">
        <f>IFERROR(__xludf.DUMMYFUNCTION("""COMPUTED_VALUE"""),"T-Shirt")</f>
        <v>T-Shirt</v>
      </c>
      <c r="C54" s="11" t="str">
        <f>IFERROR(__xludf.DUMMYFUNCTION("""COMPUTED_VALUE"""),"hyde-tee-black")</f>
        <v>hyde-tee-black</v>
      </c>
      <c r="D54" s="11" t="str">
        <f>IFERROR(__xludf.DUMMYFUNCTION("""COMPUTED_VALUE"""),"Hyde Tee Black")</f>
        <v>Hyde Tee Black</v>
      </c>
      <c r="E54" s="11" t="str">
        <f>IFERROR(__xludf.DUMMYFUNCTION("""COMPUTED_VALUE"""),"Made in Portugal
Introducing the Hyde Tee. Hyde is a lighter shrunk-fit tee with a short and precise fit and a slightly looser neckline.
Made from a pre-shrunk 100% cotton jersey, knitted in a lighter weight than our regular tees for a fluid drape and e"&amp;"asier feel.
The garment features:
- 100% cotton
- 150 gsm pre-shrunk jersey
- Sewn with durable poly-core cotton thread
- Jersey knitted at Etevimol in Portugal
- Made at Texgoios in Portugal")</f>
        <v>Made in Portugal
Introducing the Hyde Tee. Hyde is a lighter shrunk-fit tee with a short and precise fit and a slightly looser neckline.
Made from a pre-shrunk 100% cotton jersey, knitted in a lighter weight than our regular tees for a fluid drape and easier feel.
The garment features:
- 100% cotton
- 150 gsm pre-shrunk jersey
- Sewn with durable poly-core cotton thread
- Jersey knitted at Etevimol in Portugal
- Made at Texgoios in Portugal</v>
      </c>
      <c r="F54" s="11" t="str">
        <f>IFERROR(__xludf.DUMMYFUNCTION("""COMPUTED_VALUE"""),"Hyde, our shrunk-fit T-shirt.")</f>
        <v>Hyde, our shrunk-fit T-shirt.</v>
      </c>
      <c r="G54" s="11"/>
      <c r="H54" s="11" t="str">
        <f>IFERROR(__xludf.DUMMYFUNCTION("""COMPUTED_VALUE"""),"hyde-tee-white")</f>
        <v>hyde-tee-white</v>
      </c>
      <c r="I54" s="11" t="str">
        <f>IFERROR(__xludf.DUMMYFUNCTION("""COMPUTED_VALUE"""),"keri-japan-gravel")</f>
        <v>keri-japan-gravel</v>
      </c>
    </row>
    <row r="55">
      <c r="A55" s="11" t="str">
        <f>IFERROR(__xludf.DUMMYFUNCTION("""COMPUTED_VALUE"""),"Livid Femme")</f>
        <v>Livid Femme</v>
      </c>
      <c r="B55" s="11" t="str">
        <f>IFERROR(__xludf.DUMMYFUNCTION("""COMPUTED_VALUE"""),"T-Shirt")</f>
        <v>T-Shirt</v>
      </c>
      <c r="C55" s="11" t="str">
        <f>IFERROR(__xludf.DUMMYFUNCTION("""COMPUTED_VALUE"""),"hyde-tee-white")</f>
        <v>hyde-tee-white</v>
      </c>
      <c r="D55" s="11" t="str">
        <f>IFERROR(__xludf.DUMMYFUNCTION("""COMPUTED_VALUE"""),"Hyde Tee White")</f>
        <v>Hyde Tee White</v>
      </c>
      <c r="E55" s="11" t="str">
        <f>IFERROR(__xludf.DUMMYFUNCTION("""COMPUTED_VALUE"""),"Made in Portugal
Introducing the Hyde Tee. Hyde is a lighter shrunk-fit tee with a short and precise fit and a slightly looser neckline.
Made from a pre-shrunk 100% cotton jersey, knitted in a lighter weight than our regular tees for a fluid drape and e"&amp;"asier feel.
The garment features:
- 100% cotton
- 150 gsm pre-shrunk jersey
- Sewn with durable poly-core cotton thread
- Jersey knitted at Etevimol in Portugal
- Made at Texgoios in Portugal")</f>
        <v>Made in Portugal
Introducing the Hyde Tee. Hyde is a lighter shrunk-fit tee with a short and precise fit and a slightly looser neckline.
Made from a pre-shrunk 100% cotton jersey, knitted in a lighter weight than our regular tees for a fluid drape and easier feel.
The garment features:
- 100% cotton
- 150 gsm pre-shrunk jersey
- Sewn with durable poly-core cotton thread
- Jersey knitted at Etevimol in Portugal
- Made at Texgoios in Portugal</v>
      </c>
      <c r="F55" s="11" t="str">
        <f>IFERROR(__xludf.DUMMYFUNCTION("""COMPUTED_VALUE"""),"Hyde, our shrunk-fit T-shirt.")</f>
        <v>Hyde, our shrunk-fit T-shirt.</v>
      </c>
      <c r="G55" s="11"/>
      <c r="H55" s="11" t="str">
        <f>IFERROR(__xludf.DUMMYFUNCTION("""COMPUTED_VALUE"""),"hyde-tee-black")</f>
        <v>hyde-tee-black</v>
      </c>
      <c r="I55" s="11" t="str">
        <f>IFERROR(__xludf.DUMMYFUNCTION("""COMPUTED_VALUE"""),"beth-low-japan-dive")</f>
        <v>beth-low-japan-dive</v>
      </c>
    </row>
    <row r="56">
      <c r="A56" s="11" t="str">
        <f>IFERROR(__xludf.DUMMYFUNCTION("""COMPUTED_VALUE"""),"Livid Femme")</f>
        <v>Livid Femme</v>
      </c>
      <c r="B56" s="11" t="str">
        <f>IFERROR(__xludf.DUMMYFUNCTION("""COMPUTED_VALUE"""),"T-Shirt")</f>
        <v>T-Shirt</v>
      </c>
      <c r="C56" s="11" t="str">
        <f>IFERROR(__xludf.DUMMYFUNCTION("""COMPUTED_VALUE"""),"ida-black")</f>
        <v>ida-black</v>
      </c>
      <c r="D56" s="11" t="str">
        <f>IFERROR(__xludf.DUMMYFUNCTION("""COMPUTED_VALUE"""),"Ida Black")</f>
        <v>Ida Black</v>
      </c>
      <c r="E56" s="11" t="str">
        <f>IFERROR(__xludf.DUMMYFUNCTION("""COMPUTED_VALUE"""),"Made in Portugal
The Ida is made from a pre-shrunk 100% organic cotton jersey exclusively made for Livid in Portugal. This is the same jersey fabric we've used on our men's Richmond tee for many years, especially popular for its durability and comfortabl"&amp;"e handfeel. Made in our classic t-shirt fit, Ida. A regular slim fit built to rest close to the body for consistency of comfort. A wardrobe essential regardless of seasonal trends.
The garment features:
- 100% pre-shrunk organic cotton
- 220 gsm jersey
-"&amp;" Tonal Livid embroidery on the chest
- Made at Texgoios in Portugal.
Go to our fit guide to read more about the Ida.
Available in size XS to XL. 
How it's made")</f>
        <v>Made in Portugal
The Ida is made from a pre-shrunk 100% organic cotton jersey exclusively made for Livid in Portugal. This is the same jersey fabric we've used on our men's Richmond tee for many years, especially popular for its durability and comfortable handfeel. Made in our classic t-shirt fit, Ida. A regular slim fit built to rest close to the body for consistency of comfort. A wardrobe essential regardless of seasonal trends.
The garment features:
- 100% pre-shrunk organic cotton
- 220 gsm jersey
- Tonal Livid embroidery on the chest
- Made at Texgoios in Portugal.
Go to our fit guide to read more about the Ida.
Available in size XS to XL. 
How it's made</v>
      </c>
      <c r="F56" s="11" t="str">
        <f>IFERROR(__xludf.DUMMYFUNCTION("""COMPUTED_VALUE"""),"Our classic fit T-shirt Ida.")</f>
        <v>Our classic fit T-shirt Ida.</v>
      </c>
      <c r="G56" s="11"/>
      <c r="H56" s="11" t="str">
        <f>IFERROR(__xludf.DUMMYFUNCTION("""COMPUTED_VALUE"""),"ida-white, ida-violet")</f>
        <v>ida-white, ida-violet</v>
      </c>
      <c r="I56" s="11" t="str">
        <f>IFERROR(__xludf.DUMMYFUNCTION("""COMPUTED_VALUE"""),"beth-low-japan-dive")</f>
        <v>beth-low-japan-dive</v>
      </c>
    </row>
    <row r="57">
      <c r="A57" s="11" t="str">
        <f>IFERROR(__xludf.DUMMYFUNCTION("""COMPUTED_VALUE"""),"Livid Femme")</f>
        <v>Livid Femme</v>
      </c>
      <c r="B57" s="11" t="str">
        <f>IFERROR(__xludf.DUMMYFUNCTION("""COMPUTED_VALUE"""),"T-Shirt")</f>
        <v>T-Shirt</v>
      </c>
      <c r="C57" s="11" t="str">
        <f>IFERROR(__xludf.DUMMYFUNCTION("""COMPUTED_VALUE"""),"ida-shadow-washout")</f>
        <v>ida-shadow-washout</v>
      </c>
      <c r="D57" s="11" t="str">
        <f>IFERROR(__xludf.DUMMYFUNCTION("""COMPUTED_VALUE"""),"Ida Shadow Washout")</f>
        <v>Ida Shadow Washout</v>
      </c>
      <c r="E57" s="11" t="str">
        <f>IFERROR(__xludf.DUMMYFUNCTION("""COMPUTED_VALUE"""),"Made in Portugal
The Ida is made from our signature pre-shrunk 100% cotton jersey exclusively made for Livid in Portugal. This is the same jersey fabric we've used on our men's Richmond tee for a decade, especially popular for its durability and comforta"&amp;"ble handfeel.
Made in our classic t-shirt fit, Ida, featuring a regular slim fit. A wardrobe essential regardless of seasonal trends.")</f>
        <v>Made in Portugal
The Ida is made from our signature pre-shrunk 100% cotton jersey exclusively made for Livid in Portugal. This is the same jersey fabric we've used on our men's Richmond tee for a decade, especially popular for its durability and comfortable handfeel.
Made in our classic t-shirt fit, Ida, featuring a regular slim fit. A wardrobe essential regardless of seasonal trends.</v>
      </c>
      <c r="F57" s="11" t="str">
        <f>IFERROR(__xludf.DUMMYFUNCTION("""COMPUTED_VALUE"""),"Our classic fit t-shirt Ida, in a seasonal colour, Shadow washout.")</f>
        <v>Our classic fit t-shirt Ida, in a seasonal colour, Shadow washout.</v>
      </c>
      <c r="G57" s="11" t="str">
        <f>IFERROR(__xludf.DUMMYFUNCTION("""COMPUTED_VALUE"""),"- 100% pre-shrunk cotton
- 220 gsm pre-shrunk jersey
- Knitted by Etevimol in Portugal
- Tonal Livid embroidery on the chest- Poly core cotton thread
- Made at Texgoios in Portugal.")</f>
        <v>- 100% pre-shrunk cotton
- 220 gsm pre-shrunk jersey
- Knitted by Etevimol in Portugal
- Tonal Livid embroidery on the chest- Poly core cotton thread
- Made at Texgoios in Portugal.</v>
      </c>
      <c r="H57" s="11" t="str">
        <f>IFERROR(__xludf.DUMMYFUNCTION("""COMPUTED_VALUE"""),"ida-violet-washout, ida-white, ida-black, ida-violet")</f>
        <v>ida-violet-washout, ida-white, ida-black, ida-violet</v>
      </c>
      <c r="I57" s="11" t="str">
        <f>IFERROR(__xludf.DUMMYFUNCTION("""COMPUTED_VALUE"""),"keri-japan-black")</f>
        <v>keri-japan-black</v>
      </c>
    </row>
    <row r="58">
      <c r="A58" s="11" t="str">
        <f>IFERROR(__xludf.DUMMYFUNCTION("""COMPUTED_VALUE"""),"Livid Femme")</f>
        <v>Livid Femme</v>
      </c>
      <c r="B58" s="11" t="str">
        <f>IFERROR(__xludf.DUMMYFUNCTION("""COMPUTED_VALUE"""),"T-Shirt")</f>
        <v>T-Shirt</v>
      </c>
      <c r="C58" s="11" t="str">
        <f>IFERROR(__xludf.DUMMYFUNCTION("""COMPUTED_VALUE"""),"ida-violet-washout")</f>
        <v>ida-violet-washout</v>
      </c>
      <c r="D58" s="11" t="str">
        <f>IFERROR(__xludf.DUMMYFUNCTION("""COMPUTED_VALUE"""),"Ida Violet Washout")</f>
        <v>Ida Violet Washout</v>
      </c>
      <c r="E58" s="11" t="str">
        <f>IFERROR(__xludf.DUMMYFUNCTION("""COMPUTED_VALUE"""),"Made in Portugal
The Ida is made from our signature pre-shrunk 100% cotton jersey exclusively made for Livid in Portugal. This is the same jersey fabric we've used on our men's Richmond tee for a decade, especially popular for its durability and comforta"&amp;"ble handfeel.
Made in our classic t-shirt fit, Ida, featuring a regular slim fit. A wardrobe essential regardless of seasonal trends.")</f>
        <v>Made in Portugal
The Ida is made from our signature pre-shrunk 100% cotton jersey exclusively made for Livid in Portugal. This is the same jersey fabric we've used on our men's Richmond tee for a decade, especially popular for its durability and comfortable handfeel.
Made in our classic t-shirt fit, Ida, featuring a regular slim fit. A wardrobe essential regardless of seasonal trends.</v>
      </c>
      <c r="F58" s="11" t="str">
        <f>IFERROR(__xludf.DUMMYFUNCTION("""COMPUTED_VALUE"""),"Our classic fit t-shirt Ida, in a seasonal colour, Violet washout.")</f>
        <v>Our classic fit t-shirt Ida, in a seasonal colour, Violet washout.</v>
      </c>
      <c r="G58" s="11" t="str">
        <f>IFERROR(__xludf.DUMMYFUNCTION("""COMPUTED_VALUE"""),"- 100% pre-shrunk cotton
- 220 gsm pre-shrunk jersey
- Knitted by Etevimol in Portugal
- Tonal Livid embroidery on the chest- Poly core cotton thread
- Made at Texgoios in Portugal.")</f>
        <v>- 100% pre-shrunk cotton
- 220 gsm pre-shrunk jersey
- Knitted by Etevimol in Portugal
- Tonal Livid embroidery on the chest- Poly core cotton thread
- Made at Texgoios in Portugal.</v>
      </c>
      <c r="H58" s="11" t="str">
        <f>IFERROR(__xludf.DUMMYFUNCTION("""COMPUTED_VALUE"""),"ida-shadow-washout, ida-white, ida-black, ida-violet")</f>
        <v>ida-shadow-washout, ida-white, ida-black, ida-violet</v>
      </c>
      <c r="I58" s="11" t="str">
        <f>IFERROR(__xludf.DUMMYFUNCTION("""COMPUTED_VALUE"""),"keri-japan-black")</f>
        <v>keri-japan-black</v>
      </c>
    </row>
    <row r="59">
      <c r="A59" s="11" t="str">
        <f>IFERROR(__xludf.DUMMYFUNCTION("""COMPUTED_VALUE"""),"Livid Femme")</f>
        <v>Livid Femme</v>
      </c>
      <c r="B59" s="11" t="str">
        <f>IFERROR(__xludf.DUMMYFUNCTION("""COMPUTED_VALUE"""),"T-Shirt")</f>
        <v>T-Shirt</v>
      </c>
      <c r="C59" s="11" t="str">
        <f>IFERROR(__xludf.DUMMYFUNCTION("""COMPUTED_VALUE"""),"ida-white")</f>
        <v>ida-white</v>
      </c>
      <c r="D59" s="11" t="str">
        <f>IFERROR(__xludf.DUMMYFUNCTION("""COMPUTED_VALUE"""),"Ida White")</f>
        <v>Ida White</v>
      </c>
      <c r="E59" s="11" t="str">
        <f>IFERROR(__xludf.DUMMYFUNCTION("""COMPUTED_VALUE"""),"Made in Portugal
The Ida is made from a pre-shrunk 100% cotton jersey exclusively made for Livid in Portugal. This is the same jersey fabric we've used on our men's Richmond tee for many years, especially popular for its durability and comfortable handfe"&amp;"el.
Made in our classic t-shirt fit, Ida features a regular slim fit built to rest close to the body for consistency of comfort. A wardrobe essential regardless of seasonal trends.
The garment features:
- 100% pre-shrunk cotton
- 220 gsm jersey
- Tonal "&amp;"Livid embroidery on the chest- Poly core cotton thread
- Made at Texgoios in Portugal.
Model is 176 cm and wears a size small
Go to our fit guide to read more about the Ida. 
Available sizes xsmall to xlarge")</f>
        <v>Made in Portugal
The Ida is made from a pre-shrunk 100% cotton jersey exclusively made for Livid in Portugal. This is the same jersey fabric we've used on our men's Richmond tee for many years, especially popular for its durability and comfortable handfeel.
Made in our classic t-shirt fit, Ida features a regular slim fit built to rest close to the body for consistency of comfort. A wardrobe essential regardless of seasonal trends.
The garment features:
- 100% pre-shrunk cotton
- 220 gsm jersey
- Tonal Livid embroidery on the chest- Poly core cotton thread
- Made at Texgoios in Portugal.
Model is 176 cm and wears a size small
Go to our fit guide to read more about the Ida. 
Available sizes xsmall to xlarge</v>
      </c>
      <c r="F59" s="11" t="str">
        <f>IFERROR(__xludf.DUMMYFUNCTION("""COMPUTED_VALUE"""),"Our classic fit T-shirt Ida.")</f>
        <v>Our classic fit T-shirt Ida.</v>
      </c>
      <c r="G59" s="11"/>
      <c r="H59" s="11" t="str">
        <f>IFERROR(__xludf.DUMMYFUNCTION("""COMPUTED_VALUE"""),"ida-black, ida-violet")</f>
        <v>ida-black, ida-violet</v>
      </c>
      <c r="I59" s="11" t="str">
        <f>IFERROR(__xludf.DUMMYFUNCTION("""COMPUTED_VALUE"""),"joelle-japan-black")</f>
        <v>joelle-japan-black</v>
      </c>
    </row>
    <row r="60">
      <c r="A60" s="11" t="str">
        <f>IFERROR(__xludf.DUMMYFUNCTION("""COMPUTED_VALUE"""),"Livid Femme")</f>
        <v>Livid Femme</v>
      </c>
      <c r="B60" s="11" t="str">
        <f>IFERROR(__xludf.DUMMYFUNCTION("""COMPUTED_VALUE"""),"Jeans")</f>
        <v>Jeans</v>
      </c>
      <c r="C60" s="11" t="str">
        <f>IFERROR(__xludf.DUMMYFUNCTION("""COMPUTED_VALUE"""),"isla-japan-black")</f>
        <v>isla-japan-black</v>
      </c>
      <c r="D60" s="11" t="str">
        <f>IFERROR(__xludf.DUMMYFUNCTION("""COMPUTED_VALUE"""),"Isla Japan Black")</f>
        <v>Isla Japan Black</v>
      </c>
      <c r="E60" s="11" t="str">
        <f>IFERROR(__xludf.DUMMYFUNCTION("""COMPUTED_VALUE"""),"Made in Portugal
Introducing our new jeans model Isla, featuring a straight, relaxed leg and a mid-rise waist - a modern and endurable classic. Isla is constructed with a straighter waist from the hips up to the waistband, making it a good fit for person"&amp;"s with a straighter build.
Made from a 13 Oz 100% cotton, black wideloom denim woven by the renowned Japanese fabric mill, Kuroki. 
While all black denim will loose colour eventually, this particular denim fades in contrast after wear, evolving a beauti"&amp;"ful personal pattern. This is due a special technique called rope dye, whereas the yarns are dipped in short intervals between oxidation. This prevents the colour from completely penetrating the core of the fibres, leaving it fresh, natural and untouched."&amp;" When the layers of black colour wears off the surface of the yarns, the natural coloured cotton core will appear, leaving a contrast fade throughout the jeans.
Model is 178 cm and wears a size 26/34.
Made in a one-wash finish to increase softness of to"&amp;"uch.
Available sizes are 24-33 in 32” inseam and 26-34 in 34” inseam.")</f>
        <v>Made in Portugal
Introducing our new jeans model Isla, featuring a straight, relaxed leg and a mid-rise waist - a modern and endurable classic. Isla is constructed with a straighter waist from the hips up to the waistband, making it a good fit for persons with a straighter build.
Made from a 13 Oz 100% cotton, black wideloom denim woven by the renowned Japanese fabric mill, Kuroki. 
While all black denim will loose colour eventually, this particular denim fades in contrast after wear, evolving a beautiful personal pattern. This is due a special technique called rope dye, whereas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Model is 178 cm and wears a size 26/34.
Made in a one-wash finish to increase softness of touch.
Available sizes are 24-33 in 32” inseam and 26-34 in 34” inseam.</v>
      </c>
      <c r="F60" s="11" t="str">
        <f>IFERROR(__xludf.DUMMYFUNCTION("""COMPUTED_VALUE"""),"Our Isla jeans model features a straight, relaxed leg with a mid-rise waist. Perfect for a modern and classic look, fitting well for a straighter build.")</f>
        <v>Our Isla jeans model features a straight, relaxed leg with a mid-rise waist. Perfect for a modern and classic look, fitting well for a straighter build.</v>
      </c>
      <c r="G60" s="11"/>
      <c r="H60" s="11"/>
      <c r="I60" s="11"/>
    </row>
    <row r="61">
      <c r="A61" s="11" t="str">
        <f>IFERROR(__xludf.DUMMYFUNCTION("""COMPUTED_VALUE"""),"Livid Femme")</f>
        <v>Livid Femme</v>
      </c>
      <c r="B61" s="11" t="str">
        <f>IFERROR(__xludf.DUMMYFUNCTION("""COMPUTED_VALUE"""),"Jeans")</f>
        <v>Jeans</v>
      </c>
      <c r="C61" s="11" t="str">
        <f>IFERROR(__xludf.DUMMYFUNCTION("""COMPUTED_VALUE"""),"isla-japan-fade")</f>
        <v>isla-japan-fade</v>
      </c>
      <c r="D61" s="11" t="str">
        <f>IFERROR(__xludf.DUMMYFUNCTION("""COMPUTED_VALUE"""),"Isla Japan Fade")</f>
        <v>Isla Japan Fade</v>
      </c>
      <c r="E61" s="11" t="str">
        <f>IFERROR(__xludf.DUMMYFUNCTION("""COMPUTED_VALUE"""),"Made in Portugal
Introducing our new jeans model Isla, featuring a straight, relaxed leg and a mid-rise waist - a modern and endurable classic. Isla is constructed with a straighter waist from the hips up to the waistband, making it a good fit for person"&amp;"s with a straighter build. 
Made from a mid- to heavy weight selvage denim fabric developed exclusively for Livid by the renowned Japanese fabric mill, Kurabo. The same fabric we use for our Dry Selvage jeans, but here washed to perfection. A fade remini"&amp;"scent of your most beloved denims from way back when.
Details &amp; Features
- Light wash indigo selvage denim
- 14 Oz narrowloom selvage denim from Kurabo, Japan
- Exclusive rope dye denim fabric developed by Livid
- 100% Sanforized cotton
- Warp dyed in in"&amp;"digo, natural coloured weft
- 8 Oz ecru canvas pocketing
- Tanned leather patch w/ wax treatment, Made in Italy.
- YKK two-prongtack, silver button fly
- YKK solid copper washed-burr rivets
- Stitched with poly core cotton thread
- Made at Lisama, Portuga"&amp;"l
Model is 178 cm and wears a size 26/34.
Go to our fit guide to read more about Isla. 
Available sizes are 24-33 in 32” inseam and 26-34 in 34” inseam.")</f>
        <v>Made in Portugal
Introducing our new jeans model Isla, featuring a straight, relaxed leg and a mid-rise waist - a modern and endurable classic. Isla is constructed with a straighter waist from the hips up to the waistband, making it a good fit for persons with a straighter build. 
Made from a mid- to heavy weight selvage denim fabric developed exclusively for Livid by the renowned Japanese fabric mill, Kurabo. The same fabric we use for our Dry Selvage jeans, but here washed to perfection. A fade reminiscent of your most beloved denims from way back when.
Details &amp; Features
- Light wash indigo selvage denim
- 14 Oz narrowloom selvage denim from Kurabo, Japan
- Exclusive rope dye denim fabric developed by Livid
- 100% Sanforized cotton
- Warp dyed in indigo, natural coloured weft
- 8 Oz ecru canvas pocketing
- Tanned leather patch w/ wax treatment, Made in Italy.
- YKK two-prongtack, silver button fly
- YKK solid copper washed-burr rivets
- Stitched with poly core cotton thread
- Made at Lisama, Portugal
Model is 178 cm and wears a size 26/34.
Go to our fit guide to read more about Isla. 
Available sizes are 24-33 in 32” inseam and 26-34 in 34” inseam.</v>
      </c>
      <c r="F61" s="11" t="str">
        <f>IFERROR(__xludf.DUMMYFUNCTION("""COMPUTED_VALUE"""),"Introducing our new jeans, Isla, featuring a straight, relaxed leg and a mid-rise waist—a modern classic with a straighter waist for a good fit.")</f>
        <v>Introducing our new jeans, Isla, featuring a straight, relaxed leg and a mid-rise waist—a modern classic with a straighter waist for a good fit.</v>
      </c>
      <c r="G61" s="11"/>
      <c r="H61" s="11"/>
      <c r="I61" s="11"/>
    </row>
    <row r="62">
      <c r="A62" s="11" t="str">
        <f>IFERROR(__xludf.DUMMYFUNCTION("""COMPUTED_VALUE"""),"Livid Femme")</f>
        <v>Livid Femme</v>
      </c>
      <c r="B62" s="11" t="str">
        <f>IFERROR(__xludf.DUMMYFUNCTION("""COMPUTED_VALUE"""),"Jeans")</f>
        <v>Jeans</v>
      </c>
      <c r="C62" s="11" t="str">
        <f>IFERROR(__xludf.DUMMYFUNCTION("""COMPUTED_VALUE"""),"joelle-japan-black")</f>
        <v>joelle-japan-black</v>
      </c>
      <c r="D62" s="11" t="str">
        <f>IFERROR(__xludf.DUMMYFUNCTION("""COMPUTED_VALUE"""),"Joelle Japan Black")</f>
        <v>Joelle Japan Black</v>
      </c>
      <c r="E62" s="11" t="str">
        <f>IFERROR(__xludf.DUMMYFUNCTION("""COMPUTED_VALUE"""),"Made in Portugal
Joelle, our curved high-rise wide fit. Joelle is super high-waisted, curved into the waist and back, with a narrow waistband. Wide and straight from the hips down, with a very subtle taper towards the hem, creating an elegant, elongating"&amp;" wide silhouette.
Joelle Japan Black is made from a 13 Oz 100% cotton, black wideloom denim woven by the renowned Japanese fabric mill, Kuroki. 
Sulphur dyed for a black colour that stays black for a long time. While all black denim will lose colour eve"&amp;"ntually, this particular denim fades in contrast after wear, evolving a beautiful personal pattern. This is due a special technique called rope dye, whereas the yarns are dipped in short intervals between oxidation. This prevents the colour from completel"&amp;"y penetrating the core of the fibres, leaving it fresh, natural and untouched. When the layers of black colour wears off the surface of the yarns, the natural coloured cotton core will appear, leaving a contrast fade throughout the jeans
Model is 178 cm "&amp;"and wears a size 26/34.")</f>
        <v>Made in Portugal
Joelle, our curved high-rise wide fit. Joelle is super high-waisted, curved into the waist and back, with a narrow waistband. Wide and straight from the hips down, with a very subtle taper towards the hem, creating an elegant, elongating wide silhouette.
Joelle Japan Black is made from a 13 Oz 100% cotton, black wideloom denim woven by the renowned Japanese fabric mill, Kuroki. 
Sulphur dyed for a black colour that stays black for a long time. While all black denim will lose colour eventually, this particular denim fades in contrast after wear, evolving a beautiful personal pattern. This is due a special technique called rope dye, whereas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Model is 178 cm and wears a size 26/34.</v>
      </c>
      <c r="F62" s="11" t="str">
        <f>IFERROR(__xludf.DUMMYFUNCTION("""COMPUTED_VALUE"""),"Our high waisted wide fit, Joelle.")</f>
        <v>Our high waisted wide fit, Joelle.</v>
      </c>
      <c r="G62" s="11" t="str">
        <f>IFERROR(__xludf.DUMMYFUNCTION("""COMPUTED_VALUE"""),"- 13 Oz wideloom denim from Kuroki, Japan
- One wash to increase softness
- 100% Sanforized cotton
- Warp &amp; Weft dyed in black
- 8 Oz 5 Oz ecru canvas pocketing
- Black leather patch w/ wax treatment, Made in Italy.
- YKK two-prong silver button and zip f"&amp;"ly
- YKK solid copper washed-burr rivets
- Stitched with poly core cotton thread
- Made at Lisama, Portugal")</f>
        <v>- 13 Oz wideloom denim from Kuroki, Japan
- One wash to increase softness
- 100% Sanforized cotton
- Warp &amp; Weft dyed in black
- 8 Oz 5 Oz ecru canvas pocketing
- Black leather patch w/ wax treatment, Made in Italy.
- YKK two-prong silver button and zip fly
- YKK solid copper washed-burr rivets
- Stitched with poly core cotton thread
- Made at Lisama, Portugal</v>
      </c>
      <c r="H62" s="11" t="str">
        <f>IFERROR(__xludf.DUMMYFUNCTION("""COMPUTED_VALUE"""),"joelle-japan-dawn")</f>
        <v>joelle-japan-dawn</v>
      </c>
      <c r="I62" s="11"/>
    </row>
    <row r="63">
      <c r="A63" s="11" t="str">
        <f>IFERROR(__xludf.DUMMYFUNCTION("""COMPUTED_VALUE"""),"Livid Femme")</f>
        <v>Livid Femme</v>
      </c>
      <c r="B63" s="11" t="str">
        <f>IFERROR(__xludf.DUMMYFUNCTION("""COMPUTED_VALUE"""),"Jeans")</f>
        <v>Jeans</v>
      </c>
      <c r="C63" s="11" t="str">
        <f>IFERROR(__xludf.DUMMYFUNCTION("""COMPUTED_VALUE"""),"joelle-japan-dawn")</f>
        <v>joelle-japan-dawn</v>
      </c>
      <c r="D63" s="11" t="str">
        <f>IFERROR(__xludf.DUMMYFUNCTION("""COMPUTED_VALUE"""),"Joelle Japan Dawn")</f>
        <v>Joelle Japan Dawn</v>
      </c>
      <c r="E63" s="11" t="str">
        <f>IFERROR(__xludf.DUMMYFUNCTION("""COMPUTED_VALUE"""),"Made in Portugal
Joelle, our curved high-rise wide fit. Joelle is super high-waisted, curved into the waist and back, with a narrow waistband. Wide and straight from the hips down, with a very subtle taper towards the hem, creating an elegant, elongating"&amp;" wide silhouette.
Joelle Japan Dawn features our mid-blue wash, made in a solid 13 Oz 100% cotton denim from the renowned Japanese denim mill Kuroki. Soft to the touch, the Japan Dawn reveals an incredible depth of colour and wonderful texture, due to th"&amp;"e long-fibred indigo rope-dyed yarns of the fabric. Not too light, and not too dark, the Japan Dawn strikes the perfect balance for your everyday mid-blue needs. A definite essential.
Model is 178 cm and wears a size 26/34.")</f>
        <v>Made in Portugal
Joelle, our curved high-rise wide fit. Joelle is super high-waisted, curved into the waist and back, with a narrow waistband. Wide and straight from the hips down, with a very subtle taper towards the hem, creating an elegant, elongating wide silhouette.
Joelle Japan Dawn features our mid-blue wash, made in a solid 13 Oz 100% cotton denim from the renowned Japanese denim mill Kuroki. Soft to the touch, the Japan Dawn reveals an incredible depth of colour and wonderful texture, due to the long-fibred indigo rope-dyed yarns of the fabric. Not too light, and not too dark, the Japan Dawn strikes the perfect balance for your everyday mid-blue needs. A definite essential.
Model is 178 cm and wears a size 26/34.</v>
      </c>
      <c r="F63" s="11" t="str">
        <f>IFERROR(__xludf.DUMMYFUNCTION("""COMPUTED_VALUE"""),"Our high waisted wide fit, Joelle.")</f>
        <v>Our high waisted wide fit, Joelle.</v>
      </c>
      <c r="G63" s="11" t="str">
        <f>IFERROR(__xludf.DUMMYFUNCTION("""COMPUTED_VALUE"""),"- 13 Oz wideloom denim from Kuroki, Japan
- 100% Sanforized cotton
- Warp dyed in indigo, natural coloured weft
- 8 Oz ecru canvas pocketing
- Tanned leather patch w/ wax treatment, Made in Italy.
- YKK two-prong silver button fly
- YKK solid copper washe"&amp;"d-burr rivets
- Stitched with poly core cotton thread
- Made at Lisama, Portugal")</f>
        <v>- 13 Oz wideloom denim from Kuroki, Japan
- 100% Sanforized cotton
- Warp dyed in indigo, natural coloured weft
- 8 Oz ecru canvas pocketing
- Tanned leather patch w/ wax treatment, Made in Italy.
- YKK two-prong silver button fly
- YKK solid copper washed-burr rivets
- Stitched with poly core cotton thread
- Made at Lisama, Portugal</v>
      </c>
      <c r="H63" s="11"/>
      <c r="I63" s="11" t="str">
        <f>IFERROR(__xludf.DUMMYFUNCTION("""COMPUTED_VALUE"""),"ida-black")</f>
        <v>ida-black</v>
      </c>
    </row>
    <row r="64">
      <c r="A64" s="11" t="str">
        <f>IFERROR(__xludf.DUMMYFUNCTION("""COMPUTED_VALUE"""),"Livid Femme")</f>
        <v>Livid Femme</v>
      </c>
      <c r="B64" s="11" t="str">
        <f>IFERROR(__xludf.DUMMYFUNCTION("""COMPUTED_VALUE"""),"Trouser")</f>
        <v>Trouser</v>
      </c>
      <c r="C64" s="11" t="str">
        <f>IFERROR(__xludf.DUMMYFUNCTION("""COMPUTED_VALUE"""),"keri-green-linen")</f>
        <v>keri-green-linen</v>
      </c>
      <c r="D64" s="11" t="str">
        <f>IFERROR(__xludf.DUMMYFUNCTION("""COMPUTED_VALUE"""),"Keri Green Linen")</f>
        <v>Keri Green Linen</v>
      </c>
      <c r="E64" s="11" t="str">
        <f>IFERROR(__xludf.DUMMYFUNCTION("""COMPUTED_VALUE"""),"Made in Portugal
The Keri Linen is Made in a beautiful 100% Linen quality woven by Klasikine in Lithuania. This particular fabric is light weight, soft and very comfortable to wear. It's pure linen yarns give the Keri Linen a flowy drape and excellent te"&amp;"meprature regulating properties in warm weather.
Keri fits relaxed with a wide silhouette. Starting from the top it is constructed with an open waistband, curved and comfortable through hip and seat with a slightly dropped crotch. Then straight from top "&amp;"of thigh all the way down ending in a slightly flared leg opening.
Keri is perfect for those who like a more relaxed fit with a flared look or for someone with a generous build where normal issues with fitting is a tight waistband. Keri can be worn high "&amp;"in the waist or lower on the hips depending on sizing and preference. To be worn as a high waist trouser, size down compared to your normal jeans size.
The Keri Linen will stretch more around the waist the first few wears than the Keri denim jeans, due t"&amp;"o the looser linen weave. When new, the Keri linen should fit a little tighter in the waistband than how you want it to end up.
Details &amp; Features
- 100% Linen fabric from Klasikine in Lithuania
- 5 Oz ecru canvas pocketing
- Vegetable tanned leather pat"&amp;"ch w/ wax treatment, Made in Italy.
- YKK two-prong silver button and zip fly
- Stitched with poly core cotton thread
- Made at Lisama, Portugal")</f>
        <v>Made in Portugal
The Keri Linen is Made in a beautiful 100% Linen quality woven by Klasikine in Lithuania. This particular fabric is light weight, soft and very comfortable to wear. It's pure linen yarns give the Keri Linen a flowy drape and excellent temeprature regulating properties in warm weather.
Keri fits relaxed with a wide silhouette. Starting from the top it is constructed with an open waistband, curved and comfortable through hip and seat with a slightly dropped crotch. Then straight from top of thigh all the way down ending in a slightly flared leg opening.
Keri is perfect for those who like a more relaxed fit with a flared look or for someone with a generous build where normal issues with fitting is a tight waistband. Keri can be worn high in the waist or lower on the hips depending on sizing and preference. To be worn as a high waist trouser, size down compared to your normal jeans size.
The Keri Linen will stretch more around the waist the first few wears than the Keri denim jeans, due to the looser linen weave. When new, the Keri linen should fit a little tighter in the waistband than how you want it to end up.
Details &amp; Features
- 100% Linen fabric from Klasikine in Lithuania
- 5 Oz ecru canvas pocketing
- Vegetable tanned leather patch w/ wax treatment, Made in Italy.
- YKK two-prong silver button and zip fly
- Stitched with poly core cotton thread
- Made at Lisama, Portugal</v>
      </c>
      <c r="F64" s="11" t="str">
        <f>IFERROR(__xludf.DUMMYFUNCTION("""COMPUTED_VALUE"""),"Our wide straight Keri made in a lightweight, soft and comfortable pure linen.")</f>
        <v>Our wide straight Keri made in a lightweight, soft and comfortable pure linen.</v>
      </c>
      <c r="G64" s="11"/>
      <c r="H64" s="11" t="str">
        <f>IFERROR(__xludf.DUMMYFUNCTION("""COMPUTED_VALUE"""),"keri-linen-stone, keri-linen-java, keri-white-linen, keri-linen-olive, keri-black-linen, keri-magnet-linen")</f>
        <v>keri-linen-stone, keri-linen-java, keri-white-linen, keri-linen-olive, keri-black-linen, keri-magnet-linen</v>
      </c>
      <c r="I64" s="11"/>
    </row>
    <row r="65">
      <c r="A65" s="11" t="str">
        <f>IFERROR(__xludf.DUMMYFUNCTION("""COMPUTED_VALUE"""),"Livid Femme")</f>
        <v>Livid Femme</v>
      </c>
      <c r="B65" s="11" t="str">
        <f>IFERROR(__xludf.DUMMYFUNCTION("""COMPUTED_VALUE"""),"Knitwear")</f>
        <v>Knitwear</v>
      </c>
      <c r="C65" s="11" t="str">
        <f>IFERROR(__xludf.DUMMYFUNCTION("""COMPUTED_VALUE"""),"kerin-black")</f>
        <v>kerin-black</v>
      </c>
      <c r="D65" s="11" t="str">
        <f>IFERROR(__xludf.DUMMYFUNCTION("""COMPUTED_VALUE"""),"Kerin Black")</f>
        <v>Kerin Black</v>
      </c>
      <c r="E65" s="11" t="str">
        <f>IFERROR(__xludf.DUMMYFUNCTION("""COMPUTED_VALUE"""),"Made in China 
Effortlessly draped sweater, knitted in a super soft brushed alpaca yarn. Constructed with wide sleeves, dropped shoulders and relaxed, long body. The Kerin is a go-to sweater for the whole autumn/winter season.")</f>
        <v>Made in China 
Effortlessly draped sweater, knitted in a super soft brushed alpaca yarn. Constructed with wide sleeves, dropped shoulders and relaxed, long body. The Kerin is a go-to sweater for the whole autumn/winter season.</v>
      </c>
      <c r="F65" s="11" t="str">
        <f>IFERROR(__xludf.DUMMYFUNCTION("""COMPUTED_VALUE"""),"Kerin, our brushed alpaca sweater.")</f>
        <v>Kerin, our brushed alpaca sweater.</v>
      </c>
      <c r="G65" s="11" t="str">
        <f>IFERROR(__xludf.DUMMYFUNCTION("""COMPUTED_VALUE"""),"- 79% Alpaca, 19% Nylon, 2% Spandex
- Alpaca yarn spun by QCYarn, China
- Brushed 7 guage knit
- Soft, elastic and super resistant.
- Knitted by Springair in China")</f>
        <v>- 79% Alpaca, 19% Nylon, 2% Spandex
- Alpaca yarn spun by QCYarn, China
- Brushed 7 guage knit
- Soft, elastic and super resistant.
- Knitted by Springair in China</v>
      </c>
      <c r="H65" s="11" t="str">
        <f>IFERROR(__xludf.DUMMYFUNCTION("""COMPUTED_VALUE"""),"kerin-charcoal, kerin-taupe")</f>
        <v>kerin-charcoal, kerin-taupe</v>
      </c>
      <c r="I65" s="11" t="str">
        <f>IFERROR(__xludf.DUMMYFUNCTION("""COMPUTED_VALUE"""),"beth-japan-gravel")</f>
        <v>beth-japan-gravel</v>
      </c>
    </row>
    <row r="66">
      <c r="A66" s="11" t="str">
        <f>IFERROR(__xludf.DUMMYFUNCTION("""COMPUTED_VALUE"""),"Livid Femme")</f>
        <v>Livid Femme</v>
      </c>
      <c r="B66" s="11" t="str">
        <f>IFERROR(__xludf.DUMMYFUNCTION("""COMPUTED_VALUE"""),"Knitwear")</f>
        <v>Knitwear</v>
      </c>
      <c r="C66" s="11" t="str">
        <f>IFERROR(__xludf.DUMMYFUNCTION("""COMPUTED_VALUE"""),"kerin-charcoal")</f>
        <v>kerin-charcoal</v>
      </c>
      <c r="D66" s="11" t="str">
        <f>IFERROR(__xludf.DUMMYFUNCTION("""COMPUTED_VALUE"""),"Kerin Charcoal")</f>
        <v>Kerin Charcoal</v>
      </c>
      <c r="E66" s="11" t="str">
        <f>IFERROR(__xludf.DUMMYFUNCTION("""COMPUTED_VALUE"""),"Made in China 
Effortlessly draped sweater, knitted in a super soft brushed alpaca yarn. Constructed with wide sleeves, dropped shoulders and relaxed, long body. The Kerin is a go-to sweater for the whole autumn/winter season.
The alpaca fibers in this "&amp;"yarn are spun around a nylon core for durability, with a touch of spandex to keep its shape over time.")</f>
        <v>Made in China 
Effortlessly draped sweater, knitted in a super soft brushed alpaca yarn. Constructed with wide sleeves, dropped shoulders and relaxed, long body. The Kerin is a go-to sweater for the whole autumn/winter season.
The alpaca fibers in this yarn are spun around a nylon core for durability, with a touch of spandex to keep its shape over time.</v>
      </c>
      <c r="F66" s="11" t="str">
        <f>IFERROR(__xludf.DUMMYFUNCTION("""COMPUTED_VALUE"""),"Kerin, our brushed alpaca sweater.")</f>
        <v>Kerin, our brushed alpaca sweater.</v>
      </c>
      <c r="G66" s="11" t="str">
        <f>IFERROR(__xludf.DUMMYFUNCTION("""COMPUTED_VALUE"""),"- 79% Alpaca, 19% Nylon, 2% Spandex
- Alpaca yarn spun by QCYarn, China
- Brushed 7 guage knit
- Soft, elastic and super resistant.
- Knitted by Springair in China")</f>
        <v>- 79% Alpaca, 19% Nylon, 2% Spandex
- Alpaca yarn spun by QCYarn, China
- Brushed 7 guage knit
- Soft, elastic and super resistant.
- Knitted by Springair in China</v>
      </c>
      <c r="H66" s="11" t="str">
        <f>IFERROR(__xludf.DUMMYFUNCTION("""COMPUTED_VALUE"""),"kerin-black, kerin-taupe")</f>
        <v>kerin-black, kerin-taupe</v>
      </c>
      <c r="I66" s="11" t="str">
        <f>IFERROR(__xludf.DUMMYFUNCTION("""COMPUTED_VALUE"""),"fir-black")</f>
        <v>fir-black</v>
      </c>
    </row>
    <row r="67">
      <c r="A67" s="11" t="str">
        <f>IFERROR(__xludf.DUMMYFUNCTION("""COMPUTED_VALUE"""),"Livid Femme")</f>
        <v>Livid Femme</v>
      </c>
      <c r="B67" s="11" t="str">
        <f>IFERROR(__xludf.DUMMYFUNCTION("""COMPUTED_VALUE"""),"Longsleeve")</f>
        <v>Longsleeve</v>
      </c>
      <c r="C67" s="11" t="str">
        <f>IFERROR(__xludf.DUMMYFUNCTION("""COMPUTED_VALUE"""),"lima-charcoal-washout")</f>
        <v>lima-charcoal-washout</v>
      </c>
      <c r="D67" s="11" t="str">
        <f>IFERROR(__xludf.DUMMYFUNCTION("""COMPUTED_VALUE"""),"Lima Charcoal Washout")</f>
        <v>Lima Charcoal Washout</v>
      </c>
      <c r="E67" s="11" t="str">
        <f>IFERROR(__xludf.DUMMYFUNCTION("""COMPUTED_VALUE"""),"Made in Portugal
Inspired by sportswear, and tuned to suit our denim. Made in a pique knit, garment dyed and then acid washed for a textured and faded finish.
Built with dropped shoulders, a relaxed silhouette and a shorter length that ends perfectly at"&amp;" the hips. Finnished with a ribbed tipped collar and mother of pearl buttoning.")</f>
        <v>Made in Portugal
Inspired by sportswear, and tuned to suit our denim. Made in a pique knit, garment dyed and then acid washed for a textured and faded finish.
Built with dropped shoulders, a relaxed silhouette and a shorter length that ends perfectly at the hips. Finnished with a ribbed tipped collar and mother of pearl buttoning.</v>
      </c>
      <c r="F67" s="11" t="str">
        <f>IFERROR(__xludf.DUMMYFUNCTION("""COMPUTED_VALUE"""),"Cropped pique shirt, Lima.")</f>
        <v>Cropped pique shirt, Lima.</v>
      </c>
      <c r="G67" s="11" t="str">
        <f>IFERROR(__xludf.DUMMYFUNCTION("""COMPUTED_VALUE"""),"- 100% cotton pre-shrunk jersey
- Garment dyed
- Mother of pearl buttons
- Sewn with durable poly-core cotton thread
- Jersey knitted at Etevimol in Portugal
- Made at Texgoios in Portugal")</f>
        <v>- 100% cotton pre-shrunk jersey
- Garment dyed
- Mother of pearl buttons
- Sewn with durable poly-core cotton thread
- Jersey knitted at Etevimol in Portugal
- Made at Texgoios in Portugal</v>
      </c>
      <c r="H67" s="11" t="str">
        <f>IFERROR(__xludf.DUMMYFUNCTION("""COMPUTED_VALUE"""),"lima-stripe")</f>
        <v>lima-stripe</v>
      </c>
      <c r="I67" s="11" t="str">
        <f>IFERROR(__xludf.DUMMYFUNCTION("""COMPUTED_VALUE"""),"beth-japan-black-dusk")</f>
        <v>beth-japan-black-dusk</v>
      </c>
    </row>
    <row r="68">
      <c r="A68" s="11" t="str">
        <f>IFERROR(__xludf.DUMMYFUNCTION("""COMPUTED_VALUE"""),"Livid Femme")</f>
        <v>Livid Femme</v>
      </c>
      <c r="B68" s="11" t="str">
        <f>IFERROR(__xludf.DUMMYFUNCTION("""COMPUTED_VALUE"""),"Jersey")</f>
        <v>Jersey</v>
      </c>
      <c r="C68" s="11" t="str">
        <f>IFERROR(__xludf.DUMMYFUNCTION("""COMPUTED_VALUE"""),"lima-stripe")</f>
        <v>lima-stripe</v>
      </c>
      <c r="D68" s="11" t="str">
        <f>IFERROR(__xludf.DUMMYFUNCTION("""COMPUTED_VALUE"""),"Lima Stripe")</f>
        <v>Lima Stripe</v>
      </c>
      <c r="E68" s="11" t="str">
        <f>IFERROR(__xludf.DUMMYFUNCTION("""COMPUTED_VALUE"""),"Made in Portugal
Inspired by sportswear, and tuned to suit our denim. Made in a heavyweight jersey knitted in a stripe design, and then garment dyed. 
Built with dropped shoulders, a relaxed silhouette and a shorter length that ends perfectly at the hip"&amp;"s. Finnished with a ribbed tipped collar and mother of pearl buttoning.
The garment features:
- 100% cotton pre-shrunk jersey
- Garment dyed
- Mother of pearl buttons
- Sewn with durable poly-core cotton thread
- Jersey knitted at Etevimol in Portugal
- "&amp;"Made at Texgoios in Portugal")</f>
        <v>Made in Portugal
Inspired by sportswear, and tuned to suit our denim. Made in a heavyweight jersey knitted in a stripe design, and then garment dyed. 
Built with dropped shoulders, a relaxed silhouette and a shorter length that ends perfectly at the hips. Finnished with a ribbed tipped collar and mother of pearl buttoning.
The garment features:
- 100% cotton pre-shrunk jersey
- Garment dyed
- Mother of pearl buttons
- Sewn with durable poly-core cotton thread
- Jersey knitted at Etevimol in Portugal
- Made at Texgoios in Portugal</v>
      </c>
      <c r="F68" s="11" t="str">
        <f>IFERROR(__xludf.DUMMYFUNCTION("""COMPUTED_VALUE"""),"Cropped rugby shirt, Lima.")</f>
        <v>Cropped rugby shirt, Lima.</v>
      </c>
      <c r="G68" s="11"/>
      <c r="H68" s="11"/>
      <c r="I68" s="11" t="str">
        <f>IFERROR(__xludf.DUMMYFUNCTION("""COMPUTED_VALUE"""),"keri-japan-fog")</f>
        <v>keri-japan-fog</v>
      </c>
    </row>
    <row r="69">
      <c r="A69" s="11" t="str">
        <f>IFERROR(__xludf.DUMMYFUNCTION("""COMPUTED_VALUE"""),"Livid Femme")</f>
        <v>Livid Femme</v>
      </c>
      <c r="B69" s="11" t="str">
        <f>IFERROR(__xludf.DUMMYFUNCTION("""COMPUTED_VALUE"""),"Jeans")</f>
        <v>Jeans</v>
      </c>
      <c r="C69" s="11" t="str">
        <f>IFERROR(__xludf.DUMMYFUNCTION("""COMPUTED_VALUE"""),"live-japan-black")</f>
        <v>live-japan-black</v>
      </c>
      <c r="D69" s="11" t="str">
        <f>IFERROR(__xludf.DUMMYFUNCTION("""COMPUTED_VALUE"""),"Live Japan Black")</f>
        <v>Live Japan Black</v>
      </c>
      <c r="E69" s="11" t="str">
        <f>IFERROR(__xludf.DUMMYFUNCTION("""COMPUTED_VALUE"""),"Made in Portugal
Introducing Live, our straight waisted slim/straight. With a slim fit in the thigh, and straight from the knee down, Live has a classic slim/straight silhouette. Live has a straigher fit from hip to waist, making it an ideal fit for a st"&amp;"raighter build.
The Japan Black Comfort. Made from a 10,6 Oz black comfort wideloom denim woven at the renowned Japanese fabric mill, Kuroki. This particular fabric have been made with a premium black sulphur dye that keep the dark shade longer than most"&amp;" fabrics in the same segment. While all black denim loose colour, this particular denim fades in contrast after wear. This is due a special technique called rope dye, whereas the yarns are dipped in short intervals between oxidation. This prevents the col"&amp;"our from completely penetrating the core of the fibres, leaving it fresh, natural and untouched. When the layers of black colour wears off the surface of the yarns, the natural coloured cotton core will appear, leaving a contrast fade throughout the jeans"&amp;".
All black denim will loose its colour. Some transform into a dull grey version of itself, but this particular denim, fades in contrast giving more and more life, resulting in a denim that only gets more beautiful with age.
Another small detail. The su"&amp;"rface of this particular denim has been an anti-dust treatment, preventing lint from attaching to the surface of the fabric. 
Details &amp; Features
- 10,6 Oz comfort wideloom denim from Kuroki, Japan
- 96% cotton / 4% polyurethane
- Warp &amp; weft dyed in blac"&amp;"k
- 5 Oz ecru canvas pocketing
- Black leather patch w/ wax treatment. Made in Italy
- YKK two-prongtack, silver button and zip fly
- YKK solid copper washed-burr rivets
- Stitched with poly core cotton thread
- Made at Lisama, Portugal
Model is 178 cm a"&amp;"nd wears a size 26/34.")</f>
        <v>Made in Portugal
Introducing Live, our straight waisted slim/straight. With a slim fit in the thigh, and straight from the knee down, Live has a classic slim/straight silhouette. Live has a straigher fit from hip to waist, making it an ideal fit for a straighter build.
The Japan Black Comfort. Made from a 10,6 Oz black comfort wideloom denim woven at the renowned Japanese fabric mill, Kuroki. This particular fabric have been made with a premium black sulphur dye that keep the dark shade longer than most fabrics in the same segment. While all black denim loose colour, this particular denim fades in contrast after wear. This is due a special technique called rope dye, whereas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All black denim will loose its colour. Some transform into a dull grey version of itself, but this particular denim, fades in contrast giving more and more life, resulting in a denim that only gets more beautiful with age.
Another small detail. The surface of this particular denim has been an anti-dust treatment, preventing lint from attaching to the surface of the fabric. 
Details &amp; Features
- 10,6 Oz comfort wideloom denim from Kuroki, Japan
- 96% cotton / 4% polyurethane
- Warp &amp; weft dyed in black
- 5 Oz ecru canvas pocketing
- Black leather patch w/ wax treatment. Made in Italy
- YKK two-prongtack, silver button and zip fly
- YKK solid copper washed-burr rivets
- Stitched with poly core cotton thread
- Made at Lisama, Portugal
Model is 178 cm and wears a size 26/34.</v>
      </c>
      <c r="F69" s="11" t="str">
        <f>IFERROR(__xludf.DUMMYFUNCTION("""COMPUTED_VALUE"""),"Live offers a classic slim/straight silhouette, fitting slim in the thigh and straight from the knee down, ideal for a straighter build.")</f>
        <v>Live offers a classic slim/straight silhouette, fitting slim in the thigh and straight from the knee down, ideal for a straighter build.</v>
      </c>
      <c r="G69" s="11"/>
      <c r="H69" s="11" t="str">
        <f>IFERROR(__xludf.DUMMYFUNCTION("""COMPUTED_VALUE"""),"live-japan-indigo")</f>
        <v>live-japan-indigo</v>
      </c>
      <c r="I69" s="11"/>
    </row>
    <row r="70">
      <c r="A70" s="11" t="str">
        <f>IFERROR(__xludf.DUMMYFUNCTION("""COMPUTED_VALUE"""),"Livid Femme")</f>
        <v>Livid Femme</v>
      </c>
      <c r="B70" s="11" t="str">
        <f>IFERROR(__xludf.DUMMYFUNCTION("""COMPUTED_VALUE"""),"Jeans")</f>
        <v>Jeans</v>
      </c>
      <c r="C70" s="11" t="str">
        <f>IFERROR(__xludf.DUMMYFUNCTION("""COMPUTED_VALUE"""),"live-japan-indigo")</f>
        <v>live-japan-indigo</v>
      </c>
      <c r="D70" s="11" t="str">
        <f>IFERROR(__xludf.DUMMYFUNCTION("""COMPUTED_VALUE"""),"Live Japan Indigo")</f>
        <v>Live Japan Indigo</v>
      </c>
      <c r="E70" s="11" t="str">
        <f>IFERROR(__xludf.DUMMYFUNCTION("""COMPUTED_VALUE"""),"Made in Portugal
Introducing Live, our straight waisted slim/straight. With a slim fit in the thigh, and straight from the knee down, Live has a classic slim/straight silhouette. Live has a straigher fit from hip to waist, making it an ideal fit for a st"&amp;"raighter build.
The Japan Indigo. Made from a beautiful mid-weight wideloom denim woven at the renowned Japanese fabric mill, Kuroki. This particular fabric was built by Kuroki with a main goal at hand, creating a comfortable stretch denim that maintaine"&amp;"d the look of a rigid (100% cotton) denim. That is also particularly why this denim is the most widely used denim-article throughout our collections, now being the fabric of choice for 10 different core-styles in our rage. A super versatile denim, beautif"&amp;"ul in all types of shades in addition to providing great comfort, stretch and recovery after wear. A safe choice for all who loves a pair of genuine fitting jeans in their wardrobe.
Details &amp; Features
- 13 Oz comfort wideloom denim from Kuroki, Japan. 
-"&amp;" 98% cotton / 2% polyurethane
- Warp dyed in indigo, natural coloured weft
- 5 Oz ecru canvas pocketing 
- Tanned leather patch w/ wax treatment, Made in Italy. 
- YKK two-prongtack, silver button and zip fly
- YKK solid copper washed-burr rivets
- Stitch"&amp;"ed with poly core cotton thread
- Made at Lisama, Portugal
Model is 178 cm and wears a size 26/34.")</f>
        <v>Made in Portugal
Introducing Live, our straight waisted slim/straight. With a slim fit in the thigh, and straight from the knee down, Live has a classic slim/straight silhouette. Live has a straigher fit from hip to waist, making it an ideal fit for a straighter build.
The Japan Indigo. Made from a beautiful mid-weight wideloom denim woven at the renowned Japanese fabric mill, Kuroki. This particular fabric was built by Kuroki with a main goal at hand, creating a comfortable stretch denim that maintained the look of a rigid (100% cotton) denim. That is also particularly why this denim is the most widely used denim-article throughout our collections, now being the fabric of choice for 10 different core-styles in our rage. A super versatile denim, beautiful in all types of shades in addition to providing great comfort, stretch and recovery after wear. A safe choice for all who loves a pair of genuine fitting jeans in their wardrobe.
Details &amp; Features
- 13 Oz comfort wideloom denim from Kuroki, Japan. 
- 98% cotton / 2% polyurethane
- Warp dyed in indigo, natural coloured weft
- 5 Oz ecru canvas pocketing 
- Tanned leather patch w/ wax treatment, Made in Italy. 
- YKK two-prongtack, silver button and zip fly
- YKK solid copper washed-burr rivets
- Stitched with poly core cotton thread
- Made at Lisama, Portugal
Model is 178 cm and wears a size 26/34.</v>
      </c>
      <c r="F70" s="11" t="str">
        <f>IFERROR(__xludf.DUMMYFUNCTION("""COMPUTED_VALUE"""),"Live features a slim fit in the thigh, straight from the knee down, ideal for a straighter build. Its classic silhouette offers a straight fit from hip to waist.")</f>
        <v>Live features a slim fit in the thigh, straight from the knee down, ideal for a straighter build. Its classic silhouette offers a straight fit from hip to waist.</v>
      </c>
      <c r="G70" s="11"/>
      <c r="H70" s="11" t="str">
        <f>IFERROR(__xludf.DUMMYFUNCTION("""COMPUTED_VALUE"""),"live-japan-black")</f>
        <v>live-japan-black</v>
      </c>
      <c r="I70" s="11"/>
    </row>
    <row r="71">
      <c r="A71" s="11" t="str">
        <f>IFERROR(__xludf.DUMMYFUNCTION("""COMPUTED_VALUE"""),"Livid Femme")</f>
        <v>Livid Femme</v>
      </c>
      <c r="B71" s="11" t="str">
        <f>IFERROR(__xludf.DUMMYFUNCTION("""COMPUTED_VALUE"""),"Skirt")</f>
        <v>Skirt</v>
      </c>
      <c r="C71" s="11" t="str">
        <f>IFERROR(__xludf.DUMMYFUNCTION("""COMPUTED_VALUE"""),"lora-paper-yarn-black")</f>
        <v>lora-paper-yarn-black</v>
      </c>
      <c r="D71" s="11" t="str">
        <f>IFERROR(__xludf.DUMMYFUNCTION("""COMPUTED_VALUE"""),"Lora Paper yarn Black")</f>
        <v>Lora Paper yarn Black</v>
      </c>
      <c r="E71" s="11" t="str">
        <f>IFERROR(__xludf.DUMMYFUNCTION("""COMPUTED_VALUE"""),"Made in China
Lora, our fine gauge, fully fashioned A-line knitted skirt. Knitted in a delicate rib, with an elastic rib waistband. 
Knitted in a paper, or washi yarn that gives the dress a delicate feel with a distinct tactile handfeel that is silky an"&amp;"d cool on the skin. 
Details
- 65% paper, 35% recycled polyamide
- Paper yarn spun by Topline
- Cool, light and breathable 
- Knitted by Springair in China")</f>
        <v>Made in China
Lora, our fine gauge, fully fashioned A-line knitted skirt. Knitted in a delicate rib, with an elastic rib waistband. 
Knitted in a paper, or washi yarn that gives the dress a delicate feel with a distinct tactile handfeel that is silky and cool on the skin. 
Details
- 65% paper, 35% recycled polyamide
- Paper yarn spun by Topline
- Cool, light and breathable 
- Knitted by Springair in China</v>
      </c>
      <c r="F71" s="11" t="str">
        <f>IFERROR(__xludf.DUMMYFUNCTION("""COMPUTED_VALUE"""),"Lora, our fine gauge, fully fashioned A-line knitted skirt.")</f>
        <v>Lora, our fine gauge, fully fashioned A-line knitted skirt.</v>
      </c>
      <c r="G71" s="11"/>
      <c r="H71" s="11"/>
      <c r="I71" s="11" t="str">
        <f>IFERROR(__xludf.DUMMYFUNCTION("""COMPUTED_VALUE"""),"toucan-black")</f>
        <v>toucan-black</v>
      </c>
    </row>
    <row r="72">
      <c r="A72" s="11" t="str">
        <f>IFERROR(__xludf.DUMMYFUNCTION("""COMPUTED_VALUE"""),"Livid Femme")</f>
        <v>Livid Femme</v>
      </c>
      <c r="B72" s="11" t="str">
        <f>IFERROR(__xludf.DUMMYFUNCTION("""COMPUTED_VALUE"""),"Shirt")</f>
        <v>Shirt</v>
      </c>
      <c r="C72" s="11" t="str">
        <f>IFERROR(__xludf.DUMMYFUNCTION("""COMPUTED_VALUE"""),"maiko-japan-gravel")</f>
        <v>maiko-japan-gravel</v>
      </c>
      <c r="D72" s="11" t="str">
        <f>IFERROR(__xludf.DUMMYFUNCTION("""COMPUTED_VALUE"""),"Maiko Japan Gravel")</f>
        <v>Maiko Japan Gravel</v>
      </c>
      <c r="E72" s="11" t="str">
        <f>IFERROR(__xludf.DUMMYFUNCTION("""COMPUTED_VALUE"""),"Made in Portugal
Maiko, our regular fit denim shirt, Henrey. Made with slightly dropped shoulders, a regular relaxed body, softly curved hems, a single square chest pocket and a center box pleat at the back yoke. 
Made in a 7 Oz. denim woven by the arti"&amp;"sinal denim mill Collect in Japan washed to a structured grey. Finished with mother of pearl buttons.")</f>
        <v>Made in Portugal
Maiko, our regular fit denim shirt, Henrey. Made with slightly dropped shoulders, a regular relaxed body, softly curved hems, a single square chest pocket and a center box pleat at the back yoke. 
Made in a 7 Oz. denim woven by the artisinal denim mill Collect in Japan washed to a structured grey. Finished with mother of pearl buttons.</v>
      </c>
      <c r="F72" s="11" t="str">
        <f>IFERROR(__xludf.DUMMYFUNCTION("""COMPUTED_VALUE"""),"Maiko, our regular fit denim shirt.")</f>
        <v>Maiko, our regular fit denim shirt.</v>
      </c>
      <c r="G72" s="11" t="str">
        <f>IFERROR(__xludf.DUMMYFUNCTION("""COMPUTED_VALUE"""),"- 100% cotton
- 7 Oz. denim woven by Collect in Japan
- Mother of pearl buttons
- Extra button at the cuff, allowing a tighter adjustment at the wrist
- Box pleat at back yoke
- Made at Stork, in Portugal")</f>
        <v>- 100% cotton
- 7 Oz. denim woven by Collect in Japan
- Mother of pearl buttons
- Extra button at the cuff, allowing a tighter adjustment at the wrist
- Box pleat at back yoke
- Made at Stork, in Portugal</v>
      </c>
      <c r="H72" s="11"/>
      <c r="I72" s="11" t="str">
        <f>IFERROR(__xludf.DUMMYFUNCTION("""COMPUTED_VALUE"""),"keri-japan-gravel")</f>
        <v>keri-japan-gravel</v>
      </c>
    </row>
    <row r="73">
      <c r="A73" s="11" t="str">
        <f>IFERROR(__xludf.DUMMYFUNCTION("""COMPUTED_VALUE"""),"Livid Femme")</f>
        <v>Livid Femme</v>
      </c>
      <c r="B73" s="11" t="str">
        <f>IFERROR(__xludf.DUMMYFUNCTION("""COMPUTED_VALUE"""),"Jeans")</f>
        <v>Jeans</v>
      </c>
      <c r="C73" s="11" t="str">
        <f>IFERROR(__xludf.DUMMYFUNCTION("""COMPUTED_VALUE"""),"margo-japan-black")</f>
        <v>margo-japan-black</v>
      </c>
      <c r="D73" s="11" t="str">
        <f>IFERROR(__xludf.DUMMYFUNCTION("""COMPUTED_VALUE"""),"Margo Japan Black")</f>
        <v>Margo Japan Black</v>
      </c>
      <c r="E73" s="11" t="str">
        <f>IFERROR(__xludf.DUMMYFUNCTION("""COMPUTED_VALUE"""),"Made in Portugal
Introducing Margo, our relaxed tapered fit. Identical to our popular Keri from the waist through the thigh, but tapered from the knee.
Margo Japan Black is made from a 13 Oz 100% cotton, black wideloom denim woven by the renowned Japane"&amp;"se fabric mill, Kuroki. 
While all black denim will loose colour eventually, this particular denim fades in contrast after wear, evolving a beautiful personal pattern. This is due a special technique called rope dye, whereas the yarns are dipped in short "&amp;"intervals between oxidation. This prevents the colour from completely penetrating the core of the fibres, leaving it fresh, natural and untouched. When the layers of black colour wears off the surface of the yarns, the natural coloured cotton core will ap"&amp;"pear, leaving a contrast fade throughout the jeans.
Made in a one-wash finish to increase softness of touch.
Details &amp; Features
- 13 Oz wideloom denim from Kuroki, Japa
- One wash to increase softness
- 100% Sanforized cotton
- Warp &amp; Weft sulphur dyed "&amp;"black
- 8 Oz 5 Oz ecru canvas pocketing
- Black leather patch w/ wax treatment, Made in Italy.
- YKK two-prongtack, silver button and zip fly
- YKK solid copper washed-burr rivets
- Stitched with poly core cotton thread
- Made at Lisama, Portugal
Model i"&amp;"s 178 cm and wears a size 26/34.")</f>
        <v>Made in Portugal
Introducing Margo, our relaxed tapered fit. Identical to our popular Keri from the waist through the thigh, but tapered from the knee.
Margo Japan Black is made from a 13 Oz 100% cotton, black wideloom denim woven by the renowned Japanese fabric mill, Kuroki. 
While all black denim will loose colour eventually, this particular denim fades in contrast after wear, evolving a beautiful personal pattern. This is due a special technique called rope dye, whereas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Made in a one-wash finish to increase softness of touch.
Details &amp; Features
- 13 Oz wideloom denim from Kuroki, Japa
- One wash to increase softness
- 100% Sanforized cotton
- Warp &amp; Weft sulphur dyed black
- 8 Oz 5 Oz ecru canvas pocketing
- Black leather patch w/ wax treatment, Made in Italy.
- YKK two-prongtack, silver button and zip fly
- YKK solid copper washed-burr rivets
- Stitched with poly core cotton thread
- Made at Lisama, Portugal
Model is 178 cm and wears a size 26/34.</v>
      </c>
      <c r="F73" s="11" t="str">
        <f>IFERROR(__xludf.DUMMYFUNCTION("""COMPUTED_VALUE"""),"Introducing Margo, our relaxed tapered fit. Just like Keri from the waist through the thigh but tapered from the knee.")</f>
        <v>Introducing Margo, our relaxed tapered fit. Just like Keri from the waist through the thigh but tapered from the knee.</v>
      </c>
      <c r="G73" s="11"/>
      <c r="H73" s="11" t="str">
        <f>IFERROR(__xludf.DUMMYFUNCTION("""COMPUTED_VALUE"""),"margo-japan-white")</f>
        <v>margo-japan-white</v>
      </c>
      <c r="I73" s="11"/>
    </row>
    <row r="74">
      <c r="A74" s="11" t="str">
        <f>IFERROR(__xludf.DUMMYFUNCTION("""COMPUTED_VALUE"""),"Livid Femme")</f>
        <v>Livid Femme</v>
      </c>
      <c r="B74" s="11" t="str">
        <f>IFERROR(__xludf.DUMMYFUNCTION("""COMPUTED_VALUE"""),"Knitwear")</f>
        <v>Knitwear</v>
      </c>
      <c r="C74" s="11" t="str">
        <f>IFERROR(__xludf.DUMMYFUNCTION("""COMPUTED_VALUE"""),"mercer-charcoal-melange")</f>
        <v>mercer-charcoal-melange</v>
      </c>
      <c r="D74" s="11" t="str">
        <f>IFERROR(__xludf.DUMMYFUNCTION("""COMPUTED_VALUE"""),"Mercer Charcoal Melange")</f>
        <v>Mercer Charcoal Melange</v>
      </c>
      <c r="E74" s="11" t="str">
        <f>IFERROR(__xludf.DUMMYFUNCTION("""COMPUTED_VALUE"""),"Made in China 
Made in pure merino wool, boiled to acheive a perfect balance between warmth, breathabilty and softness. The weight of the boiled merino wool gives the Mercer sweater a soft and heavy drape.
The Mercer sweater features a stand-up spread c"&amp;"ollar, constructed with a generous fit exhibiting the wool knit's drape, with side splits and a longer back.
Made to match the Heist skirt for a full set, which can also be worn as separates.")</f>
        <v>Made in China 
Made in pure merino wool, boiled to acheive a perfect balance between warmth, breathabilty and softness. The weight of the boiled merino wool gives the Mercer sweater a soft and heavy drape.
The Mercer sweater features a stand-up spread collar, constructed with a generous fit exhibiting the wool knit's drape, with side splits and a longer back.
Made to match the Heist skirt for a full set, which can also be worn as separates.</v>
      </c>
      <c r="F74" s="11" t="str">
        <f>IFERROR(__xludf.DUMMYFUNCTION("""COMPUTED_VALUE"""),"Mercer, our boiled merino wool collared sweater.")</f>
        <v>Mercer, our boiled merino wool collared sweater.</v>
      </c>
      <c r="G74" s="11" t="str">
        <f>IFERROR(__xludf.DUMMYFUNCTION("""COMPUTED_VALUE"""),"- 100% merino wool, boiled
- Merino wool yarn spun in Italy by Tollegno 1900
- Warm, breathable and hardwearing
- Knitted by Goldfine in China")</f>
        <v>- 100% merino wool, boiled
- Merino wool yarn spun in Italy by Tollegno 1900
- Warm, breathable and hardwearing
- Knitted by Goldfine in China</v>
      </c>
      <c r="H74" s="11" t="str">
        <f>IFERROR(__xludf.DUMMYFUNCTION("""COMPUTED_VALUE"""),"heist-charcoal")</f>
        <v>heist-charcoal</v>
      </c>
      <c r="I74" s="11" t="str">
        <f>IFERROR(__xludf.DUMMYFUNCTION("""COMPUTED_VALUE"""),"keri-japan-black")</f>
        <v>keri-japan-black</v>
      </c>
    </row>
    <row r="75">
      <c r="A75" s="11" t="str">
        <f>IFERROR(__xludf.DUMMYFUNCTION("""COMPUTED_VALUE"""),"Livid Femme")</f>
        <v>Livid Femme</v>
      </c>
      <c r="B75" s="11" t="str">
        <f>IFERROR(__xludf.DUMMYFUNCTION("""COMPUTED_VALUE"""),"Knitwear")</f>
        <v>Knitwear</v>
      </c>
      <c r="C75" s="11" t="str">
        <f>IFERROR(__xludf.DUMMYFUNCTION("""COMPUTED_VALUE"""),"merilot-papercrochet-bone")</f>
        <v>merilot-papercrochet-bone</v>
      </c>
      <c r="D75" s="11" t="str">
        <f>IFERROR(__xludf.DUMMYFUNCTION("""COMPUTED_VALUE"""),"Merilot Papercrochet Bone")</f>
        <v>Merilot Papercrochet Bone</v>
      </c>
      <c r="E75" s="11"/>
      <c r="F75" s="11"/>
      <c r="G75" s="11"/>
      <c r="H75" s="11"/>
      <c r="I75" s="11"/>
    </row>
    <row r="76">
      <c r="A76" s="11" t="str">
        <f>IFERROR(__xludf.DUMMYFUNCTION("""COMPUTED_VALUE"""),"Livid Femme")</f>
        <v>Livid Femme</v>
      </c>
      <c r="B76" s="11" t="str">
        <f>IFERROR(__xludf.DUMMYFUNCTION("""COMPUTED_VALUE"""),"Longsleeve")</f>
        <v>Longsleeve</v>
      </c>
      <c r="C76" s="11" t="str">
        <f>IFERROR(__xludf.DUMMYFUNCTION("""COMPUTED_VALUE"""),"mila-brown-multistripe")</f>
        <v>mila-brown-multistripe</v>
      </c>
      <c r="D76" s="11" t="str">
        <f>IFERROR(__xludf.DUMMYFUNCTION("""COMPUTED_VALUE"""),"Mila Brown Multistripe")</f>
        <v>Mila Brown Multistripe</v>
      </c>
      <c r="E76" s="11" t="str">
        <f>IFERROR(__xludf.DUMMYFUNCTION("""COMPUTED_VALUE"""),"Made in Portugal
Made from our signature 6.5 Oz pre-shrunk 100% cotton jersey exclusively made for Livid in Portugal. This particular fabric has been used in our heavyweight t-shirts for many years and has become very popular due to its durability and co"&amp;"mfortable hand feel. Knitted in a stripe design, and then overdyed.
Mila features dropped shoulders and a relaxed silhouette, ideal for someone who likes a more relaxed look.")</f>
        <v>Made in Portugal
Made from our signature 6.5 Oz pre-shrunk 100% cotton jersey exclusively made for Livid in Portugal. This particular fabric has been used in our heavyweight t-shirts for many years and has become very popular due to its durability and comfortable hand feel. Knitted in a stripe design, and then overdyed.
Mila features dropped shoulders and a relaxed silhouette, ideal for someone who likes a more relaxed look.</v>
      </c>
      <c r="F76" s="11" t="str">
        <f>IFERROR(__xludf.DUMMYFUNCTION("""COMPUTED_VALUE"""),"Our relaxed longsleeve Mila, made in a seasona stripe design.")</f>
        <v>Our relaxed longsleeve Mila, made in a seasona stripe design.</v>
      </c>
      <c r="G76" s="11" t="str">
        <f>IFERROR(__xludf.DUMMYFUNCTION("""COMPUTED_VALUE"""),"- 100% cotton
- 220 gsm pre-shrunk jersey
- Knitted by Etevimol in Portugal
- Fine rib collar
- Sewn with durable poly-core cotton thread
- Made at Texgoios in Portugal")</f>
        <v>- 100% cotton
- 220 gsm pre-shrunk jersey
- Knitted by Etevimol in Portugal
- Fine rib collar
- Sewn with durable poly-core cotton thread
- Made at Texgoios in Portugal</v>
      </c>
      <c r="H76" s="11" t="str">
        <f>IFERROR(__xludf.DUMMYFUNCTION("""COMPUTED_VALUE"""),"mila-violet-ministripe-washout, mila-grey-melange, mila-black, mila-black-1")</f>
        <v>mila-violet-ministripe-washout, mila-grey-melange, mila-black, mila-black-1</v>
      </c>
      <c r="I76" s="11" t="str">
        <f>IFERROR(__xludf.DUMMYFUNCTION("""COMPUTED_VALUE"""),"beth-japan-gravel")</f>
        <v>beth-japan-gravel</v>
      </c>
    </row>
    <row r="77">
      <c r="A77" s="11" t="str">
        <f>IFERROR(__xludf.DUMMYFUNCTION("""COMPUTED_VALUE"""),"Livid Femme")</f>
        <v>Livid Femme</v>
      </c>
      <c r="B77" s="11" t="str">
        <f>IFERROR(__xludf.DUMMYFUNCTION("""COMPUTED_VALUE"""),"Jersey")</f>
        <v>Jersey</v>
      </c>
      <c r="C77" s="11" t="str">
        <f>IFERROR(__xludf.DUMMYFUNCTION("""COMPUTED_VALUE"""),"mila-carma-string")</f>
        <v>mila-carma-string</v>
      </c>
      <c r="D77" s="11" t="str">
        <f>IFERROR(__xludf.DUMMYFUNCTION("""COMPUTED_VALUE"""),"Mila Carma String")</f>
        <v>Mila Carma String</v>
      </c>
      <c r="E77" s="11"/>
      <c r="F77" s="11"/>
      <c r="G77" s="11"/>
      <c r="H77" s="11"/>
      <c r="I77" s="11"/>
    </row>
    <row r="78">
      <c r="A78" s="11" t="str">
        <f>IFERROR(__xludf.DUMMYFUNCTION("""COMPUTED_VALUE"""),"Livid Femme")</f>
        <v>Livid Femme</v>
      </c>
      <c r="B78" s="11" t="str">
        <f>IFERROR(__xludf.DUMMYFUNCTION("""COMPUTED_VALUE"""),"Jersey")</f>
        <v>Jersey</v>
      </c>
      <c r="C78" s="11" t="str">
        <f>IFERROR(__xludf.DUMMYFUNCTION("""COMPUTED_VALUE"""),"mila-charcoal-fadeout")</f>
        <v>mila-charcoal-fadeout</v>
      </c>
      <c r="D78" s="11" t="str">
        <f>IFERROR(__xludf.DUMMYFUNCTION("""COMPUTED_VALUE"""),"Mila Charcoal Fadeout")</f>
        <v>Mila Charcoal Fadeout</v>
      </c>
      <c r="E78" s="11"/>
      <c r="F78" s="11"/>
      <c r="G78" s="11"/>
      <c r="H78" s="11"/>
      <c r="I78" s="11"/>
    </row>
    <row r="79">
      <c r="A79" s="11" t="str">
        <f>IFERROR(__xludf.DUMMYFUNCTION("""COMPUTED_VALUE"""),"Livid Femme")</f>
        <v>Livid Femme</v>
      </c>
      <c r="B79" s="11" t="str">
        <f>IFERROR(__xludf.DUMMYFUNCTION("""COMPUTED_VALUE"""),"Sweatshirt")</f>
        <v>Sweatshirt</v>
      </c>
      <c r="C79" s="11" t="str">
        <f>IFERROR(__xludf.DUMMYFUNCTION("""COMPUTED_VALUE"""),"mila-grey-melange")</f>
        <v>mila-grey-melange</v>
      </c>
      <c r="D79" s="11" t="str">
        <f>IFERROR(__xludf.DUMMYFUNCTION("""COMPUTED_VALUE"""),"Mila Grey Melange")</f>
        <v>Mila Grey Melange</v>
      </c>
      <c r="E79" s="11" t="str">
        <f>IFERROR(__xludf.DUMMYFUNCTION("""COMPUTED_VALUE"""),"Featuring dropped shoulders, a relaxed silhouette and a shorter length that ends perfectly at the hips.
Made from a pre-shrunk 100% cotton jersey, knitted in a lighter weight than our regular tees for a fluid drape and easier feel.
The garment features:"&amp;"
- 100% cotton
- 150 gsm pre-shrunk jersey
- Sewn with durable poly-core cotton thread
- Jersey knitted at Etevimol in Portugal
- Made at Texgoios in Portugal")</f>
        <v>Featuring dropped shoulders, a relaxed silhouette and a shorter length that ends perfectly at the hips.
Made from a pre-shrunk 100% cotton jersey, knitted in a lighter weight than our regular tees for a fluid drape and easier feel.
The garment features:
- 100% cotton
- 150 gsm pre-shrunk jersey
- Sewn with durable poly-core cotton thread
- Jersey knitted at Etevimol in Portugal
- Made at Texgoios in Portugal</v>
      </c>
      <c r="F79" s="11" t="str">
        <f>IFERROR(__xludf.DUMMYFUNCTION("""COMPUTED_VALUE"""),"Mila, our relaxed longsleeve.")</f>
        <v>Mila, our relaxed longsleeve.</v>
      </c>
      <c r="G79" s="11"/>
      <c r="H79" s="11" t="str">
        <f>IFERROR(__xludf.DUMMYFUNCTION("""COMPUTED_VALUE"""),"mila-black, mila-brown-stripe, mila-mud, mila-black-1")</f>
        <v>mila-black, mila-brown-stripe, mila-mud, mila-black-1</v>
      </c>
      <c r="I79" s="11" t="str">
        <f>IFERROR(__xludf.DUMMYFUNCTION("""COMPUTED_VALUE"""),"keri-japan-gravel")</f>
        <v>keri-japan-gravel</v>
      </c>
    </row>
    <row r="80">
      <c r="A80" s="11" t="str">
        <f>IFERROR(__xludf.DUMMYFUNCTION("""COMPUTED_VALUE"""),"Livid Femme")</f>
        <v>Livid Femme</v>
      </c>
      <c r="B80" s="11" t="str">
        <f>IFERROR(__xludf.DUMMYFUNCTION("""COMPUTED_VALUE"""),"Longsleeve")</f>
        <v>Longsleeve</v>
      </c>
      <c r="C80" s="11" t="str">
        <f>IFERROR(__xludf.DUMMYFUNCTION("""COMPUTED_VALUE"""),"mila-violet-ministripe-washout")</f>
        <v>mila-violet-ministripe-washout</v>
      </c>
      <c r="D80" s="11" t="str">
        <f>IFERROR(__xludf.DUMMYFUNCTION("""COMPUTED_VALUE"""),"Mila Violet Ministripe Washout")</f>
        <v>Mila Violet Ministripe Washout</v>
      </c>
      <c r="E80" s="11" t="str">
        <f>IFERROR(__xludf.DUMMYFUNCTION("""COMPUTED_VALUE"""),"Made in Portugal
Made from our signature 6.5 Oz pre-shrunk 100% cotton jersey exclusively made for Livid in Portugal. This particular fabric has been used in our heavyweight t-shirts for many years and has become very popular due to its durability and co"&amp;"mfortable hand feel. Knitted in a stripe design, and then overdyed.
Mila features dropped shoulders and a relaxed silhouette, ideal for someone who likes a more relaxed look.")</f>
        <v>Made in Portugal
Made from our signature 6.5 Oz pre-shrunk 100% cotton jersey exclusively made for Livid in Portugal. This particular fabric has been used in our heavyweight t-shirts for many years and has become very popular due to its durability and comfortable hand feel. Knitted in a stripe design, and then overdyed.
Mila features dropped shoulders and a relaxed silhouette, ideal for someone who likes a more relaxed look.</v>
      </c>
      <c r="F80" s="11" t="str">
        <f>IFERROR(__xludf.DUMMYFUNCTION("""COMPUTED_VALUE"""),"Our relaxed longsleeve Mila, made in a seasona stripe design.")</f>
        <v>Our relaxed longsleeve Mila, made in a seasona stripe design.</v>
      </c>
      <c r="G80" s="11" t="str">
        <f>IFERROR(__xludf.DUMMYFUNCTION("""COMPUTED_VALUE"""),"- 100% cotton
- 220 gsm pre-shrunk jersey
- Knitted by Etevimol in Portugal
- Fine rib collar
- Sewn with durable poly-core cotton thread
- Made at Texgoios in Portugal")</f>
        <v>- 100% cotton
- 220 gsm pre-shrunk jersey
- Knitted by Etevimol in Portugal
- Fine rib collar
- Sewn with durable poly-core cotton thread
- Made at Texgoios in Portugal</v>
      </c>
      <c r="H80" s="11" t="str">
        <f>IFERROR(__xludf.DUMMYFUNCTION("""COMPUTED_VALUE"""),"mila-brown-multistripe, mila-grey-melange, mila-black, mila-black-1")</f>
        <v>mila-brown-multistripe, mila-grey-melange, mila-black, mila-black-1</v>
      </c>
      <c r="I80" s="11" t="str">
        <f>IFERROR(__xludf.DUMMYFUNCTION("""COMPUTED_VALUE"""),"keri-japan-black")</f>
        <v>keri-japan-black</v>
      </c>
    </row>
    <row r="81">
      <c r="A81" s="11" t="str">
        <f>IFERROR(__xludf.DUMMYFUNCTION("""COMPUTED_VALUE"""),"Livid Femme")</f>
        <v>Livid Femme</v>
      </c>
      <c r="B81" s="11" t="str">
        <f>IFERROR(__xludf.DUMMYFUNCTION("""COMPUTED_VALUE"""),"Knitwear")</f>
        <v>Knitwear</v>
      </c>
      <c r="C81" s="11" t="str">
        <f>IFERROR(__xludf.DUMMYFUNCTION("""COMPUTED_VALUE"""),"miso-papercrochet-bone")</f>
        <v>miso-papercrochet-bone</v>
      </c>
      <c r="D81" s="11" t="str">
        <f>IFERROR(__xludf.DUMMYFUNCTION("""COMPUTED_VALUE"""),"Miso Papercrochet Bone")</f>
        <v>Miso Papercrochet Bone</v>
      </c>
      <c r="E81" s="11"/>
      <c r="F81" s="11"/>
      <c r="G81" s="11"/>
      <c r="H81" s="11"/>
      <c r="I81" s="11"/>
    </row>
    <row r="82">
      <c r="A82" s="11" t="str">
        <f>IFERROR(__xludf.DUMMYFUNCTION("""COMPUTED_VALUE"""),"Livid Femme")</f>
        <v>Livid Femme</v>
      </c>
      <c r="B82" s="11" t="str">
        <f>IFERROR(__xludf.DUMMYFUNCTION("""COMPUTED_VALUE"""),"Sweatshirt")</f>
        <v>Sweatshirt</v>
      </c>
      <c r="C82" s="11" t="str">
        <f>IFERROR(__xludf.DUMMYFUNCTION("""COMPUTED_VALUE"""),"moth-paper-yarn-black")</f>
        <v>moth-paper-yarn-black</v>
      </c>
      <c r="D82" s="11" t="str">
        <f>IFERROR(__xludf.DUMMYFUNCTION("""COMPUTED_VALUE"""),"Moth Paper yarn Black")</f>
        <v>Moth Paper yarn Black</v>
      </c>
      <c r="E82" s="11" t="str">
        <f>IFERROR(__xludf.DUMMYFUNCTION("""COMPUTED_VALUE"""),"Made in China
Moth, our paper yarn top knitted in a delicate rib. Moth features a funnel neckline and long fitted sleeves. 
Knitted in a paper, or washi yarn that gives the dress a delicate feel with a distinct tactile handfeel that is silky and cool on"&amp;" the skin. 
Details
- 65% paper, 35% recycled polyamide
- Paper yarn spun by Topline
- Cool, light and breathable 
- Knitted by Springair in China")</f>
        <v>Made in China
Moth, our paper yarn top knitted in a delicate rib. Moth features a funnel neckline and long fitted sleeves. 
Knitted in a paper, or washi yarn that gives the dress a delicate feel with a distinct tactile handfeel that is silky and cool on the skin. 
Details
- 65% paper, 35% recycled polyamide
- Paper yarn spun by Topline
- Cool, light and breathable 
- Knitted by Springair in China</v>
      </c>
      <c r="F82" s="11" t="str">
        <f>IFERROR(__xludf.DUMMYFUNCTION("""COMPUTED_VALUE"""),"Moth, our funnel neck paper yarn longsleeve.")</f>
        <v>Moth, our funnel neck paper yarn longsleeve.</v>
      </c>
      <c r="G82" s="11"/>
      <c r="H82" s="11" t="str">
        <f>IFERROR(__xludf.DUMMYFUNCTION("""COMPUTED_VALUE"""),"moth-paper-yarn-white")</f>
        <v>moth-paper-yarn-white</v>
      </c>
      <c r="I82" s="11" t="str">
        <f>IFERROR(__xludf.DUMMYFUNCTION("""COMPUTED_VALUE"""),"lora-paper-yarn-black")</f>
        <v>lora-paper-yarn-black</v>
      </c>
    </row>
    <row r="83">
      <c r="A83" s="11" t="str">
        <f>IFERROR(__xludf.DUMMYFUNCTION("""COMPUTED_VALUE"""),"Livid Femme")</f>
        <v>Livid Femme</v>
      </c>
      <c r="B83" s="11" t="str">
        <f>IFERROR(__xludf.DUMMYFUNCTION("""COMPUTED_VALUE"""),"Sweatshirt")</f>
        <v>Sweatshirt</v>
      </c>
      <c r="C83" s="11" t="str">
        <f>IFERROR(__xludf.DUMMYFUNCTION("""COMPUTED_VALUE"""),"moth-paper-yarn-white")</f>
        <v>moth-paper-yarn-white</v>
      </c>
      <c r="D83" s="11" t="str">
        <f>IFERROR(__xludf.DUMMYFUNCTION("""COMPUTED_VALUE"""),"Moth Paper yarn White")</f>
        <v>Moth Paper yarn White</v>
      </c>
      <c r="E83" s="11" t="str">
        <f>IFERROR(__xludf.DUMMYFUNCTION("""COMPUTED_VALUE"""),"Made in China
Moth, our paper yarn top knitted in a delicate rib. Moth features a funnel neckline and long fitted sleeves. 
Knitted in a paper, or washi yarn that gives the dress a delicate feel with a distinct tactile handfeel that is silky and cool on"&amp;" the skin. 
Details
- 65% paper, 35% recycled polyamide
- Paper yarn spun by Topline
- Cool, light and breathable 
- Knitted by Springair in China")</f>
        <v>Made in China
Moth, our paper yarn top knitted in a delicate rib. Moth features a funnel neckline and long fitted sleeves. 
Knitted in a paper, or washi yarn that gives the dress a delicate feel with a distinct tactile handfeel that is silky and cool on the skin. 
Details
- 65% paper, 35% recycled polyamide
- Paper yarn spun by Topline
- Cool, light and breathable 
- Knitted by Springair in China</v>
      </c>
      <c r="F83" s="11" t="str">
        <f>IFERROR(__xludf.DUMMYFUNCTION("""COMPUTED_VALUE"""),"Moth, our funnel neck paper yarn longsleeve.")</f>
        <v>Moth, our funnel neck paper yarn longsleeve.</v>
      </c>
      <c r="G83" s="11"/>
      <c r="H83" s="11" t="str">
        <f>IFERROR(__xludf.DUMMYFUNCTION("""COMPUTED_VALUE"""),"moth-paper-yarn-black")</f>
        <v>moth-paper-yarn-black</v>
      </c>
      <c r="I83" s="11"/>
    </row>
    <row r="84">
      <c r="A84" s="11" t="str">
        <f>IFERROR(__xludf.DUMMYFUNCTION("""COMPUTED_VALUE"""),"Livid Femme")</f>
        <v>Livid Femme</v>
      </c>
      <c r="B84" s="11" t="str">
        <f>IFERROR(__xludf.DUMMYFUNCTION("""COMPUTED_VALUE"""),"Jersey")</f>
        <v>Jersey</v>
      </c>
      <c r="C84" s="11" t="str">
        <f>IFERROR(__xludf.DUMMYFUNCTION("""COMPUTED_VALUE"""),"nara-smoke")</f>
        <v>nara-smoke</v>
      </c>
      <c r="D84" s="11" t="str">
        <f>IFERROR(__xludf.DUMMYFUNCTION("""COMPUTED_VALUE"""),"Nara Smoke")</f>
        <v>Nara Smoke</v>
      </c>
      <c r="E84" s="11"/>
      <c r="F84" s="11"/>
      <c r="G84" s="11"/>
      <c r="H84" s="11"/>
      <c r="I84" s="11"/>
    </row>
    <row r="85">
      <c r="A85" s="11" t="str">
        <f>IFERROR(__xludf.DUMMYFUNCTION("""COMPUTED_VALUE"""),"Livid Femme")</f>
        <v>Livid Femme</v>
      </c>
      <c r="B85" s="11" t="str">
        <f>IFERROR(__xludf.DUMMYFUNCTION("""COMPUTED_VALUE"""),"Jersey")</f>
        <v>Jersey</v>
      </c>
      <c r="C85" s="11" t="str">
        <f>IFERROR(__xludf.DUMMYFUNCTION("""COMPUTED_VALUE"""),"nara-white")</f>
        <v>nara-white</v>
      </c>
      <c r="D85" s="11" t="str">
        <f>IFERROR(__xludf.DUMMYFUNCTION("""COMPUTED_VALUE"""),"Nara White")</f>
        <v>Nara White</v>
      </c>
      <c r="E85" s="11"/>
      <c r="F85" s="11"/>
      <c r="G85" s="11"/>
      <c r="H85" s="11"/>
      <c r="I85" s="11"/>
    </row>
    <row r="86">
      <c r="A86" s="11" t="str">
        <f>IFERROR(__xludf.DUMMYFUNCTION("""COMPUTED_VALUE"""),"Livid Femme")</f>
        <v>Livid Femme</v>
      </c>
      <c r="B86" s="11" t="str">
        <f>IFERROR(__xludf.DUMMYFUNCTION("""COMPUTED_VALUE"""),"Shirt")</f>
        <v>Shirt</v>
      </c>
      <c r="C86" s="11" t="str">
        <f>IFERROR(__xludf.DUMMYFUNCTION("""COMPUTED_VALUE"""),"nikka-java-linen")</f>
        <v>nikka-java-linen</v>
      </c>
      <c r="D86" s="11" t="str">
        <f>IFERROR(__xludf.DUMMYFUNCTION("""COMPUTED_VALUE"""),"Nikka Java Linen")</f>
        <v>Nikka Java Linen</v>
      </c>
      <c r="E86" s="11" t="str">
        <f>IFERROR(__xludf.DUMMYFUNCTION("""COMPUTED_VALUE"""),"Made in Portugal
Nikka, our square short sleeved linen shirt. Designed with bold proportions, half sleeves and a slightly cropped length, finished with large mother of pearl buttons.
Made in a heavy linen fabric woven by Klasikine in Lithuania, the same"&amp;" fabric we use for our Keri Linen Trousers. The weighty fabric gives the Nikka shirt a dramatic drape and wonderful handfeel.
Details:
- 100% Linen 
- Woven by Klasikine in Lithuania
- Real mother of pearl buttons made by Louropel in Italy
- Stitched wit"&amp;"h durable poly core cotton thread
- Made at Stork in Portugal")</f>
        <v>Made in Portugal
Nikka, our square short sleeved linen shirt. Designed with bold proportions, half sleeves and a slightly cropped length, finished with large mother of pearl buttons.
Made in a heavy linen fabric woven by Klasikine in Lithuania, the same fabric we use for our Keri Linen Trousers. The weighty fabric gives the Nikka shirt a dramatic drape and wonderful handfeel.
Details:
- 100% Linen 
- Woven by Klasikine in Lithuania
- Real mother of pearl buttons made by Louropel in Italy
- Stitched with durable poly core cotton thread
- Made at Stork in Portugal</v>
      </c>
      <c r="F86" s="11" t="str">
        <f>IFERROR(__xludf.DUMMYFUNCTION("""COMPUTED_VALUE"""),"Nikka, our square short sleeved linen shirt.")</f>
        <v>Nikka, our square short sleeved linen shirt.</v>
      </c>
      <c r="G86" s="11"/>
      <c r="H86" s="11"/>
      <c r="I86" s="11" t="str">
        <f>IFERROR(__xludf.DUMMYFUNCTION("""COMPUTED_VALUE"""),"keri-linen-java")</f>
        <v>keri-linen-java</v>
      </c>
    </row>
    <row r="87">
      <c r="A87" s="11" t="str">
        <f>IFERROR(__xludf.DUMMYFUNCTION("""COMPUTED_VALUE"""),"Livid Femme")</f>
        <v>Livid Femme</v>
      </c>
      <c r="B87" s="11" t="str">
        <f>IFERROR(__xludf.DUMMYFUNCTION("""COMPUTED_VALUE"""),"Shirt")</f>
        <v>Shirt</v>
      </c>
      <c r="C87" s="11" t="str">
        <f>IFERROR(__xludf.DUMMYFUNCTION("""COMPUTED_VALUE"""),"nikka-khaki-linen")</f>
        <v>nikka-khaki-linen</v>
      </c>
      <c r="D87" s="11" t="str">
        <f>IFERROR(__xludf.DUMMYFUNCTION("""COMPUTED_VALUE"""),"Nikka Khaki Linen")</f>
        <v>Nikka Khaki Linen</v>
      </c>
      <c r="E87" s="11"/>
      <c r="F87" s="11"/>
      <c r="G87" s="11"/>
      <c r="H87" s="11"/>
      <c r="I87" s="11"/>
    </row>
    <row r="88">
      <c r="A88" s="11" t="str">
        <f>IFERROR(__xludf.DUMMYFUNCTION("""COMPUTED_VALUE"""),"Livid Femme")</f>
        <v>Livid Femme</v>
      </c>
      <c r="B88" s="11" t="str">
        <f>IFERROR(__xludf.DUMMYFUNCTION("""COMPUTED_VALUE"""),"Shirt")</f>
        <v>Shirt</v>
      </c>
      <c r="C88" s="11" t="str">
        <f>IFERROR(__xludf.DUMMYFUNCTION("""COMPUTED_VALUE"""),"nikka-optic-heavy-linen")</f>
        <v>nikka-optic-heavy-linen</v>
      </c>
      <c r="D88" s="11" t="str">
        <f>IFERROR(__xludf.DUMMYFUNCTION("""COMPUTED_VALUE"""),"Nikka Optic Heavy Linen")</f>
        <v>Nikka Optic Heavy Linen</v>
      </c>
      <c r="E88" s="11" t="str">
        <f>IFERROR(__xludf.DUMMYFUNCTION("""COMPUTED_VALUE"""),"Made in Portugal
Nikka, our square short sleeved linen shirt. Designed with bold proportions, half sleeves and a slightly cropped length, finished with large mother of pearl buttons.
Made in a heavy linen fabric woven by Klasikine in Lithuania, the same"&amp;" fabric we use for our Keri Linen Trousers. The weighty fabric gives the Nikka shirt a dramatic drape and wonderful handfeel.
Details:
- 100% Linen 
- Woven by Klasikine in Lithuania
- Real mother of pearl buttons made by Louropel in Italy
- Stitched wit"&amp;"h durable poly core cotton thread
- Made at Stork in Portugal")</f>
        <v>Made in Portugal
Nikka, our square short sleeved linen shirt. Designed with bold proportions, half sleeves and a slightly cropped length, finished with large mother of pearl buttons.
Made in a heavy linen fabric woven by Klasikine in Lithuania, the same fabric we use for our Keri Linen Trousers. The weighty fabric gives the Nikka shirt a dramatic drape and wonderful handfeel.
Details:
- 100% Linen 
- Woven by Klasikine in Lithuania
- Real mother of pearl buttons made by Louropel in Italy
- Stitched with durable poly core cotton thread
- Made at Stork in Portugal</v>
      </c>
      <c r="F88" s="11" t="str">
        <f>IFERROR(__xludf.DUMMYFUNCTION("""COMPUTED_VALUE"""),"Nikka, our square short sleeved linen shirt.")</f>
        <v>Nikka, our square short sleeved linen shirt.</v>
      </c>
      <c r="G88" s="11"/>
      <c r="H88" s="11"/>
      <c r="I88" s="11" t="str">
        <f>IFERROR(__xludf.DUMMYFUNCTION("""COMPUTED_VALUE"""),"keri-white-linen")</f>
        <v>keri-white-linen</v>
      </c>
    </row>
    <row r="89">
      <c r="A89" s="11" t="str">
        <f>IFERROR(__xludf.DUMMYFUNCTION("""COMPUTED_VALUE"""),"Livid Femme")</f>
        <v>Livid Femme</v>
      </c>
      <c r="B89" s="11" t="str">
        <f>IFERROR(__xludf.DUMMYFUNCTION("""COMPUTED_VALUE"""),"Shirt")</f>
        <v>Shirt</v>
      </c>
      <c r="C89" s="11" t="str">
        <f>IFERROR(__xludf.DUMMYFUNCTION("""COMPUTED_VALUE"""),"nikka-peat-linen")</f>
        <v>nikka-peat-linen</v>
      </c>
      <c r="D89" s="11" t="str">
        <f>IFERROR(__xludf.DUMMYFUNCTION("""COMPUTED_VALUE"""),"Nikka Peat Linen")</f>
        <v>Nikka Peat Linen</v>
      </c>
      <c r="E89" s="11"/>
      <c r="F89" s="11"/>
      <c r="G89" s="11"/>
      <c r="H89" s="11"/>
      <c r="I89" s="11"/>
    </row>
    <row r="90">
      <c r="A90" s="11" t="str">
        <f>IFERROR(__xludf.DUMMYFUNCTION("""COMPUTED_VALUE"""),"Livid Femme")</f>
        <v>Livid Femme</v>
      </c>
      <c r="B90" s="11" t="str">
        <f>IFERROR(__xludf.DUMMYFUNCTION("""COMPUTED_VALUE"""),"Singlet")</f>
        <v>Singlet</v>
      </c>
      <c r="C90" s="11" t="str">
        <f>IFERROR(__xludf.DUMMYFUNCTION("""COMPUTED_VALUE"""),"nile-black")</f>
        <v>nile-black</v>
      </c>
      <c r="D90" s="11" t="str">
        <f>IFERROR(__xludf.DUMMYFUNCTION("""COMPUTED_VALUE"""),"Nile Black")</f>
        <v>Nile Black</v>
      </c>
      <c r="E90" s="11" t="str">
        <f>IFERROR(__xludf.DUMMYFUNCTION("""COMPUTED_VALUE"""),"Made in Portugal
Our rib jersey top Nile is one of our jersey essentials. Nile is made in a soft 100% cotton rib jersey made in Portugal.
Nile features a slim shape, an open neck opening with a solid jersey rib at neck and sleeve opening.
The garment f"&amp;"eatures:
- 100% cotton
- Pre-shrunk rib jersey, knitted at Etevimol, Portugal
- Poly core cotton thread
- Made at Texgoios in Portugal
Available in sizes XS to XL.")</f>
        <v>Made in Portugal
Our rib jersey top Nile is one of our jersey essentials. Nile is made in a soft 100% cotton rib jersey made in Portugal.
Nile features a slim shape, an open neck opening with a solid jersey rib at neck and sleeve opening.
The garment features:
- 100% cotton
- Pre-shrunk rib jersey, knitted at Etevimol, Portugal
- Poly core cotton thread
- Made at Texgoios in Portugal
Available in sizes XS to XL.</v>
      </c>
      <c r="F90" s="11" t="str">
        <f>IFERROR(__xludf.DUMMYFUNCTION("""COMPUTED_VALUE"""),"Our rib jersey top Nile featuring a slim shape, an open neck opening with a solid jersey rib at neck and sleeve opening.")</f>
        <v>Our rib jersey top Nile featuring a slim shape, an open neck opening with a solid jersey rib at neck and sleeve opening.</v>
      </c>
      <c r="G90" s="11"/>
      <c r="H90" s="11" t="str">
        <f>IFERROR(__xludf.DUMMYFUNCTION("""COMPUTED_VALUE"""),"nile-white, nile-cashmere-natural, nile-chalk")</f>
        <v>nile-white, nile-cashmere-natural, nile-chalk</v>
      </c>
      <c r="I90" s="11" t="str">
        <f>IFERROR(__xludf.DUMMYFUNCTION("""COMPUTED_VALUE"""),"keri-japan-dawn")</f>
        <v>keri-japan-dawn</v>
      </c>
    </row>
    <row r="91">
      <c r="A91" s="11" t="str">
        <f>IFERROR(__xludf.DUMMYFUNCTION("""COMPUTED_VALUE"""),"Livid Femme")</f>
        <v>Livid Femme</v>
      </c>
      <c r="B91" s="11" t="str">
        <f>IFERROR(__xludf.DUMMYFUNCTION("""COMPUTED_VALUE"""),"Singlet")</f>
        <v>Singlet</v>
      </c>
      <c r="C91" s="11" t="str">
        <f>IFERROR(__xludf.DUMMYFUNCTION("""COMPUTED_VALUE"""),"nile-cashmere-natural")</f>
        <v>nile-cashmere-natural</v>
      </c>
      <c r="D91" s="11" t="str">
        <f>IFERROR(__xludf.DUMMYFUNCTION("""COMPUTED_VALUE"""),"Nile Cashmere Natural")</f>
        <v>Nile Cashmere Natural</v>
      </c>
      <c r="E91" s="11" t="str">
        <f>IFERROR(__xludf.DUMMYFUNCTION("""COMPUTED_VALUE"""),"Made in Portugal
Nile is one of our jersey essentials. Made in a cotton jersey with 10% cashmere for a delicate and super soft handfeel.
Nile features a slim shape, an open neck opening with a solid jersey rib at neck and sleeve opening.
The garment fe"&amp;"atures:
- 90% cotton, 10 % cashmere
- Sewn with durable poly-core cotton thread
- Pre-shrunk rib jersey, knitted at Etevimol, Portugal
- Made at Texgoios in Portugal")</f>
        <v>Made in Portugal
Nile is one of our jersey essentials. Made in a cotton jersey with 10% cashmere for a delicate and super soft handfeel.
Nile features a slim shape, an open neck opening with a solid jersey rib at neck and sleeve opening.
The garment features:
- 90% cotton, 10 % cashmere
- Sewn with durable poly-core cotton thread
- Pre-shrunk rib jersey, knitted at Etevimol, Portugal
- Made at Texgoios in Portugal</v>
      </c>
      <c r="F91" s="11" t="str">
        <f>IFERROR(__xludf.DUMMYFUNCTION("""COMPUTED_VALUE"""),"Nile is one of our jersey essentials. Made in a cotton jersey with 10% cashmere for a delicate and super soft handfeel.")</f>
        <v>Nile is one of our jersey essentials. Made in a cotton jersey with 10% cashmere for a delicate and super soft handfeel.</v>
      </c>
      <c r="G91" s="11"/>
      <c r="H91" s="11" t="str">
        <f>IFERROR(__xludf.DUMMYFUNCTION("""COMPUTED_VALUE"""),"nile-white, nile-chalk, nile-black")</f>
        <v>nile-white, nile-chalk, nile-black</v>
      </c>
      <c r="I91" s="11"/>
    </row>
    <row r="92">
      <c r="A92" s="11" t="str">
        <f>IFERROR(__xludf.DUMMYFUNCTION("""COMPUTED_VALUE"""),"Livid Femme")</f>
        <v>Livid Femme</v>
      </c>
      <c r="B92" s="11" t="str">
        <f>IFERROR(__xludf.DUMMYFUNCTION("""COMPUTED_VALUE"""),"Singlet")</f>
        <v>Singlet</v>
      </c>
      <c r="C92" s="11" t="str">
        <f>IFERROR(__xludf.DUMMYFUNCTION("""COMPUTED_VALUE"""),"nile-chalk")</f>
        <v>nile-chalk</v>
      </c>
      <c r="D92" s="11" t="str">
        <f>IFERROR(__xludf.DUMMYFUNCTION("""COMPUTED_VALUE"""),"Nile Chalk")</f>
        <v>Nile Chalk</v>
      </c>
      <c r="E92" s="11" t="str">
        <f>IFERROR(__xludf.DUMMYFUNCTION("""COMPUTED_VALUE"""),"Made in Portugal
Our rib jersey top Nile is one of our jersey essentials. Nile is made in a soft 100% cotton rib jersey made in Portugal.
Nile features a slim shape, an open neck opening with a solid jersey rib at neck and sleeve opening.
The garment f"&amp;"eatures:
- 100% cotton
- Pre-shrunk rib jersey
- Poly core cotton thread
- Made at Texgoios in Portugal
Available in sizes XS to XL.")</f>
        <v>Made in Portugal
Our rib jersey top Nile is one of our jersey essentials. Nile is made in a soft 100% cotton rib jersey made in Portugal.
Nile features a slim shape, an open neck opening with a solid jersey rib at neck and sleeve opening.
The garment features:
- 100% cotton
- Pre-shrunk rib jersey
- Poly core cotton thread
- Made at Texgoios in Portugal
Available in sizes XS to XL.</v>
      </c>
      <c r="F92" s="11" t="str">
        <f>IFERROR(__xludf.DUMMYFUNCTION("""COMPUTED_VALUE"""),"Our rib jersey top Nile featuring a slim shape, an open neck opening with a solid jersey rib at neck and sleeve opening.")</f>
        <v>Our rib jersey top Nile featuring a slim shape, an open neck opening with a solid jersey rib at neck and sleeve opening.</v>
      </c>
      <c r="G92" s="11"/>
      <c r="H92" s="11" t="str">
        <f>IFERROR(__xludf.DUMMYFUNCTION("""COMPUTED_VALUE"""),"nile-white, nile-cashmere-natural, nile-black")</f>
        <v>nile-white, nile-cashmere-natural, nile-black</v>
      </c>
      <c r="I92" s="11" t="str">
        <f>IFERROR(__xludf.DUMMYFUNCTION("""COMPUTED_VALUE"""),"keri-japan-dawn")</f>
        <v>keri-japan-dawn</v>
      </c>
    </row>
    <row r="93">
      <c r="A93" s="11" t="str">
        <f>IFERROR(__xludf.DUMMYFUNCTION("""COMPUTED_VALUE"""),"Livid Femme")</f>
        <v>Livid Femme</v>
      </c>
      <c r="B93" s="11" t="str">
        <f>IFERROR(__xludf.DUMMYFUNCTION("""COMPUTED_VALUE"""),"Singlet")</f>
        <v>Singlet</v>
      </c>
      <c r="C93" s="11" t="str">
        <f>IFERROR(__xludf.DUMMYFUNCTION("""COMPUTED_VALUE"""),"nile-white")</f>
        <v>nile-white</v>
      </c>
      <c r="D93" s="11" t="str">
        <f>IFERROR(__xludf.DUMMYFUNCTION("""COMPUTED_VALUE"""),"Nile White")</f>
        <v>Nile White</v>
      </c>
      <c r="E93" s="11" t="str">
        <f>IFERROR(__xludf.DUMMYFUNCTION("""COMPUTED_VALUE"""),"Made in Portugal
Our rib jersey top Nile is one of our jersey essentials. Nile is made in a soft 100% cotton rib jersey made in Portugal.
Nile features a slim shape, an open neck opening with a solid jersey rib at neck and sleeve opening.
The garment f"&amp;"eatures:
- 100% cotton
- Pre-shrunk rib jersey, knitted at Etevimol, Portugal
- Poly core cotton thread
- Made at Texgoios in Portugal
Available in sizes XS to XL.")</f>
        <v>Made in Portugal
Our rib jersey top Nile is one of our jersey essentials. Nile is made in a soft 100% cotton rib jersey made in Portugal.
Nile features a slim shape, an open neck opening with a solid jersey rib at neck and sleeve opening.
The garment features:
- 100% cotton
- Pre-shrunk rib jersey, knitted at Etevimol, Portugal
- Poly core cotton thread
- Made at Texgoios in Portugal
Available in sizes XS to XL.</v>
      </c>
      <c r="F93" s="11" t="str">
        <f>IFERROR(__xludf.DUMMYFUNCTION("""COMPUTED_VALUE"""),"Our rib jersey top Nile featuring a slim shape, an open neck opening with a solid jersey rib at neck and sleeve opening.")</f>
        <v>Our rib jersey top Nile featuring a slim shape, an open neck opening with a solid jersey rib at neck and sleeve opening.</v>
      </c>
      <c r="G93" s="11"/>
      <c r="H93" s="11" t="str">
        <f>IFERROR(__xludf.DUMMYFUNCTION("""COMPUTED_VALUE"""),"nile-chalk, nile-cashmere-natural, nile-black")</f>
        <v>nile-chalk, nile-cashmere-natural, nile-black</v>
      </c>
      <c r="I93" s="11"/>
    </row>
    <row r="94">
      <c r="A94" s="11" t="str">
        <f>IFERROR(__xludf.DUMMYFUNCTION("""COMPUTED_VALUE"""),"Livid Femme")</f>
        <v>Livid Femme</v>
      </c>
      <c r="B94" s="11" t="str">
        <f>IFERROR(__xludf.DUMMYFUNCTION("""COMPUTED_VALUE"""),"Shirt")</f>
        <v>Shirt</v>
      </c>
      <c r="C94" s="11" t="str">
        <f>IFERROR(__xludf.DUMMYFUNCTION("""COMPUTED_VALUE"""),"noni-black")</f>
        <v>noni-black</v>
      </c>
      <c r="D94" s="11" t="str">
        <f>IFERROR(__xludf.DUMMYFUNCTION("""COMPUTED_VALUE"""),"Noni Black")</f>
        <v>Noni Black</v>
      </c>
      <c r="E94" s="11" t="str">
        <f>IFERROR(__xludf.DUMMYFUNCTION("""COMPUTED_VALUE"""),"Made in China
Noni. A dramatic funnel neck long sleeve top made in an all-over stitched and smocked floral pattern.
Designed to be worn together with the Blanche skirt for the full evening look, where both pieces can also be worn as separates.
The fabr"&amp;"ic of the top is stitched throughout to create the bubbly texture at the surface, which also provides a comfortable stretch, making the top fit a variety of shapes and mold to the body.")</f>
        <v>Made in China
Noni. A dramatic funnel neck long sleeve top made in an all-over stitched and smocked floral pattern.
Designed to be worn together with the Blanche skirt for the full evening look, where both pieces can also be worn as separates.
The fabric of the top is stitched throughout to create the bubbly texture at the surface, which also provides a comfortable stretch, making the top fit a variety of shapes and mold to the body.</v>
      </c>
      <c r="F94" s="11" t="str">
        <f>IFERROR(__xludf.DUMMYFUNCTION("""COMPUTED_VALUE"""),"Long sleeve funnel neck top made in an all-over stitched and smocked floral pattern.")</f>
        <v>Long sleeve funnel neck top made in an all-over stitched and smocked floral pattern.</v>
      </c>
      <c r="G94" s="11" t="str">
        <f>IFERROR(__xludf.DUMMYFUNCTION("""COMPUTED_VALUE"""),"- 100% Polyester
- Fabric woven by Takisada Nagoya, Japan
- Stitched to create a smocked floral pattern overall
- Zippered closure at the back neck
- Cut and sewn by Yinmao, China")</f>
        <v>- 100% Polyester
- Fabric woven by Takisada Nagoya, Japan
- Stitched to create a smocked floral pattern overall
- Zippered closure at the back neck
- Cut and sewn by Yinmao, China</v>
      </c>
      <c r="H94" s="11" t="str">
        <f>IFERROR(__xludf.DUMMYFUNCTION("""COMPUTED_VALUE"""),"blanche-black")</f>
        <v>blanche-black</v>
      </c>
      <c r="I94" s="11" t="str">
        <f>IFERROR(__xludf.DUMMYFUNCTION("""COMPUTED_VALUE"""),"blanche-black")</f>
        <v>blanche-black</v>
      </c>
    </row>
    <row r="95">
      <c r="A95" s="11" t="str">
        <f>IFERROR(__xludf.DUMMYFUNCTION("""COMPUTED_VALUE"""),"Livid Femme")</f>
        <v>Livid Femme</v>
      </c>
      <c r="B95" s="11" t="str">
        <f>IFERROR(__xludf.DUMMYFUNCTION("""COMPUTED_VALUE"""),"Jeans")</f>
        <v>Jeans</v>
      </c>
      <c r="C95" s="11" t="str">
        <f>IFERROR(__xludf.DUMMYFUNCTION("""COMPUTED_VALUE"""),"page-japan-black-dusk")</f>
        <v>page-japan-black-dusk</v>
      </c>
      <c r="D95" s="11" t="str">
        <f>IFERROR(__xludf.DUMMYFUNCTION("""COMPUTED_VALUE"""),"Page Japan Black Dusk")</f>
        <v>Page Japan Black Dusk</v>
      </c>
      <c r="E95" s="11" t="str">
        <f>IFERROR(__xludf.DUMMYFUNCTION("""COMPUTED_VALUE"""),"Made in Portugal
Our slim straight, Page. Constructed with a mid-rise and a straight fit at the waist, slim through hip and thigh and straight from the knee down. A great fit for a sharp and slim silhouette.
In our slightly washed black, the Japan Black"&amp;" Dusk. Made from a beautiful mid-weight wideloom denim woven at the renowned Japanese fabric mill, Kuroki. This particular fabric was developed by Kuroki, to be a comfortable stretch denim that both looks and ages as a rigid (100% cotton) denim. A super v"&amp;"ersatile denim providing great comfort, stretch and recovery after wear. A safe choice for all who loves a pair of genuine fitting jeans in their wardrobe.")</f>
        <v>Made in Portugal
Our slim straight, Page. Constructed with a mid-rise and a straight fit at the waist, slim through hip and thigh and straight from the knee down. A great fit for a sharp and slim silhouette.
In our slightly washed black, the Japan Black Dusk. Made from a beautiful mid-weight wideloom denim woven at the renowned Japanese fabric mill, Kuroki. This particular fabric was developed by Kuroki, to be a comfortable stretch denim that both looks and ages as a rigid (100% cotton) denim. A super versatile denim providing great comfort, stretch and recovery after wear. A safe choice for all who loves a pair of genuine fitting jeans in their wardrobe.</v>
      </c>
      <c r="F95" s="11" t="str">
        <f>IFERROR(__xludf.DUMMYFUNCTION("""COMPUTED_VALUE"""),"Our slim-straight, Page, in a slightly washed black.")</f>
        <v>Our slim-straight, Page, in a slightly washed black.</v>
      </c>
      <c r="G95" s="11" t="str">
        <f>IFERROR(__xludf.DUMMYFUNCTION("""COMPUTED_VALUE"""),"- 13 Oz comfort wideloom denim from Kuroki, Japan. 
- 98% cotton, 2% polyurethane
- Warp &amp; weft dyed in black
- 5 Oz ecru canvas pocketing
- Black leather patch w/ wax treatment. Made in Italy
- YKK two-prong silver button and zip fly
- YKK solid copper w"&amp;"ashed-burr rivets
- Stitched with durable poly-core cotton thread
- Made at Lisama, Portugal")</f>
        <v>- 13 Oz comfort wideloom denim from Kuroki, Japan. 
- 98% cotton, 2% polyurethane
- Warp &amp; weft dyed in black
- 5 Oz ecru canvas pocketing
- Black leather patch w/ wax treatment. Made in Italy
- YKK two-prong silver button and zip fly
- YKK solid copper washed-burr rivets
- Stitched with durable poly-core cotton thread
- Made at Lisama, Portugal</v>
      </c>
      <c r="H95" s="11" t="str">
        <f>IFERROR(__xludf.DUMMYFUNCTION("""COMPUTED_VALUE"""),"page-japan-indigo-dusk")</f>
        <v>page-japan-indigo-dusk</v>
      </c>
      <c r="I95" s="11" t="str">
        <f>IFERROR(__xludf.DUMMYFUNCTION("""COMPUTED_VALUE"""),"toucan-black")</f>
        <v>toucan-black</v>
      </c>
    </row>
    <row r="96">
      <c r="A96" s="11" t="str">
        <f>IFERROR(__xludf.DUMMYFUNCTION("""COMPUTED_VALUE"""),"Livid Femme")</f>
        <v>Livid Femme</v>
      </c>
      <c r="B96" s="11" t="str">
        <f>IFERROR(__xludf.DUMMYFUNCTION("""COMPUTED_VALUE"""),"Jeans")</f>
        <v>Jeans</v>
      </c>
      <c r="C96" s="11" t="str">
        <f>IFERROR(__xludf.DUMMYFUNCTION("""COMPUTED_VALUE"""),"page-japan-indigo-dusk")</f>
        <v>page-japan-indigo-dusk</v>
      </c>
      <c r="D96" s="11" t="str">
        <f>IFERROR(__xludf.DUMMYFUNCTION("""COMPUTED_VALUE"""),"Page Japan Indigo Dusk")</f>
        <v>Page Japan Indigo Dusk</v>
      </c>
      <c r="E96" s="11" t="str">
        <f>IFERROR(__xludf.DUMMYFUNCTION("""COMPUTED_VALUE"""),"Made in Portugal
Our slim straight, Page. Constructed with a mid-rise and a straight fit at the waist, slim through hip and thigh and straight from the knee down. A great fit for a sharp and slim silhouette.
In our deep blue wash, the Japan Indigo Dusk."&amp;" Made from a beautiful mid-weight wideloom denim woven at the renowned Japanese fabric mill, Kuroki. This particular fabric was developed by Kuroki, to be a comfortable stretch denim that both looks and ages as a rigid (100% cotton) denim. That is also wh"&amp;"y this denim has been one of the most widely used denim qualities throughout our collections, now being the fabric of choice for most of our comfort range. A super versatile denim, beautiful in all types of shades in addition to providing great comfort, s"&amp;"tretch and recovery after wear. A safe choice for all who loves a pair of genuine fitting jeans in their wardrobe.")</f>
        <v>Made in Portugal
Our slim straight, Page. Constructed with a mid-rise and a straight fit at the waist, slim through hip and thigh and straight from the knee down. A great fit for a sharp and slim silhouette.
In our deep blue wash, the Japan Indigo Dusk. Made from a beautiful mid-weight wideloom denim woven at the renowned Japanese fabric mill, Kuroki. This particular fabric was developed by Kuroki, to be a comfortable stretch denim that both looks and ages as a rigid (100% cotton) denim. That is also why this denim has been one of the most widely used denim qualities throughout our collections, now being the fabric of choice for most of our comfort range. A super versatile denim, beautiful in all types of shades in addition to providing great comfort, stretch and recovery after wear. A safe choice for all who loves a pair of genuine fitting jeans in their wardrobe.</v>
      </c>
      <c r="F96" s="11" t="str">
        <f>IFERROR(__xludf.DUMMYFUNCTION("""COMPUTED_VALUE"""),"Our slim-straight, Page, in a deep blue wash.")</f>
        <v>Our slim-straight, Page, in a deep blue wash.</v>
      </c>
      <c r="G96" s="11" t="str">
        <f>IFERROR(__xludf.DUMMYFUNCTION("""COMPUTED_VALUE"""),"- 13 Oz comfort wideloom denim from Kuroki, Japan. 
- 98% cotton, 2% polyurethane
- Warp dyed in indigo, natural coloured weft
- 5 Oz ecru canvas pocketing 
- Tanned leather patch w/ wax treatment, Made in Italy. 
- YKK two-prong silver button and zip fly"&amp;"
- YKK solid copper washed-burr rivets
- Stitched with durable poly-core cotton thread
- Made at Lisama, Portugal")</f>
        <v>- 13 Oz comfort wideloom denim from Kuroki, Japan. 
- 98% cotton, 2% polyurethane
- Warp dyed in indigo, natural coloured weft
- 5 Oz ecru canvas pocketing 
- Tanned leather patch w/ wax treatment, Made in Italy. 
- YKK two-prong silver button and zip fly
- YKK solid copper washed-burr rivets
- Stitched with durable poly-core cotton thread
- Made at Lisama, Portugal</v>
      </c>
      <c r="H96" s="11" t="str">
        <f>IFERROR(__xludf.DUMMYFUNCTION("""COMPUTED_VALUE"""),"page-japan-black-dusk")</f>
        <v>page-japan-black-dusk</v>
      </c>
      <c r="I96" s="11" t="str">
        <f>IFERROR(__xludf.DUMMYFUNCTION("""COMPUTED_VALUE"""),"hyde-tee-black")</f>
        <v>hyde-tee-black</v>
      </c>
    </row>
    <row r="97">
      <c r="A97" s="11" t="str">
        <f>IFERROR(__xludf.DUMMYFUNCTION("""COMPUTED_VALUE"""),"Livid Femme")</f>
        <v>Livid Femme</v>
      </c>
      <c r="B97" s="11" t="str">
        <f>IFERROR(__xludf.DUMMYFUNCTION("""COMPUTED_VALUE"""),"Jacket")</f>
        <v>Jacket</v>
      </c>
      <c r="C97" s="11" t="str">
        <f>IFERROR(__xludf.DUMMYFUNCTION("""COMPUTED_VALUE"""),"peyton-black")</f>
        <v>peyton-black</v>
      </c>
      <c r="D97" s="11" t="str">
        <f>IFERROR(__xludf.DUMMYFUNCTION("""COMPUTED_VALUE"""),"Peyton Black")</f>
        <v>Peyton Black</v>
      </c>
      <c r="E97" s="11" t="str">
        <f>IFERROR(__xludf.DUMMYFUNCTION("""COMPUTED_VALUE"""),"Made in China
Made in a gloriously soft cashmere blend, that's both lightweight and warming. Finished with elegant low profile seams, possible due to the fine splittable doubleface wool.
The Peyton jacket is designed with dropped shoulders, straight sle"&amp;"eves and a relaxed, boxy body. Its shorter length ending precicely at the top of the hip. Finished with a silver two-way zip.")</f>
        <v>Made in China
Made in a gloriously soft cashmere blend, that's both lightweight and warming. Finished with elegant low profile seams, possible due to the fine splittable doubleface wool.
The Peyton jacket is designed with dropped shoulders, straight sleeves and a relaxed, boxy body. Its shorter length ending precicely at the top of the hip. Finished with a silver two-way zip.</v>
      </c>
      <c r="F97" s="11" t="str">
        <f>IFERROR(__xludf.DUMMYFUNCTION("""COMPUTED_VALUE"""),"Peyton, our cashmere blend jacket.")</f>
        <v>Peyton, our cashmere blend jacket.</v>
      </c>
      <c r="G97" s="11" t="str">
        <f>IFERROR(__xludf.DUMMYFUNCTION("""COMPUTED_VALUE"""),"Details
- 90% wool, 10% cashmere 
- Doubleface splittable fabric woven by Taian Fanzhen, China
- YKK two-way sillver zip
- Manufactured by Bonus Trading, China")</f>
        <v>Details
- 90% wool, 10% cashmere 
- Doubleface splittable fabric woven by Taian Fanzhen, China
- YKK two-way sillver zip
- Manufactured by Bonus Trading, China</v>
      </c>
      <c r="H97" s="11"/>
      <c r="I97" s="11" t="str">
        <f>IFERROR(__xludf.DUMMYFUNCTION("""COMPUTED_VALUE"""),"keri-japan-sandbox")</f>
        <v>keri-japan-sandbox</v>
      </c>
    </row>
    <row r="98">
      <c r="A98" s="11" t="str">
        <f>IFERROR(__xludf.DUMMYFUNCTION("""COMPUTED_VALUE"""),"Livid Femme")</f>
        <v>Livid Femme</v>
      </c>
      <c r="B98" s="11" t="str">
        <f>IFERROR(__xludf.DUMMYFUNCTION("""COMPUTED_VALUE"""),"Dress")</f>
        <v>Dress</v>
      </c>
      <c r="C98" s="11" t="str">
        <f>IFERROR(__xludf.DUMMYFUNCTION("""COMPUTED_VALUE"""),"ridley-japan-milk-crepe")</f>
        <v>ridley-japan-milk-crepe</v>
      </c>
      <c r="D98" s="11" t="str">
        <f>IFERROR(__xludf.DUMMYFUNCTION("""COMPUTED_VALUE"""),"Ridley Japan Milk Crepe")</f>
        <v>Ridley Japan Milk Crepe</v>
      </c>
      <c r="E98" s="11" t="str">
        <f>IFERROR(__xludf.DUMMYFUNCTION("""COMPUTED_VALUE"""),"Made in Portugal.
Ridley, our lightest summer dress. Designed with a deep and open neckline that flows freely into a wide full-length skirt.
Made in a beautiful crepe fabric woven by Komon Kobo, the Ridley dress exhibits a fluid and elegant drape, while"&amp;" feeling light and breathable on the skin.
Details
- Polyester crepe woven by Komon Kobo in Japan
- Zipper at back of neck, made by YKK in Portugal
- Stitched with durable poly core thread
- Cut &amp; Sewn by Stork, Portugal")</f>
        <v>Made in Portugal.
Ridley, our lightest summer dress. Designed with a deep and open neckline that flows freely into a wide full-length skirt.
Made in a beautiful crepe fabric woven by Komon Kobo, the Ridley dress exhibits a fluid and elegant drape, while feeling light and breathable on the skin.
Details
- Polyester crepe woven by Komon Kobo in Japan
- Zipper at back of neck, made by YKK in Portugal
- Stitched with durable poly core thread
- Cut &amp; Sewn by Stork, Portugal</v>
      </c>
      <c r="F98" s="11" t="str">
        <f>IFERROR(__xludf.DUMMYFUNCTION("""COMPUTED_VALUE"""),"Designed with a deep and open neckline, flowing into a wide, full-length skirt. Ridley exhibits a fluid and elegant drape, feeling light and breathable.")</f>
        <v>Designed with a deep and open neckline, flowing into a wide, full-length skirt. Ridley exhibits a fluid and elegant drape, feeling light and breathable.</v>
      </c>
      <c r="G98" s="11"/>
      <c r="H98" s="11"/>
      <c r="I98" s="11"/>
    </row>
    <row r="99">
      <c r="A99" s="11" t="str">
        <f>IFERROR(__xludf.DUMMYFUNCTION("""COMPUTED_VALUE"""),"Livid Femme")</f>
        <v>Livid Femme</v>
      </c>
      <c r="B99" s="11" t="str">
        <f>IFERROR(__xludf.DUMMYFUNCTION("""COMPUTED_VALUE"""),"Dress")</f>
        <v>Dress</v>
      </c>
      <c r="C99" s="11" t="str">
        <f>IFERROR(__xludf.DUMMYFUNCTION("""COMPUTED_VALUE"""),"saori-japan-magnet-crepe")</f>
        <v>saori-japan-magnet-crepe</v>
      </c>
      <c r="D99" s="11" t="str">
        <f>IFERROR(__xludf.DUMMYFUNCTION("""COMPUTED_VALUE"""),"Saori Japan Magnet Crepe")</f>
        <v>Saori Japan Magnet Crepe</v>
      </c>
      <c r="E99" s="11" t="str">
        <f>IFERROR(__xludf.DUMMYFUNCTION("""COMPUTED_VALUE"""),"Made in Portugal.
The elegant Saori. Designed with a fitted hip that creates an effortless volume, before ending in a full length, slightly A-lined skirt. 
Made in a beautiful crepe fabric woven by Komon Kobo, the Saori dress exhibits a fluid and elegan"&amp;"t drape, while feeling light and breathable on the skin.
Details
- Polyester crepe woven by Komon Kobo in Japan
- Zipper at back of neck, made by YKK in Portugal
- Stitched with durable poly core thread
- Cut &amp; Sewn by Stork, Portugal")</f>
        <v>Made in Portugal.
The elegant Saori. Designed with a fitted hip that creates an effortless volume, before ending in a full length, slightly A-lined skirt. 
Made in a beautiful crepe fabric woven by Komon Kobo, the Saori dress exhibits a fluid and elegant drape, while feeling light and breathable on the skin.
Details
- Polyester crepe woven by Komon Kobo in Japan
- Zipper at back of neck, made by YKK in Portugal
- Stitched with durable poly core thread
- Cut &amp; Sewn by Stork, Portugal</v>
      </c>
      <c r="F99" s="11" t="str">
        <f>IFERROR(__xludf.DUMMYFUNCTION("""COMPUTED_VALUE"""),"Designed with a fitted waist, creating effortless volume, ending in a full length skirt in a beautiful Japanese crepe fabric.")</f>
        <v>Designed with a fitted waist, creating effortless volume, ending in a full length skirt in a beautiful Japanese crepe fabric.</v>
      </c>
      <c r="G99" s="11"/>
      <c r="H99" s="11"/>
      <c r="I99" s="11"/>
    </row>
    <row r="100">
      <c r="A100" s="11" t="str">
        <f>IFERROR(__xludf.DUMMYFUNCTION("""COMPUTED_VALUE"""),"Livid Femme")</f>
        <v>Livid Femme</v>
      </c>
      <c r="B100" s="11" t="str">
        <f>IFERROR(__xludf.DUMMYFUNCTION("""COMPUTED_VALUE"""),"Jeans")</f>
        <v>Jeans</v>
      </c>
      <c r="C100" s="11" t="str">
        <f>IFERROR(__xludf.DUMMYFUNCTION("""COMPUTED_VALUE"""),"siren-japan-black-dusk")</f>
        <v>siren-japan-black-dusk</v>
      </c>
      <c r="D100" s="11" t="str">
        <f>IFERROR(__xludf.DUMMYFUNCTION("""COMPUTED_VALUE"""),"Siren Japan Black Dusk")</f>
        <v>Siren Japan Black Dusk</v>
      </c>
      <c r="E100" s="11" t="str">
        <f>IFERROR(__xludf.DUMMYFUNCTION("""COMPUTED_VALUE"""),"Made in Portugal
Introducing Siren. An updated take on the classic straight. Mid-rise, with a straight waist, a flat front and a confident straight silhouette.
In our slightly broken-in Japan Black Dusk wash. Made in a solid 13 Oz 100% cotton denim from"&amp;" the renowned Japanese denim mill Kuroki. Soft to the touch, the Japan Black Dusk is deep black with subtle fading at the the seams.")</f>
        <v>Made in Portugal
Introducing Siren. An updated take on the classic straight. Mid-rise, with a straight waist, a flat front and a confident straight silhouette.
In our slightly broken-in Japan Black Dusk wash. Made in a solid 13 Oz 100% cotton denim from the renowned Japanese denim mill Kuroki. Soft to the touch, the Japan Black Dusk is deep black with subtle fading at the the seams.</v>
      </c>
      <c r="F100" s="11" t="str">
        <f>IFERROR(__xludf.DUMMYFUNCTION("""COMPUTED_VALUE"""),"Our rigid straight, Siren, in a slightly washed black.")</f>
        <v>Our rigid straight, Siren, in a slightly washed black.</v>
      </c>
      <c r="G100" s="11" t="str">
        <f>IFERROR(__xludf.DUMMYFUNCTION("""COMPUTED_VALUE"""),"- 13 Oz wideloom denim from Kuroki, Japan
- 100% Sanforized cotton
- Warp &amp; Weft sulphur dyed black
- 8 Oz. ecru canvas pocketing
- Black leather patch w/ wax treatment, Made in Italy.
- YKK two-prong, silver button and zip fly
- YKK solid copper washed-b"&amp;"urr rivets
- Stitched with durable poly core cotton thread
- Made at Lisama, Portugal")</f>
        <v>- 13 Oz wideloom denim from Kuroki, Japan
- 100% Sanforized cotton
- Warp &amp; Weft sulphur dyed black
- 8 Oz. ecru canvas pocketing
- Black leather patch w/ wax treatment, Made in Italy.
- YKK two-prong, silver button and zip fly
- YKK solid copper washed-burr rivets
- Stitched with durable poly core cotton thread
- Made at Lisama, Portugal</v>
      </c>
      <c r="H100" s="11" t="str">
        <f>IFERROR(__xludf.DUMMYFUNCTION("""COMPUTED_VALUE"""),"siren-japan-era")</f>
        <v>siren-japan-era</v>
      </c>
      <c r="I100" s="11" t="str">
        <f>IFERROR(__xludf.DUMMYFUNCTION("""COMPUTED_VALUE"""),"teta-grey-melange")</f>
        <v>teta-grey-melange</v>
      </c>
    </row>
    <row r="101">
      <c r="A101" s="11" t="str">
        <f>IFERROR(__xludf.DUMMYFUNCTION("""COMPUTED_VALUE"""),"Livid Femme")</f>
        <v>Livid Femme</v>
      </c>
      <c r="B101" s="11" t="str">
        <f>IFERROR(__xludf.DUMMYFUNCTION("""COMPUTED_VALUE"""),"Jeans")</f>
        <v>Jeans</v>
      </c>
      <c r="C101" s="11" t="str">
        <f>IFERROR(__xludf.DUMMYFUNCTION("""COMPUTED_VALUE"""),"siren-japan-era")</f>
        <v>siren-japan-era</v>
      </c>
      <c r="D101" s="11" t="str">
        <f>IFERROR(__xludf.DUMMYFUNCTION("""COMPUTED_VALUE"""),"Siren Japan Era")</f>
        <v>Siren Japan Era</v>
      </c>
      <c r="E101" s="11" t="str">
        <f>IFERROR(__xludf.DUMMYFUNCTION("""COMPUTED_VALUE"""),"Made in Portugal
Introducing Siren. An updated take on the classic straight. Mid-rise, with a straight waist, a flat front and a confident straight silhouette.
In our faded mid-blue wash, Japan Era. Made with a 13 Oz. 100% cotton, indigo wideloom denim "&amp;"woven by the renowned Japanese denim mill, Kuroki. Washed to a soft shade of indigo with subtle wear patterns for a classic vintage look.")</f>
        <v>Made in Portugal
Introducing Siren. An updated take on the classic straight. Mid-rise, with a straight waist, a flat front and a confident straight silhouette.
In our faded mid-blue wash, Japan Era. Made with a 13 Oz. 100% cotton, indigo wideloom denim woven by the renowned Japanese denim mill, Kuroki. Washed to a soft shade of indigo with subtle wear patterns for a classic vintage look.</v>
      </c>
      <c r="F101" s="11" t="str">
        <f>IFERROR(__xludf.DUMMYFUNCTION("""COMPUTED_VALUE"""),"Our rigid straight, Siren, in a vintage mid-blue wash.")</f>
        <v>Our rigid straight, Siren, in a vintage mid-blue wash.</v>
      </c>
      <c r="G101" s="11" t="str">
        <f>IFERROR(__xludf.DUMMYFUNCTION("""COMPUTED_VALUE"""),"- Mid-blue washed rope-dyed indigo denim
- 13 Oz wideloom denim from Kuroki, Japan
- 100% Sanforized cotton
- Warp dyed in indigo, natural coloured weft
- 8 Oz ecru canvas pocketing
- Natural leather patch w/ wax treatment, Made in Italy.
- YKK two-prong "&amp;"silver button fly
- YKK solid copper washed-burr rivets
- Stitched with poly-core cotton thread
- Made at Lisama, Portugal")</f>
        <v>- Mid-blue washed rope-dyed indigo denim
- 13 Oz wideloom denim from Kuroki, Japan
- 100% Sanforized cotton
- Warp dyed in indigo, natural coloured weft
- 8 Oz ecru canvas pocketing
- Natural leather patch w/ wax treatment, Made in Italy.
- YKK two-prong silver button fly
- YKK solid copper washed-burr rivets
- Stitched with poly-core cotton thread
- Made at Lisama, Portugal</v>
      </c>
      <c r="H101" s="11" t="str">
        <f>IFERROR(__xludf.DUMMYFUNCTION("""COMPUTED_VALUE"""),"siren-japan-black-dusk")</f>
        <v>siren-japan-black-dusk</v>
      </c>
      <c r="I101" s="11" t="str">
        <f>IFERROR(__xludf.DUMMYFUNCTION("""COMPUTED_VALUE"""),"toucan-black")</f>
        <v>toucan-black</v>
      </c>
    </row>
    <row r="102">
      <c r="A102" s="11" t="str">
        <f>IFERROR(__xludf.DUMMYFUNCTION("""COMPUTED_VALUE"""),"Livid Femme")</f>
        <v>Livid Femme</v>
      </c>
      <c r="B102" s="11" t="str">
        <f>IFERROR(__xludf.DUMMYFUNCTION("""COMPUTED_VALUE"""),"Knitwear")</f>
        <v>Knitwear</v>
      </c>
      <c r="C102" s="11" t="str">
        <f>IFERROR(__xludf.DUMMYFUNCTION("""COMPUTED_VALUE"""),"teta-black")</f>
        <v>teta-black</v>
      </c>
      <c r="D102" s="11" t="str">
        <f>IFERROR(__xludf.DUMMYFUNCTION("""COMPUTED_VALUE"""),"Teta Black")</f>
        <v>Teta Black</v>
      </c>
      <c r="E102" s="11" t="str">
        <f>IFERROR(__xludf.DUMMYFUNCTION("""COMPUTED_VALUE"""),"Made in China 
Made from a beautiful lightweight 100% extra fine merino wool, spun by the renowned European wool spinner Biella Yarn.
Refined, but durable enough to be worn every day. With a slim fit perfect for layering, and a luxurious soft handfeel. "&amp;"The super soft merino quality from Biella allows you to wear it directly on your skin without any itching.")</f>
        <v>Made in China 
Made from a beautiful lightweight 100% extra fine merino wool, spun by the renowned European wool spinner Biella Yarn.
Refined, but durable enough to be worn every day. With a slim fit perfect for layering, and a luxurious soft handfeel. The super soft merino quality from Biella allows you to wear it directly on your skin without any itching.</v>
      </c>
      <c r="F102" s="11" t="str">
        <f>IFERROR(__xludf.DUMMYFUNCTION("""COMPUTED_VALUE"""),"Teta, our ribbed merino baselayer.")</f>
        <v>Teta, our ribbed merino baselayer.</v>
      </c>
      <c r="G102" s="11" t="str">
        <f>IFERROR(__xludf.DUMMYFUNCTION("""COMPUTED_VALUE"""),"- 100% extra fine merino wool
- Merino wool yarn spun in Europe by Biella Yarn
- 14 guage rib knit
- Soft, elastic and super resistant.
- Knitted by Springair in China")</f>
        <v>- 100% extra fine merino wool
- Merino wool yarn spun in Europe by Biella Yarn
- 14 guage rib knit
- Soft, elastic and super resistant.
- Knitted by Springair in China</v>
      </c>
      <c r="H102" s="11" t="str">
        <f>IFERROR(__xludf.DUMMYFUNCTION("""COMPUTED_VALUE"""),"teta-grey-melange")</f>
        <v>teta-grey-melange</v>
      </c>
      <c r="I102" s="11"/>
    </row>
    <row r="103">
      <c r="A103" s="11" t="str">
        <f>IFERROR(__xludf.DUMMYFUNCTION("""COMPUTED_VALUE"""),"Livid Femme")</f>
        <v>Livid Femme</v>
      </c>
      <c r="B103" s="11" t="str">
        <f>IFERROR(__xludf.DUMMYFUNCTION("""COMPUTED_VALUE"""),"Knitwear")</f>
        <v>Knitwear</v>
      </c>
      <c r="C103" s="11" t="str">
        <f>IFERROR(__xludf.DUMMYFUNCTION("""COMPUTED_VALUE"""),"teta-grey-melange")</f>
        <v>teta-grey-melange</v>
      </c>
      <c r="D103" s="11" t="str">
        <f>IFERROR(__xludf.DUMMYFUNCTION("""COMPUTED_VALUE"""),"Teta Grey Melange")</f>
        <v>Teta Grey Melange</v>
      </c>
      <c r="E103" s="11" t="str">
        <f>IFERROR(__xludf.DUMMYFUNCTION("""COMPUTED_VALUE"""),"Made in China 
Made from a beautiful lightweight 100% extra fine merino wool, spun by the renowned European wool spinner Biella Yarn.
Refined, but durable enough to be worn every day. With a slim fit perfect for layering, and a luxurious soft handfeel. "&amp;"The super soft merino quality from Biella allows you to wear it directly on your skin without any itching.")</f>
        <v>Made in China 
Made from a beautiful lightweight 100% extra fine merino wool, spun by the renowned European wool spinner Biella Yarn.
Refined, but durable enough to be worn every day. With a slim fit perfect for layering, and a luxurious soft handfeel. The super soft merino quality from Biella allows you to wear it directly on your skin without any itching.</v>
      </c>
      <c r="F103" s="11" t="str">
        <f>IFERROR(__xludf.DUMMYFUNCTION("""COMPUTED_VALUE"""),"Teta, our ribbed merino baselayer.")</f>
        <v>Teta, our ribbed merino baselayer.</v>
      </c>
      <c r="G103" s="11" t="str">
        <f>IFERROR(__xludf.DUMMYFUNCTION("""COMPUTED_VALUE"""),"- 100% extra fine merino wool
- Merino wool yarn spun in Europe by Biella Yarn
- 14 guage rib knit
- Soft, elastic and super resistant.
- Knitted by Springair in China")</f>
        <v>- 100% extra fine merino wool
- Merino wool yarn spun in Europe by Biella Yarn
- 14 guage rib knit
- Soft, elastic and super resistant.
- Knitted by Springair in China</v>
      </c>
      <c r="H103" s="11" t="str">
        <f>IFERROR(__xludf.DUMMYFUNCTION("""COMPUTED_VALUE"""),"teta-black")</f>
        <v>teta-black</v>
      </c>
      <c r="I103" s="11"/>
    </row>
    <row r="104">
      <c r="A104" s="11" t="str">
        <f>IFERROR(__xludf.DUMMYFUNCTION("""COMPUTED_VALUE"""),"Livid Femme")</f>
        <v>Livid Femme</v>
      </c>
      <c r="B104" s="11" t="str">
        <f>IFERROR(__xludf.DUMMYFUNCTION("""COMPUTED_VALUE"""),"Jeans")</f>
        <v>Jeans</v>
      </c>
      <c r="C104" s="11" t="str">
        <f>IFERROR(__xludf.DUMMYFUNCTION("""COMPUTED_VALUE"""),"tia-japan-black")</f>
        <v>tia-japan-black</v>
      </c>
      <c r="D104" s="11" t="str">
        <f>IFERROR(__xludf.DUMMYFUNCTION("""COMPUTED_VALUE"""),"Tia Japan Black")</f>
        <v>Tia Japan Black</v>
      </c>
      <c r="E104" s="11" t="str">
        <f>IFERROR(__xludf.DUMMYFUNCTION("""COMPUTED_VALUE"""),"Made in Portugal
Our high-rise straight leg, Tia. Constructed with a high back- and front- rise that is curved and fitted through the hip and seat, then straight from top of thigh all the way down, ending in a medium wide leg opening.
Made in our sharp "&amp;"black, the Japan Black Comfort. Made from a 10,6 Oz black comfort wideloom denim woven at the renowned Japanese fabric mill, Kuroki. This particular fabric has been made with a premium black sulphur dye that keeps the dark shade longer than most fabrics i"&amp;"n the same segment. While all black denim loose colour over time, this particular denim fades in contrast after wear, like real indigo denim. This is due a special technique called rope dyeing, where the yarns are dipped in short intervals between oxidati"&amp;"on. This prevents the dye from completely penetrating the core of the fibres, leaving it fresh, natural and untouched. This makes our black jeans age beautifully over time, instead of ending up a dull grey. As the black colour is gradually worn down, the "&amp;"natural coloured cotton core will appear, leaving a contrasting and highly personal fade from wear.
Model is 178 cm and wears a size 26/34")</f>
        <v>Made in Portugal
Our high-rise straight leg, Tia. Constructed with a high back- and front- rise that is curved and fitted through the hip and seat, then straight from top of thigh all the way down, ending in a medium wide leg opening.
Made in our sharp black, the Japan Black Comfort. Made from a 10,6 Oz black comfort wideloom denim woven at the renowned Japanese fabric mill, Kuroki. This particular fabric has been made with a premium black sulphur dye that keeps the dark shade longer than most fabrics in the same segment. While all black denim loose colour over time, this particular denim fades in contrast after wear, like real indigo denim. This is due a special technique called rope dyeing, where the yarns are dipped in short intervals between oxidation. This prevents the dye from completely penetrating the core of the fibres, leaving it fresh, natural and untouched. This makes our black jeans age beautifully over time, instead of ending up a dull grey. As the black colour is gradually worn down, the natural coloured cotton core will appear, leaving a contrasting and highly personal fade from wear.
Model is 178 cm and wears a size 26/34</v>
      </c>
      <c r="F104" s="11" t="str">
        <f>IFERROR(__xludf.DUMMYFUNCTION("""COMPUTED_VALUE"""),"Our high-waisted straight, in black.")</f>
        <v>Our high-waisted straight, in black.</v>
      </c>
      <c r="G104" s="11" t="str">
        <f>IFERROR(__xludf.DUMMYFUNCTION("""COMPUTED_VALUE"""),"- 10,6 Oz comfort wideloom denim from Kuroki, Japan
- 96% cotton / 4% polyurethane
- Warp &amp; weft dyed in black
- 5 Oz ecru canvas pocketing
- Black leather patch w/ wax treatment. Made in Italy
- YKK two-prong silver button and zip fly
- YKK solid copper "&amp;"washed-burr rivets
- Stitched with poly core cotton thread
- Made at Lisama, Portugal")</f>
        <v>- 10,6 Oz comfort wideloom denim from Kuroki, Japan
- 96% cotton / 4% polyurethane
- Warp &amp; weft dyed in black
- 5 Oz ecru canvas pocketing
- Black leather patch w/ wax treatment. Made in Italy
- YKK two-prong silver button and zip fly
- YKK solid copper washed-burr rivets
- Stitched with poly core cotton thread
- Made at Lisama, Portugal</v>
      </c>
      <c r="H104" s="11"/>
      <c r="I104" s="11" t="str">
        <f>IFERROR(__xludf.DUMMYFUNCTION("""COMPUTED_VALUE"""),"teta-black")</f>
        <v>teta-black</v>
      </c>
    </row>
    <row r="105">
      <c r="A105" s="11" t="str">
        <f>IFERROR(__xludf.DUMMYFUNCTION("""COMPUTED_VALUE"""),"Livid Femme")</f>
        <v>Livid Femme</v>
      </c>
      <c r="B105" s="11" t="str">
        <f>IFERROR(__xludf.DUMMYFUNCTION("""COMPUTED_VALUE"""),"Jeans")</f>
        <v>Jeans</v>
      </c>
      <c r="C105" s="11" t="str">
        <f>IFERROR(__xludf.DUMMYFUNCTION("""COMPUTED_VALUE"""),"tia-japan-blue")</f>
        <v>tia-japan-blue</v>
      </c>
      <c r="D105" s="11" t="str">
        <f>IFERROR(__xludf.DUMMYFUNCTION("""COMPUTED_VALUE"""),"Tia Japan Blue")</f>
        <v>Tia Japan Blue</v>
      </c>
      <c r="E105" s="11" t="str">
        <f>IFERROR(__xludf.DUMMYFUNCTION("""COMPUTED_VALUE"""),"Made in Portugal
The Japan Blue. Made from a beautiful mid-weight wideloom denim woven at the renowned Japanese fabric mill, Kuroki. This particular fabric was built by Kuroki with a main goal at hand, creating a comfortable stretch denim that maintained"&amp;" the look of a rigid (100% cotton) denim. That is also particularly why this denim is the most widely used denim-article throughout our collections, now being the fabric of choice for 10 different core-styles in our rage. A super versatile denim, beautifu"&amp;"l in all types of shades in addition to providing great comfort, stretch and recovery after wear. A safe choice for all who loves a pair of genuine fitting jeans in their wardrobe.
Made in our wide leg jeans, Tia.
Details &amp; Features
- 13 Oz comfort wide"&amp;"loom denim from Kuroki, Japan. 
- 98% cotton / 2% polyurethane
- Warp dyed in indigo, natural coloured weft
- 5 Oz ecru canvas pocketing 
- Tanned leather patch w/ wax treatment, Made in Italy. 
- YKK two-prongtack, silver button and zip fly
- YKK solid c"&amp;"opper washed-burr rivets
- Stitched with poly core cotton thread
- Made at Lisama, Portugal
Model is 178 cm and wears a size 26/34
Go to our fit guide to read more about the Tia Wide.
Available sizes are 24-34 in 32” inseam and 26-34 in 34” inseam.")</f>
        <v>Made in Portugal
The Japan Blue. Made from a beautiful mid-weight wideloom denim woven at the renowned Japanese fabric mill, Kuroki. This particular fabric was built by Kuroki with a main goal at hand, creating a comfortable stretch denim that maintained the look of a rigid (100% cotton) denim. That is also particularly why this denim is the most widely used denim-article throughout our collections, now being the fabric of choice for 10 different core-styles in our rage. A super versatile denim, beautiful in all types of shades in addition to providing great comfort, stretch and recovery after wear. A safe choice for all who loves a pair of genuine fitting jeans in their wardrobe.
Made in our wide leg jeans, Tia.
Details &amp; Features
- 13 Oz comfort wideloom denim from Kuroki, Japan. 
- 98% cotton / 2% polyurethane
- Warp dyed in indigo, natural coloured weft
- 5 Oz ecru canvas pocketing 
- Tanned leather patch w/ wax treatment, Made in Italy. 
- YKK two-prongtack, silver button and zip fly
- YKK solid copper washed-burr rivets
- Stitched with poly core cotton thread
- Made at Lisama, Portugal
Model is 178 cm and wears a size 26/34
Go to our fit guide to read more about the Tia Wide.
Available sizes are 24-34 in 32” inseam and 26-34 in 34” inseam.</v>
      </c>
      <c r="F105" s="11" t="str">
        <f>IFERROR(__xludf.DUMMYFUNCTION("""COMPUTED_VALUE"""),"Our high-waisted straight, in our light blue wash")</f>
        <v>Our high-waisted straight, in our light blue wash</v>
      </c>
      <c r="G105" s="11"/>
      <c r="H105" s="11" t="str">
        <f>IFERROR(__xludf.DUMMYFUNCTION("""COMPUTED_VALUE"""),"tia-japan-indigo, tia-japan-black")</f>
        <v>tia-japan-indigo, tia-japan-black</v>
      </c>
      <c r="I105" s="11"/>
    </row>
    <row r="106">
      <c r="A106" s="11" t="str">
        <f>IFERROR(__xludf.DUMMYFUNCTION("""COMPUTED_VALUE"""),"Livid Femme")</f>
        <v>Livid Femme</v>
      </c>
      <c r="B106" s="11" t="str">
        <f>IFERROR(__xludf.DUMMYFUNCTION("""COMPUTED_VALUE"""),"Jeans")</f>
        <v>Jeans</v>
      </c>
      <c r="C106" s="11" t="str">
        <f>IFERROR(__xludf.DUMMYFUNCTION("""COMPUTED_VALUE"""),"tia-japan-fade")</f>
        <v>tia-japan-fade</v>
      </c>
      <c r="D106" s="11" t="str">
        <f>IFERROR(__xludf.DUMMYFUNCTION("""COMPUTED_VALUE"""),"Tia Japan Fade")</f>
        <v>Tia Japan Fade</v>
      </c>
      <c r="E106" s="11"/>
      <c r="F106" s="11"/>
      <c r="G106" s="11"/>
      <c r="H106" s="11"/>
      <c r="I106" s="11"/>
    </row>
    <row r="107">
      <c r="A107" s="11" t="str">
        <f>IFERROR(__xludf.DUMMYFUNCTION("""COMPUTED_VALUE"""),"Livid Femme")</f>
        <v>Livid Femme</v>
      </c>
      <c r="B107" s="11" t="str">
        <f>IFERROR(__xludf.DUMMYFUNCTION("""COMPUTED_VALUE"""),"Jeans")</f>
        <v>Jeans</v>
      </c>
      <c r="C107" s="11" t="str">
        <f>IFERROR(__xludf.DUMMYFUNCTION("""COMPUTED_VALUE"""),"tia-japan-indigo")</f>
        <v>tia-japan-indigo</v>
      </c>
      <c r="D107" s="11" t="str">
        <f>IFERROR(__xludf.DUMMYFUNCTION("""COMPUTED_VALUE"""),"Tia Japan Indigo")</f>
        <v>Tia Japan Indigo</v>
      </c>
      <c r="E107" s="11" t="str">
        <f>IFERROR(__xludf.DUMMYFUNCTION("""COMPUTED_VALUE"""),"Made in Portugal
Our high-rise straight leg, Tia. Constructed with a high back- and front- rise that is curved and fitted through the hip and seat, then straight from top of thigh all the way down, ending in a medium wide leg opening.
In our deep blue w"&amp;"ash, the Japan Indigo. Made from a beautiful mid-weight wideloom denim woven at the renowned Japanese fabric mill, Kuroki. This particular fabric was developed by Kuroki, to be a comfortable stretch denim that both looks and ages as a rigid (100% cotton) "&amp;"denim. That is also why this denim has been one of the most widely used denim qualities throughout our collections, now being the fabric of choice for most of our comfort range. A super versatile denim, beautiful in all types of shades in addition to prov"&amp;"iding great comfort, stretch and recovery after wear. A safe choice for all who loves a pair of genuine fitting jeans in their wardrobe.
Model is 178 cm and wears a size 26/34")</f>
        <v>Made in Portugal
Our high-rise straight leg, Tia. Constructed with a high back- and front- rise that is curved and fitted through the hip and seat, then straight from top of thigh all the way down, ending in a medium wide leg opening.
In our deep blue wash, the Japan Indigo. Made from a beautiful mid-weight wideloom denim woven at the renowned Japanese fabric mill, Kuroki. This particular fabric was developed by Kuroki, to be a comfortable stretch denim that both looks and ages as a rigid (100% cotton) denim. That is also why this denim has been one of the most widely used denim qualities throughout our collections, now being the fabric of choice for most of our comfort range. A super versatile denim, beautiful in all types of shades in addition to providing great comfort, stretch and recovery after wear. A safe choice for all who loves a pair of genuine fitting jeans in their wardrobe.
Model is 178 cm and wears a size 26/34</v>
      </c>
      <c r="F107" s="11" t="str">
        <f>IFERROR(__xludf.DUMMYFUNCTION("""COMPUTED_VALUE"""),"Our high-waisted straight, in our deep blue wash.")</f>
        <v>Our high-waisted straight, in our deep blue wash.</v>
      </c>
      <c r="G107" s="11" t="str">
        <f>IFERROR(__xludf.DUMMYFUNCTION("""COMPUTED_VALUE"""),"- 13 Oz comfort wideloom denim from Kuroki, Japan. 
- 98% cotton / 2% polyurethane
- Warp dyed in indigo, natural coloured weft
- 5 Oz ecru canvas pocketing 
- Tanned leather patch w/ wax treatment, Made in Italy. 
- YKK two-prong silver button and zip fl"&amp;"y
- YKK solid copper washed-burr rivets
- Stitched with poly core cotton thread
- Made at Lisama, Portugal")</f>
        <v>- 13 Oz comfort wideloom denim from Kuroki, Japan. 
- 98% cotton / 2% polyurethane
- Warp dyed in indigo, natural coloured weft
- 5 Oz ecru canvas pocketing 
- Tanned leather patch w/ wax treatment, Made in Italy. 
- YKK two-prong silver button and zip fly
- YKK solid copper washed-burr rivets
- Stitched with poly core cotton thread
- Made at Lisama, Portugal</v>
      </c>
      <c r="H107" s="11" t="str">
        <f>IFERROR(__xludf.DUMMYFUNCTION("""COMPUTED_VALUE"""),"tia-japan-new-blue, tia-japan-black, tia-vapor")</f>
        <v>tia-japan-new-blue, tia-japan-black, tia-vapor</v>
      </c>
      <c r="I107" s="11" t="str">
        <f>IFERROR(__xludf.DUMMYFUNCTION("""COMPUTED_VALUE"""),"teta-black")</f>
        <v>teta-black</v>
      </c>
    </row>
    <row r="108">
      <c r="A108" s="11" t="str">
        <f>IFERROR(__xludf.DUMMYFUNCTION("""COMPUTED_VALUE"""),"Livid Femme")</f>
        <v>Livid Femme</v>
      </c>
      <c r="B108" s="11" t="str">
        <f>IFERROR(__xludf.DUMMYFUNCTION("""COMPUTED_VALUE"""),"Jeans")</f>
        <v>Jeans</v>
      </c>
      <c r="C108" s="11" t="str">
        <f>IFERROR(__xludf.DUMMYFUNCTION("""COMPUTED_VALUE"""),"tia-japan-new-blue")</f>
        <v>tia-japan-new-blue</v>
      </c>
      <c r="D108" s="11" t="str">
        <f>IFERROR(__xludf.DUMMYFUNCTION("""COMPUTED_VALUE"""),"Tia Japan New Blue")</f>
        <v>Tia Japan New Blue</v>
      </c>
      <c r="E108" s="11" t="str">
        <f>IFERROR(__xludf.DUMMYFUNCTION("""COMPUTED_VALUE"""),"Made in Portugal
Our high-rise straight leg, Tia. Constructed with a high back- and front- rise that is curved and fitted through the hip and seat, then straight from top of thigh all the way down, ending in a medium wide leg opening.
In our mid-blue wa"&amp;"sh, the Japan New Blue. Made from a beautiful mid-weight wideloom denim woven at the renowned Japanese fabric mill, Kuroki. This particular fabric was developed by Kuroki, to be a comfortable stretch denim that both looks and ages as a rigid (100% cotton)"&amp;" denim. That is also why this denim has been one of the most widely used denim qualities throughout our collections, now being the fabric of choice for most of our comfort range. A super versatile denim, beautiful in all types of shades in addition to pro"&amp;"viding great comfort, stretch and recovery after wear. A safe choice for all who loves a pair of genuine fitting jeans in their wardrobe.")</f>
        <v>Made in Portugal
Our high-rise straight leg, Tia. Constructed with a high back- and front- rise that is curved and fitted through the hip and seat, then straight from top of thigh all the way down, ending in a medium wide leg opening.
In our mid-blue wash, the Japan New Blue. Made from a beautiful mid-weight wideloom denim woven at the renowned Japanese fabric mill, Kuroki. This particular fabric was developed by Kuroki, to be a comfortable stretch denim that both looks and ages as a rigid (100% cotton) denim. That is also why this denim has been one of the most widely used denim qualities throughout our collections, now being the fabric of choice for most of our comfort range. A super versatile denim, beautiful in all types of shades in addition to providing great comfort, stretch and recovery after wear. A safe choice for all who loves a pair of genuine fitting jeans in their wardrobe.</v>
      </c>
      <c r="F108" s="11" t="str">
        <f>IFERROR(__xludf.DUMMYFUNCTION("""COMPUTED_VALUE"""),"Our high-waisted straight, in our mid-blue wash.")</f>
        <v>Our high-waisted straight, in our mid-blue wash.</v>
      </c>
      <c r="G108" s="11" t="str">
        <f>IFERROR(__xludf.DUMMYFUNCTION("""COMPUTED_VALUE"""),"- 13 Oz comfort wideloom denim from Kuroki, Japan. 
- 98% cotton / 2% polyurethane
- Warp dyed in indigo, natural coloured weft
- 5 Oz ecru canvas pocketing 
- Tanned leather patch w/ wax treatment, Made in Italy. 
- YKK two-prong silver button and zip fl"&amp;"y
- YKK solid copper washed-burr rivets
- Stitched with poly core cotton thread
- Made at Lisama, Portugal")</f>
        <v>- 13 Oz comfort wideloom denim from Kuroki, Japan. 
- 98% cotton / 2% polyurethane
- Warp dyed in indigo, natural coloured weft
- 5 Oz ecru canvas pocketing 
- Tanned leather patch w/ wax treatment, Made in Italy. 
- YKK two-prong silver button and zip fly
- YKK solid copper washed-burr rivets
- Stitched with poly core cotton thread
- Made at Lisama, Portugal</v>
      </c>
      <c r="H108" s="11" t="str">
        <f>IFERROR(__xludf.DUMMYFUNCTION("""COMPUTED_VALUE"""),"tia-japan-indigo, tia-japan-black, tia-vapor")</f>
        <v>tia-japan-indigo, tia-japan-black, tia-vapor</v>
      </c>
      <c r="I108" s="11" t="str">
        <f>IFERROR(__xludf.DUMMYFUNCTION("""COMPUTED_VALUE"""),"teta-black")</f>
        <v>teta-black</v>
      </c>
    </row>
    <row r="109">
      <c r="A109" s="11" t="str">
        <f>IFERROR(__xludf.DUMMYFUNCTION("""COMPUTED_VALUE"""),"Livid Femme")</f>
        <v>Livid Femme</v>
      </c>
      <c r="B109" s="11" t="str">
        <f>IFERROR(__xludf.DUMMYFUNCTION("""COMPUTED_VALUE"""),"Shirt")</f>
        <v>Shirt</v>
      </c>
      <c r="C109" s="11" t="str">
        <f>IFERROR(__xludf.DUMMYFUNCTION("""COMPUTED_VALUE"""),"tiki-japan-natural-noil-silk")</f>
        <v>tiki-japan-natural-noil-silk</v>
      </c>
      <c r="D109" s="11" t="str">
        <f>IFERROR(__xludf.DUMMYFUNCTION("""COMPUTED_VALUE"""),"Tiki Japan Natural Noil Silk")</f>
        <v>Tiki Japan Natural Noil Silk</v>
      </c>
      <c r="E109" s="11" t="str">
        <f>IFERROR(__xludf.DUMMYFUNCTION("""COMPUTED_VALUE"""),"Made in Portugal
Our maxi-fit shirt, Tiki. Made in an incredible pure noil silk fabric woven by the artisanal mill Kowa in Japan. Made with a slubby Thai silk yarn, and woven with artisanal skill, this particular fabric combines an organic texture with e"&amp;"legant drape and movement.
Noil silk is produced with the shorter silk fibres that are left over from production of other silk fabrics. Spun together these differing fibre lengths give the silk yarn a rougher texture, and a matte finish compared to the s"&amp;"heen from continuous silk fibres. Stronger than cotton, noil silk features a heavy fluid drape and has excellent temperature regulating properties, breathing and keeping you cool and dry in hot weather and warm in cold climates.
Tiki is designed with a g"&amp;"enerous straight cut, featuring a clean front placket, box pleat at the back yoke, curved hem, and pleats at cuff. Mother of pearl buttons at cuffs and placket.
Details
- 100% noil silk farmed in Thailand
- Woven by Kowa in Japan
- Real mother of pearl b"&amp;"uttons made by Louropel in Italy
- Stitched with high quality poly core cotton thread
- Made at Stork in Portugal")</f>
        <v>Made in Portugal
Our maxi-fit shirt, Tiki. Made in an incredible pure noil silk fabric woven by the artisanal mill Kowa in Japan. Made with a slubby Thai silk yarn, and woven with artisanal skill, this particular fabric combines an organic texture with elegant drape and movement.
Noil silk is produced with the shorter silk fibres that are left over from production of other silk fabrics. Spun together these differing fibre lengths give the silk yarn a rougher texture, and a matte finish compared to the sheen from continuous silk fibres. Stronger than cotton, noil silk features a heavy fluid drape and has excellent temperature regulating properties, breathing and keeping you cool and dry in hot weather and warm in cold climates.
Tiki is designed with a generous straight cut, featuring a clean front placket, box pleat at the back yoke, curved hem, and pleats at cuff. Mother of pearl buttons at cuffs and placket.
Details
- 100% noil silk farmed in Thailand
- Woven by Kowa in Japan
- Real mother of pearl buttons made by Louropel in Italy
- Stitched with high quality poly core cotton thread
- Made at Stork in Portugal</v>
      </c>
      <c r="F109" s="11" t="str">
        <f>IFERROR(__xludf.DUMMYFUNCTION("""COMPUTED_VALUE"""),"Our maxi-fit shirt Tiki, in pure noil silk.")</f>
        <v>Our maxi-fit shirt Tiki, in pure noil silk.</v>
      </c>
      <c r="G109" s="11"/>
      <c r="H109" s="11" t="str">
        <f>IFERROR(__xludf.DUMMYFUNCTION("""COMPUTED_VALUE"""),"tiki-japan-charcoal-noil-silk, tiki-japan-taupe-noil-silk")</f>
        <v>tiki-japan-charcoal-noil-silk, tiki-japan-taupe-noil-silk</v>
      </c>
      <c r="I109" s="11"/>
    </row>
    <row r="110">
      <c r="A110" s="11" t="str">
        <f>IFERROR(__xludf.DUMMYFUNCTION("""COMPUTED_VALUE"""),"Livid Femme")</f>
        <v>Livid Femme</v>
      </c>
      <c r="B110" s="11" t="str">
        <f>IFERROR(__xludf.DUMMYFUNCTION("""COMPUTED_VALUE"""),"Shirt")</f>
        <v>Shirt</v>
      </c>
      <c r="C110" s="11" t="str">
        <f>IFERROR(__xludf.DUMMYFUNCTION("""COMPUTED_VALUE"""),"tiki-noil-silk-black")</f>
        <v>tiki-noil-silk-black</v>
      </c>
      <c r="D110" s="11" t="str">
        <f>IFERROR(__xludf.DUMMYFUNCTION("""COMPUTED_VALUE"""),"Tiki Black Noil Silk")</f>
        <v>Tiki Black Noil Silk</v>
      </c>
      <c r="E110" s="11" t="str">
        <f>IFERROR(__xludf.DUMMYFUNCTION("""COMPUTED_VALUE"""),"Made in China
Our maxi-fit shirt, Tiki. Made in a beautiful and soft pure noil silk fabric which combines an organic texture with elegant drape and movement.
Noil silk is produced with the shorter silk fibres that are left over from production of other "&amp;"silk fabrics. Spun together these differing fibre lengths give the silk yarn a rougher texture, and a matte finish compared to the sheen from continuous silk fibres. Stronger than cotton, noil silk features a heavy fluid drape and has excellent temperatur"&amp;"e regulating properties, breathing and keeping you cool and dry in hot weather and warm in cold climates.
Tiki is designed with a generous straight cut, featuring a clean front placket, box pleat at the back yoke, curved hem, and pleats at cuff. Mother o"&amp;"f pearl buttons at cuffs and placket.
Details
- 100% noil silk
- Spun and woven by Jianxin Silk in China
- Real mother of pearl buttons made by Louropel in Italy
- Stitched with high quality poly core cotton thread
- Made at Yinmao in China
- Garment dye"&amp;"d")</f>
        <v>Made in China
Our maxi-fit shirt, Tiki. Made in a beautiful and soft pure noil silk fabric which combines an organic texture with elegant drape and movement.
Noil silk is produced with the shorter silk fibres that are left over from production of other silk fabrics. Spun together these differing fibre lengths give the silk yarn a rougher texture, and a matte finish compared to the sheen from continuous silk fibres. Stronger than cotton, noil silk features a heavy fluid drape and has excellent temperature regulating properties, breathing and keeping you cool and dry in hot weather and warm in cold climates.
Tiki is designed with a generous straight cut, featuring a clean front placket, box pleat at the back yoke, curved hem, and pleats at cuff. Mother of pearl buttons at cuffs and placket.
Details
- 100% noil silk
- Spun and woven by Jianxin Silk in China
- Real mother of pearl buttons made by Louropel in Italy
- Stitched with high quality poly core cotton thread
- Made at Yinmao in China
- Garment dyed</v>
      </c>
      <c r="F110" s="11" t="str">
        <f>IFERROR(__xludf.DUMMYFUNCTION("""COMPUTED_VALUE"""),"Our maxi-fit shirt Tiki, in pure noil silk.")</f>
        <v>Our maxi-fit shirt Tiki, in pure noil silk.</v>
      </c>
      <c r="G110" s="11"/>
      <c r="H110" s="11" t="str">
        <f>IFERROR(__xludf.DUMMYFUNCTION("""COMPUTED_VALUE"""),"tiki-white-silk, tiki-japan-natural-noil-silk")</f>
        <v>tiki-white-silk, tiki-japan-natural-noil-silk</v>
      </c>
      <c r="I110" s="11" t="str">
        <f>IFERROR(__xludf.DUMMYFUNCTION("""COMPUTED_VALUE"""),"keri-japan-gravel")</f>
        <v>keri-japan-gravel</v>
      </c>
    </row>
    <row r="111">
      <c r="A111" s="11" t="str">
        <f>IFERROR(__xludf.DUMMYFUNCTION("""COMPUTED_VALUE"""),"Livid Femme")</f>
        <v>Livid Femme</v>
      </c>
      <c r="B111" s="11" t="str">
        <f>IFERROR(__xludf.DUMMYFUNCTION("""COMPUTED_VALUE"""),"Shirt")</f>
        <v>Shirt</v>
      </c>
      <c r="C111" s="11" t="str">
        <f>IFERROR(__xludf.DUMMYFUNCTION("""COMPUTED_VALUE"""),"tiki-silk-black")</f>
        <v>tiki-silk-black</v>
      </c>
      <c r="D111" s="11" t="str">
        <f>IFERROR(__xludf.DUMMYFUNCTION("""COMPUTED_VALUE"""),"Tiki Black Silk")</f>
        <v>Tiki Black Silk</v>
      </c>
      <c r="E111" s="11" t="str">
        <f>IFERROR(__xludf.DUMMYFUNCTION("""COMPUTED_VALUE"""),"Made in China
Our maxi-fit shirt Tiki. Made with a lightweight 100% fine silk fabric, lending it a gentle sheen, fluid drape and smooth comfort against the skin.
Tiki is designed with a generous straight cut, featuring a clean front placket, box pleat a"&amp;"t the back yoke, curved hem, and pleats at cuff. Mother of pearl buttons at cuffs and placket. Tiki is designed with a generous straight cut, featuring a clean front placket, box pleat at the back yoke, curved hem, and pleats at cuff. Mother of pearl butt"&amp;"ons at cuffs and placket.")</f>
        <v>Made in China
Our maxi-fit shirt Tiki. Made with a lightweight 100% fine silk fabric, lending it a gentle sheen, fluid drape and smooth comfort against the skin.
Tiki is designed with a generous straight cut, featuring a clean front placket, box pleat at the back yoke, curved hem, and pleats at cuff. Mother of pearl buttons at cuffs and placket. Tiki is designed with a generous straight cut, featuring a clean front placket, box pleat at the back yoke, curved hem, and pleats at cuff. Mother of pearl buttons at cuffs and placket.</v>
      </c>
      <c r="F111" s="11" t="str">
        <f>IFERROR(__xludf.DUMMYFUNCTION("""COMPUTED_VALUE"""),"Our maxi-fit shirt, Tiki, in a pure fine silk.")</f>
        <v>Our maxi-fit shirt, Tiki, in a pure fine silk.</v>
      </c>
      <c r="G111" s="11" t="str">
        <f>IFERROR(__xludf.DUMMYFUNCTION("""COMPUTED_VALUE"""),"- 100% silk
- Silk fabric woven by Jianxin Silk in China
- Mother of pearl buttons
- Sewn with durable poly core cotton threads
- Cut &amp; sewn by Yinmao in China")</f>
        <v>- 100% silk
- Silk fabric woven by Jianxin Silk in China
- Mother of pearl buttons
- Sewn with durable poly core cotton threads
- Cut &amp; sewn by Yinmao in China</v>
      </c>
      <c r="H111" s="11" t="str">
        <f>IFERROR(__xludf.DUMMYFUNCTION("""COMPUTED_VALUE"""),"tiki-silk-white")</f>
        <v>tiki-silk-white</v>
      </c>
      <c r="I111" s="11" t="str">
        <f>IFERROR(__xludf.DUMMYFUNCTION("""COMPUTED_VALUE"""),"keri-japan-black")</f>
        <v>keri-japan-black</v>
      </c>
    </row>
    <row r="112">
      <c r="A112" s="11" t="str">
        <f>IFERROR(__xludf.DUMMYFUNCTION("""COMPUTED_VALUE"""),"Livid Femme")</f>
        <v>Livid Femme</v>
      </c>
      <c r="B112" s="11" t="str">
        <f>IFERROR(__xludf.DUMMYFUNCTION("""COMPUTED_VALUE"""),"Shirt")</f>
        <v>Shirt</v>
      </c>
      <c r="C112" s="11" t="str">
        <f>IFERROR(__xludf.DUMMYFUNCTION("""COMPUTED_VALUE"""),"tiki-silk-white")</f>
        <v>tiki-silk-white</v>
      </c>
      <c r="D112" s="11" t="str">
        <f>IFERROR(__xludf.DUMMYFUNCTION("""COMPUTED_VALUE"""),"Tiki White Silk")</f>
        <v>Tiki White Silk</v>
      </c>
      <c r="E112" s="11" t="str">
        <f>IFERROR(__xludf.DUMMYFUNCTION("""COMPUTED_VALUE"""),"Made in China
Our maxi-fit shirt Tiki. Made with a lightweight 100% fine silk fabric, lending it a gentle sheen, fluid drape and smooth comfort against the skin.
Tiki is designed with a generous straight cut, featuring a clean front placket, box pleat a"&amp;"t the back yoke, curved hem, and pleats at cuff. Mother of pearl buttons at cuffs and placket. Tiki is designed with a generous straight cut, featuring a clean front placket, box pleat at the back yoke, curved hem, and pleats at cuff. Mother of pearl butt"&amp;"ons at cuffs and placket.")</f>
        <v>Made in China
Our maxi-fit shirt Tiki. Made with a lightweight 100% fine silk fabric, lending it a gentle sheen, fluid drape and smooth comfort against the skin.
Tiki is designed with a generous straight cut, featuring a clean front placket, box pleat at the back yoke, curved hem, and pleats at cuff. Mother of pearl buttons at cuffs and placket. Tiki is designed with a generous straight cut, featuring a clean front placket, box pleat at the back yoke, curved hem, and pleats at cuff. Mother of pearl buttons at cuffs and placket.</v>
      </c>
      <c r="F112" s="11" t="str">
        <f>IFERROR(__xludf.DUMMYFUNCTION("""COMPUTED_VALUE"""),"Our maxi-fit shirt, Tiki, in a pure fine silk.")</f>
        <v>Our maxi-fit shirt, Tiki, in a pure fine silk.</v>
      </c>
      <c r="G112" s="11" t="str">
        <f>IFERROR(__xludf.DUMMYFUNCTION("""COMPUTED_VALUE"""),"- 100% silk
- Silk fabric woven by Jianxin Silk in China
- Mother of pearl buttons
- Sewn with durable poly core cotton threads
- Cut &amp; sewn by Yinmao in China")</f>
        <v>- 100% silk
- Silk fabric woven by Jianxin Silk in China
- Mother of pearl buttons
- Sewn with durable poly core cotton threads
- Cut &amp; sewn by Yinmao in China</v>
      </c>
      <c r="H112" s="11" t="str">
        <f>IFERROR(__xludf.DUMMYFUNCTION("""COMPUTED_VALUE"""),"tiki-silk-black")</f>
        <v>tiki-silk-black</v>
      </c>
      <c r="I112" s="11" t="str">
        <f>IFERROR(__xludf.DUMMYFUNCTION("""COMPUTED_VALUE"""),"fir-black")</f>
        <v>fir-black</v>
      </c>
    </row>
    <row r="113">
      <c r="A113" s="11" t="str">
        <f>IFERROR(__xludf.DUMMYFUNCTION("""COMPUTED_VALUE"""),"Livid Femme")</f>
        <v>Livid Femme</v>
      </c>
      <c r="B113" s="11" t="str">
        <f>IFERROR(__xludf.DUMMYFUNCTION("""COMPUTED_VALUE"""),"Sweatshirt")</f>
        <v>Sweatshirt</v>
      </c>
      <c r="C113" s="11" t="str">
        <f>IFERROR(__xludf.DUMMYFUNCTION("""COMPUTED_VALUE"""),"toucan-black")</f>
        <v>toucan-black</v>
      </c>
      <c r="D113" s="11" t="str">
        <f>IFERROR(__xludf.DUMMYFUNCTION("""COMPUTED_VALUE"""),"Toucan Black")</f>
        <v>Toucan Black</v>
      </c>
      <c r="E113" s="11" t="str">
        <f>IFERROR(__xludf.DUMMYFUNCTION("""COMPUTED_VALUE"""),"Made in Portugal
Our rib longsleeve top Toucan. Made in a light rib jersey knitted in a fine cotton yarn giving a light and cooling feeling against the skin.
Toucan is designed with a bateau neckline and fitted long sleeves. The slightly wide shoulders "&amp;"lend a relaxed but fitted appearance to the body. 
The garment features:
- 100% cotton
- Pre-shrunk rib jersey, knitted at Etevimol, Portugal
- Sewn with durable poly core cotton thread
- Made at Texgoios in Portugal")</f>
        <v>Made in Portugal
Our rib longsleeve top Toucan. Made in a light rib jersey knitted in a fine cotton yarn giving a light and cooling feeling against the skin.
Toucan is designed with a bateau neckline and fitted long sleeves. The slightly wide shoulders lend a relaxed but fitted appearance to the body. 
The garment features:
- 100% cotton
- Pre-shrunk rib jersey, knitted at Etevimol, Portugal
- Sewn with durable poly core cotton thread
- Made at Texgoios in Portugal</v>
      </c>
      <c r="F113" s="11" t="str">
        <f>IFERROR(__xludf.DUMMYFUNCTION("""COMPUTED_VALUE"""),"Toucan, our ribbed longsleeve top.")</f>
        <v>Toucan, our ribbed longsleeve top.</v>
      </c>
      <c r="G113" s="11"/>
      <c r="H113" s="11" t="str">
        <f>IFERROR(__xludf.DUMMYFUNCTION("""COMPUTED_VALUE"""),"toucan-white")</f>
        <v>toucan-white</v>
      </c>
      <c r="I113" s="11" t="str">
        <f>IFERROR(__xludf.DUMMYFUNCTION("""COMPUTED_VALUE"""),"keri-japan-black")</f>
        <v>keri-japan-black</v>
      </c>
    </row>
    <row r="114">
      <c r="A114" s="11" t="str">
        <f>IFERROR(__xludf.DUMMYFUNCTION("""COMPUTED_VALUE"""),"Livid Femme")</f>
        <v>Livid Femme</v>
      </c>
      <c r="B114" s="11" t="str">
        <f>IFERROR(__xludf.DUMMYFUNCTION("""COMPUTED_VALUE"""),"Longsleeve")</f>
        <v>Longsleeve</v>
      </c>
      <c r="C114" s="11" t="str">
        <f>IFERROR(__xludf.DUMMYFUNCTION("""COMPUTED_VALUE"""),"toucan-charcoal")</f>
        <v>toucan-charcoal</v>
      </c>
      <c r="D114" s="11" t="str">
        <f>IFERROR(__xludf.DUMMYFUNCTION("""COMPUTED_VALUE"""),"Toucan Charcoal")</f>
        <v>Toucan Charcoal</v>
      </c>
      <c r="E114" s="11" t="str">
        <f>IFERROR(__xludf.DUMMYFUNCTION("""COMPUTED_VALUE"""),"Made in Portugal
Our rib longsleeve top Toucan. Made in a light rib jersey knitted in a fine cotton yarn giving a light feeling against the skin.
Toucan is designed with a bateau neckline and fitted long sleeves. The lapped shoulder construction allows "&amp;"the Toucan to be worn off-the shoulder, lending a relaxed but fitted appearance to the body. ")</f>
        <v>Made in Portugal
Our rib longsleeve top Toucan. Made in a light rib jersey knitted in a fine cotton yarn giving a light feeling against the skin.
Toucan is designed with a bateau neckline and fitted long sleeves. The lapped shoulder construction allows the Toucan to be worn off-the shoulder, lending a relaxed but fitted appearance to the body. </v>
      </c>
      <c r="F114" s="11" t="str">
        <f>IFERROR(__xludf.DUMMYFUNCTION("""COMPUTED_VALUE"""),"Toucan, our ribbed longsleeve top.")</f>
        <v>Toucan, our ribbed longsleeve top.</v>
      </c>
      <c r="G114" s="11" t="str">
        <f>IFERROR(__xludf.DUMMYFUNCTION("""COMPUTED_VALUE"""),"- 100% cotton
- Pre-shrunk rib jersey, knitted at Etevimol, Portugal
- Sewn with durable poly-core cotton thread
- Made at Texgoios in Portugal")</f>
        <v>- 100% cotton
- Pre-shrunk rib jersey, knitted at Etevimol, Portugal
- Sewn with durable poly-core cotton thread
- Made at Texgoios in Portugal</v>
      </c>
      <c r="H114" s="11" t="str">
        <f>IFERROR(__xludf.DUMMYFUNCTION("""COMPUTED_VALUE"""),"toucan-black, toucan-white")</f>
        <v>toucan-black, toucan-white</v>
      </c>
      <c r="I114" s="11" t="str">
        <f>IFERROR(__xludf.DUMMYFUNCTION("""COMPUTED_VALUE"""),"beth-japan-gravel")</f>
        <v>beth-japan-gravel</v>
      </c>
    </row>
    <row r="115">
      <c r="A115" s="11" t="str">
        <f>IFERROR(__xludf.DUMMYFUNCTION("""COMPUTED_VALUE"""),"Livid Femme")</f>
        <v>Livid Femme</v>
      </c>
      <c r="B115" s="11" t="str">
        <f>IFERROR(__xludf.DUMMYFUNCTION("""COMPUTED_VALUE"""),"Sweatshirt")</f>
        <v>Sweatshirt</v>
      </c>
      <c r="C115" s="11" t="str">
        <f>IFERROR(__xludf.DUMMYFUNCTION("""COMPUTED_VALUE"""),"toucan-white")</f>
        <v>toucan-white</v>
      </c>
      <c r="D115" s="11" t="str">
        <f>IFERROR(__xludf.DUMMYFUNCTION("""COMPUTED_VALUE"""),"Toucan White")</f>
        <v>Toucan White</v>
      </c>
      <c r="E115" s="11" t="str">
        <f>IFERROR(__xludf.DUMMYFUNCTION("""COMPUTED_VALUE"""),"Made in Portugal
Our rib longsleeve top Toucan. Made in a light rib jersey knitted in a fine cotton yarn giving a light and cooling feeling against the skin.
Toucan is designed with a bateau neckline and fitted long sleeves. The slightly wide shoulders "&amp;"lend a relaxed but fitted appearance to the body. ")</f>
        <v>Made in Portugal
Our rib longsleeve top Toucan. Made in a light rib jersey knitted in a fine cotton yarn giving a light and cooling feeling against the skin.
Toucan is designed with a bateau neckline and fitted long sleeves. The slightly wide shoulders lend a relaxed but fitted appearance to the body. </v>
      </c>
      <c r="F115" s="11" t="str">
        <f>IFERROR(__xludf.DUMMYFUNCTION("""COMPUTED_VALUE"""),"Toucan, our ribbed longsleeve top.")</f>
        <v>Toucan, our ribbed longsleeve top.</v>
      </c>
      <c r="G115" s="11" t="str">
        <f>IFERROR(__xludf.DUMMYFUNCTION("""COMPUTED_VALUE"""),"- 100% cotton
- Pre-shrunk rib jersey, knitted at Etevimol, Portugal
- Sewn with durable poly core cotton thread
- Made at Texgoios in Portugal")</f>
        <v>- 100% cotton
- Pre-shrunk rib jersey, knitted at Etevimol, Portugal
- Sewn with durable poly core cotton thread
- Made at Texgoios in Portugal</v>
      </c>
      <c r="H115" s="11" t="str">
        <f>IFERROR(__xludf.DUMMYFUNCTION("""COMPUTED_VALUE"""),"toucan-black")</f>
        <v>toucan-black</v>
      </c>
      <c r="I115" s="11" t="str">
        <f>IFERROR(__xludf.DUMMYFUNCTION("""COMPUTED_VALUE"""),"beth-low-japan-dive")</f>
        <v>beth-low-japan-dive</v>
      </c>
    </row>
    <row r="116">
      <c r="A116" s="11" t="str">
        <f>IFERROR(__xludf.DUMMYFUNCTION("""COMPUTED_VALUE"""),"Livid Femme")</f>
        <v>Livid Femme</v>
      </c>
      <c r="B116" s="11" t="str">
        <f>IFERROR(__xludf.DUMMYFUNCTION("""COMPUTED_VALUE"""),"Shirt")</f>
        <v>Shirt</v>
      </c>
      <c r="C116" s="11" t="str">
        <f>IFERROR(__xludf.DUMMYFUNCTION("""COMPUTED_VALUE"""),"turnip-khaki")</f>
        <v>turnip-khaki</v>
      </c>
      <c r="D116" s="11" t="str">
        <f>IFERROR(__xludf.DUMMYFUNCTION("""COMPUTED_VALUE"""),"Turnip Khaki")</f>
        <v>Turnip Khaki</v>
      </c>
      <c r="E116" s="11"/>
      <c r="F116" s="11"/>
      <c r="G116" s="11"/>
      <c r="H116" s="11"/>
      <c r="I116" s="11"/>
    </row>
    <row r="117">
      <c r="A117" s="11" t="str">
        <f>IFERROR(__xludf.DUMMYFUNCTION("""COMPUTED_VALUE"""),"Livid Femme")</f>
        <v>Livid Femme</v>
      </c>
      <c r="B117" s="11" t="str">
        <f>IFERROR(__xludf.DUMMYFUNCTION("""COMPUTED_VALUE"""),"Jeans")</f>
        <v>Jeans</v>
      </c>
      <c r="C117" s="11" t="str">
        <f>IFERROR(__xludf.DUMMYFUNCTION("""COMPUTED_VALUE"""),"var-japan-black-comfort")</f>
        <v>var-japan-black-comfort</v>
      </c>
      <c r="D117" s="11" t="str">
        <f>IFERROR(__xludf.DUMMYFUNCTION("""COMPUTED_VALUE"""),"Vår Japan Black Comfort")</f>
        <v>Vår Japan Black Comfort</v>
      </c>
      <c r="E117" s="11" t="str">
        <f>IFERROR(__xludf.DUMMYFUNCTION("""COMPUTED_VALUE"""),"Made in Portugal
The Japan Black Comfort. Made from a 10,6 Oz black comfort wideloom denim woven at the renowned Japanese fabric mill, Kuroki. This particular fabric have been made with a premium black sulphur dye that keep the dark shade longer than mos"&amp;"t fabrics in the same segment. While all black denim loose colour, this particular denim fades in contrast after wear. This is due a special technique called rope dye, whereas the yarns are dipped in short intervals between oxidation. This prevents the co"&amp;"lour from completely penetrating the core of the fibres, leaving it fresh, natural and untouched. When the layers of black colour wears off the surface of the yarns, the natural coloured cotton core will appear, leaving a contrast fade throughout the jean"&amp;"s.
All black denim will loose its colour. Some transform into a dull grey version of itself, but this particular denim, fades in contrast giving more and more life, resulting in a denim that only get more beautiful with age.
Another small detail. The su"&amp;"rface of this particular denim has been an anti-dust treatment, preventing lint from attaching to the surface of the fabric. 
Details &amp; Features
- 10,6 Oz comfort wideloom denim from Kuroki, Japan
- 96% cotton / 4% polyurethane
- Warp &amp; weft dyed in blac"&amp;"k
- 5 Oz ecru canvas pocketing
- Black leather patch w/ wax treatment. Made in Italy
- YKK two-prongtack, silver button and zip fly
- YKK solid copper washed-burr rivets
- Stitched with poly core cotton thread
- Made at Lisama, Portugal
Model is 178 cm a"&amp;"nd wears a size 26/34
Go to our fitguide to read more about the Vår skinny fit.
Available sizes are 24-34 in 32″ inseam and 26-34 in 34″ inseam.")</f>
        <v>Made in Portugal
The Japan Black Comfort. Made from a 10,6 Oz black comfort wideloom denim woven at the renowned Japanese fabric mill, Kuroki. This particular fabric have been made with a premium black sulphur dye that keep the dark shade longer than most fabrics in the same segment. While all black denim loose colour, this particular denim fades in contrast after wear. This is due a special technique called rope dye, whereas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All black denim will loose its colour. Some transform into a dull grey version of itself, but this particular denim, fades in contrast giving more and more life, resulting in a denim that only get more beautiful with age.
Another small detail. The surface of this particular denim has been an anti-dust treatment, preventing lint from attaching to the surface of the fabric. 
Details &amp; Features
- 10,6 Oz comfort wideloom denim from Kuroki, Japan
- 96% cotton / 4% polyurethane
- Warp &amp; weft dyed in black
- 5 Oz ecru canvas pocketing
- Black leather patch w/ wax treatment. Made in Italy
- YKK two-prongtack, silver button and zip fly
- YKK solid copper washed-burr rivets
- Stitched with poly core cotton thread
- Made at Lisama, Portugal
Model is 178 cm and wears a size 26/34
Go to our fitguide to read more about the Vår skinny fit.
Available sizes are 24-34 in 32″ inseam and 26-34 in 34″ inseam.</v>
      </c>
      <c r="F117" s="11" t="str">
        <f>IFERROR(__xludf.DUMMYFUNCTION("""COMPUTED_VALUE"""),"Made with premium black sulphur dye, this fabric from Kuroki keeps its dark shade longer, offering a contrast fade after wear through a special rope dye technique.")</f>
        <v>Made with premium black sulphur dye, this fabric from Kuroki keeps its dark shade longer, offering a contrast fade after wear through a special rope dye technique.</v>
      </c>
      <c r="G117" s="11"/>
      <c r="H117" s="11" t="str">
        <f>IFERROR(__xludf.DUMMYFUNCTION("""COMPUTED_VALUE"""),"var-japan-indigo-rinse")</f>
        <v>var-japan-indigo-rinse</v>
      </c>
      <c r="I117" s="11"/>
    </row>
    <row r="118">
      <c r="A118" s="11" t="str">
        <f>IFERROR(__xludf.DUMMYFUNCTION("""COMPUTED_VALUE"""),"Livid Femme")</f>
        <v>Livid Femme</v>
      </c>
      <c r="B118" s="11" t="str">
        <f>IFERROR(__xludf.DUMMYFUNCTION("""COMPUTED_VALUE"""),"Jeans")</f>
        <v>Jeans</v>
      </c>
      <c r="C118" s="11" t="str">
        <f>IFERROR(__xludf.DUMMYFUNCTION("""COMPUTED_VALUE"""),"var-japan-indigo-rinse")</f>
        <v>var-japan-indigo-rinse</v>
      </c>
      <c r="D118" s="11" t="str">
        <f>IFERROR(__xludf.DUMMYFUNCTION("""COMPUTED_VALUE"""),"Vår Japan Indigo Rinse")</f>
        <v>Vår Japan Indigo Rinse</v>
      </c>
      <c r="E118" s="11" t="str">
        <f>IFERROR(__xludf.DUMMYFUNCTION("""COMPUTED_VALUE"""),"Made in Portugal
The Japan Indigo Rinse. Made from a mid-weight wideloom denim woven at the renowned Japanese fabric mill, Kuroki. This particular denim has been woven with dual core-spun yarns which greatly improves the stretch, recovery, comfort and fl"&amp;"exibility properties in the denim. Dual core-spun yarns are also composed of filament – fibers having extreme length - that contributes durability and long-lasting quality. In short terms a fabric that molds to the body, keeps it shape and is made to last"&amp;" longer both in regards to esthetics and simple durability.
Made in our skinny fit jeans, Vår. 
Details &amp; Features
- 11,8 Oz comfort wideloom denim from Kuroki, Japan. 
- 96% cotton / 2% polyurethane / 2% polyethylene
- Woven with dual core-spun yarns
-"&amp;" Warp dyed in indigo, natural coloured weft
- 8 Oz / 5 Oz ecru canvas pocketing
- Tanned leather patch w/ wax treatment, Made in Italy 
- YKK two-prongtack, silver button and zip fly
- YKK solid copper washed-burr rivets
- Stitched with poly core cotton t"&amp;"hread
- Made at Lisama, Portugal
Model is 178 cm and wears a size 26/34
Go to our fit guide to read more about the Vår Skinny
Available sizes are 24-34 in 32” inseam and 26-34 in 34” inseam.")</f>
        <v>Made in Portugal
The Japan Indigo Rinse. Made from a mid-weight wideloom denim woven at the renowned Japanese fabric mill, Kuroki. This particular denim has been woven with dual core-spun yarns which greatly improves the stretch, recovery, comfort and flexibility properties in the denim. Dual core-spun yarns are also composed of filament – fibers having extreme length - that contributes durability and long-lasting quality. In short terms a fabric that molds to the body, keeps it shape and is made to last longer both in regards to esthetics and simple durability.
Made in our skinny fit jeans, Vår. 
Details &amp; Features
- 11,8 Oz comfort wideloom denim from Kuroki, Japan. 
- 96% cotton / 2% polyurethane / 2% polyethylene
- Woven with dual core-spun yarns
- Warp dyed in indigo, natural coloured weft
- 8 Oz / 5 Oz ecru canvas pocketing
- Tanned leather patch w/ wax treatment, Made in Italy 
- YKK two-prongtack, silver button and zip fly
- YKK solid copper washed-burr rivets
- Stitched with poly core cotton thread
- Made at Lisama, Portugal
Model is 178 cm and wears a size 26/34
Go to our fit guide to read more about the Vår Skinny
Available sizes are 24-34 in 32” inseam and 26-34 in 34” inseam.</v>
      </c>
      <c r="F118" s="11" t="str">
        <f>IFERROR(__xludf.DUMMYFUNCTION("""COMPUTED_VALUE"""),"Woven with dual core-spun yarns, improves stretch, recovery, comfort, flexibility. Dual core-spun yarns composed of filament contribute durability, long-lasting quality. Fabric molds to body, maintains shape, lasts longer in aesthetics, durability.")</f>
        <v>Woven with dual core-spun yarns, improves stretch, recovery, comfort, flexibility. Dual core-spun yarns composed of filament contribute durability, long-lasting quality. Fabric molds to body, maintains shape, lasts longer in aesthetics, durability.</v>
      </c>
      <c r="G118" s="11"/>
      <c r="H118" s="11" t="str">
        <f>IFERROR(__xludf.DUMMYFUNCTION("""COMPUTED_VALUE"""),"var-japan-black-comfort")</f>
        <v>var-japan-black-comfort</v>
      </c>
      <c r="I118" s="11"/>
    </row>
    <row r="119">
      <c r="A119" s="11" t="str">
        <f>IFERROR(__xludf.DUMMYFUNCTION("""COMPUTED_VALUE"""),"Livid Femme")</f>
        <v>Livid Femme</v>
      </c>
      <c r="B119" s="11" t="str">
        <f>IFERROR(__xludf.DUMMYFUNCTION("""COMPUTED_VALUE"""),"Knitwear")</f>
        <v>Knitwear</v>
      </c>
      <c r="C119" s="11" t="str">
        <f>IFERROR(__xludf.DUMMYFUNCTION("""COMPUTED_VALUE"""),"winnipeg-papercrochet-bone")</f>
        <v>winnipeg-papercrochet-bone</v>
      </c>
      <c r="D119" s="11" t="str">
        <f>IFERROR(__xludf.DUMMYFUNCTION("""COMPUTED_VALUE"""),"Winnipeg Papercrochet Bone")</f>
        <v>Winnipeg Papercrochet Bone</v>
      </c>
      <c r="E119" s="11"/>
      <c r="F119" s="11"/>
      <c r="G119" s="11"/>
      <c r="H119" s="11"/>
      <c r="I119" s="11"/>
    </row>
    <row r="120">
      <c r="A120" s="11" t="str">
        <f>IFERROR(__xludf.DUMMYFUNCTION("""COMPUTED_VALUE"""),"Livid Men")</f>
        <v>Livid Men</v>
      </c>
      <c r="B120" s="11" t="str">
        <f>IFERROR(__xludf.DUMMYFUNCTION("""COMPUTED_VALUE"""),"Jeans")</f>
        <v>Jeans</v>
      </c>
      <c r="C120" s="11" t="str">
        <f>IFERROR(__xludf.DUMMYFUNCTION("""COMPUTED_VALUE"""),"addison-japan-indigo")</f>
        <v>addison-japan-indigo</v>
      </c>
      <c r="D120" s="11" t="str">
        <f>IFERROR(__xludf.DUMMYFUNCTION("""COMPUTED_VALUE"""),"Addison Japan Indigo")</f>
        <v>Addison Japan Indigo</v>
      </c>
      <c r="E120" s="11" t="str">
        <f>IFERROR(__xludf.DUMMYFUNCTION("""COMPUTED_VALUE"""),"Made in Portugal
The Japan Indigo. Made from a beautiful mid-weight wideloom denim woven at the renowned Japanese fabric mill, Kuroki. This particular fabric was built by Kuroki with a main goal at hand, creating a comfortable stretch denim that maintain"&amp;"ed the look of a rigid (100% cotton) denim. That is also particularly why this denim is the most widely used denim-article throughout our collections, now being the fabric of choice for 10 different core-styles in our rage. A super versatile denim, beauti"&amp;"ful in all types of shades in addition to providing great comfort, stretch and recovery after wear. A safe choice for all who loves a pair of genuine fitting jeans in their wardrobe.
Made in our slim straight jeans, Addison. 
Details &amp; Features
- 13 Oz "&amp;"comfort wideloom denim from Kuroki, Japan. 
- 98% cotton / 2% polyurethane
- Warp dyed in indigo, natural coloured weft
- 8 Oz ecru canvas pocketing 
- Tanned leather patch w/ wax treatment, Made in Italy. 
- YKK two-prongtack, silver button and zip fly
-"&amp;" YKK solid copper washed-burr rivets
- Stitched with poly core cotton thread
- Made at Lisama, Portugal
Model is 183 cm and wears a size 32/32.
Go to our fit guide to read more about the Addison Slim Straight. 
Available sizes are 28-36 in 32” inseam a"&amp;"nd 30-40 in 34” inseam.")</f>
        <v>Made in Portugal
The Japan Indigo. Made from a beautiful mid-weight wideloom denim woven at the renowned Japanese fabric mill, Kuroki. This particular fabric was built by Kuroki with a main goal at hand, creating a comfortable stretch denim that maintained the look of a rigid (100% cotton) denim. That is also particularly why this denim is the most widely used denim-article throughout our collections, now being the fabric of choice for 10 different core-styles in our rage. A super versatile denim, beautiful in all types of shades in addition to providing great comfort, stretch and recovery after wear. A safe choice for all who loves a pair of genuine fitting jeans in their wardrobe.
Made in our slim straight jeans, Addison. 
Details &amp; Features
- 13 Oz comfort wideloom denim from Kuroki, Japan. 
- 98% cotton / 2% polyurethane
- Warp dyed in indigo, natural coloured weft
- 8 Oz ecru canvas pocketing 
- Tanned leather patch w/ wax treatment, Made in Italy. 
- YKK two-prongtack, silver button and zip fly
- YKK solid copper washed-burr rivets
- Stitched with poly core cotton thread
- Made at Lisama, Portugal
Model is 183 cm and wears a size 32/32.
Go to our fit guide to read more about the Addison Slim Straight. 
Available sizes are 28-36 in 32” inseam and 30-40 in 34” inseam.</v>
      </c>
      <c r="F120" s="11" t="str">
        <f>IFERROR(__xludf.DUMMYFUNCTION("""COMPUTED_VALUE"""),"Addison slim straight. Made in a dark washed 13 oz denim from Kuroki in Japan.")</f>
        <v>Addison slim straight. Made in a dark washed 13 oz denim from Kuroki in Japan.</v>
      </c>
      <c r="G120" s="11"/>
      <c r="H120" s="11" t="str">
        <f>IFERROR(__xludf.DUMMYFUNCTION("""COMPUTED_VALUE"""),"addison-japan-black, addison-japan-rinse-selvage")</f>
        <v>addison-japan-black, addison-japan-rinse-selvage</v>
      </c>
      <c r="I120" s="11"/>
    </row>
    <row r="121">
      <c r="A121" s="11" t="str">
        <f>IFERROR(__xludf.DUMMYFUNCTION("""COMPUTED_VALUE"""),"Livid Men")</f>
        <v>Livid Men</v>
      </c>
      <c r="B121" s="11" t="str">
        <f>IFERROR(__xludf.DUMMYFUNCTION("""COMPUTED_VALUE"""),"Jacket")</f>
        <v>Jacket</v>
      </c>
      <c r="C121" s="11" t="str">
        <f>IFERROR(__xludf.DUMMYFUNCTION("""COMPUTED_VALUE"""),"alesis-black")</f>
        <v>alesis-black</v>
      </c>
      <c r="D121" s="11" t="str">
        <f>IFERROR(__xludf.DUMMYFUNCTION("""COMPUTED_VALUE"""),"Alesis Black")</f>
        <v>Alesis Black</v>
      </c>
      <c r="E121" s="11" t="str">
        <f>IFERROR(__xludf.DUMMYFUNCTION("""COMPUTED_VALUE"""),"Made in China
Made in a gloriously soft cashmere blend doubleface cloth that's both lightweight and warming. Finished with elegant low profile seams, possible due to the fine splittable doubleface wool weave.
The Alesis jacket is designed with slightly "&amp;"dropped shoulders, straight sleeves and a relaxed, boxy body. Its shorter length ending precicely at the hip. Finished with a silver two-way zipper and handwarmer pocktes at the waist.")</f>
        <v>Made in China
Made in a gloriously soft cashmere blend doubleface cloth that's both lightweight and warming. Finished with elegant low profile seams, possible due to the fine splittable doubleface wool weave.
The Alesis jacket is designed with slightly dropped shoulders, straight sleeves and a relaxed, boxy body. Its shorter length ending precicely at the hip. Finished with a silver two-way zipper and handwarmer pocktes at the waist.</v>
      </c>
      <c r="F121" s="11" t="str">
        <f>IFERROR(__xludf.DUMMYFUNCTION("""COMPUTED_VALUE"""),"Alesis, our cashmere blend jacket.")</f>
        <v>Alesis, our cashmere blend jacket.</v>
      </c>
      <c r="G121" s="11" t="str">
        <f>IFERROR(__xludf.DUMMYFUNCTION("""COMPUTED_VALUE"""),"- 90% wool, 10% cashmere 
- Doubleface splittable fabric woven by Taian Fanzhen, China
- YKK two-way sillver zip
- Handwarmer pockets at the waist
- Manufactured by Forever Intl, China")</f>
        <v>- 90% wool, 10% cashmere 
- Doubleface splittable fabric woven by Taian Fanzhen, China
- YKK two-way sillver zip
- Handwarmer pockets at the waist
- Manufactured by Forever Intl, China</v>
      </c>
      <c r="H121" s="11"/>
      <c r="I121" s="11" t="str">
        <f>IFERROR(__xludf.DUMMYFUNCTION("""COMPUTED_VALUE"""),"keri-japan-black, tuck-black-1, adonis-lis-noir")</f>
        <v>keri-japan-black, tuck-black-1, adonis-lis-noir</v>
      </c>
    </row>
    <row r="122">
      <c r="A122" s="11" t="str">
        <f>IFERROR(__xludf.DUMMYFUNCTION("""COMPUTED_VALUE"""),"Livid men")</f>
        <v>Livid men</v>
      </c>
      <c r="B122" s="11" t="str">
        <f>IFERROR(__xludf.DUMMYFUNCTION("""COMPUTED_VALUE"""),"Knitwear")</f>
        <v>Knitwear</v>
      </c>
      <c r="C122" s="11" t="str">
        <f>IFERROR(__xludf.DUMMYFUNCTION("""COMPUTED_VALUE"""),"alon-knit-wheat")</f>
        <v>alon-knit-wheat</v>
      </c>
      <c r="D122" s="11" t="str">
        <f>IFERROR(__xludf.DUMMYFUNCTION("""COMPUTED_VALUE"""),"Alon Knit Wheat")</f>
        <v>Alon Knit Wheat</v>
      </c>
      <c r="E122" s="11"/>
      <c r="F122" s="11"/>
      <c r="G122" s="11"/>
      <c r="H122" s="11"/>
      <c r="I122" s="11"/>
    </row>
    <row r="123">
      <c r="A123" s="11" t="str">
        <f>IFERROR(__xludf.DUMMYFUNCTION("""COMPUTED_VALUE"""),"Livid men")</f>
        <v>Livid men</v>
      </c>
      <c r="B123" s="11" t="str">
        <f>IFERROR(__xludf.DUMMYFUNCTION("""COMPUTED_VALUE"""),"Singlet")</f>
        <v>Singlet</v>
      </c>
      <c r="C123" s="11" t="str">
        <f>IFERROR(__xludf.DUMMYFUNCTION("""COMPUTED_VALUE"""),"anoki-black")</f>
        <v>anoki-black</v>
      </c>
      <c r="D123" s="11" t="str">
        <f>IFERROR(__xludf.DUMMYFUNCTION("""COMPUTED_VALUE"""),"Anoki Black")</f>
        <v>Anoki Black</v>
      </c>
      <c r="E123" s="11"/>
      <c r="F123" s="11"/>
      <c r="G123" s="11"/>
      <c r="H123" s="11"/>
      <c r="I123" s="11"/>
    </row>
    <row r="124">
      <c r="A124" s="11" t="str">
        <f>IFERROR(__xludf.DUMMYFUNCTION("""COMPUTED_VALUE"""),"Livid men")</f>
        <v>Livid men</v>
      </c>
      <c r="B124" s="11" t="str">
        <f>IFERROR(__xludf.DUMMYFUNCTION("""COMPUTED_VALUE"""),"Jersey")</f>
        <v>Jersey</v>
      </c>
      <c r="C124" s="11" t="str">
        <f>IFERROR(__xludf.DUMMYFUNCTION("""COMPUTED_VALUE"""),"atohi-black")</f>
        <v>atohi-black</v>
      </c>
      <c r="D124" s="11" t="str">
        <f>IFERROR(__xludf.DUMMYFUNCTION("""COMPUTED_VALUE"""),"Atohi Black")</f>
        <v>Atohi Black</v>
      </c>
      <c r="E124" s="11"/>
      <c r="F124" s="11"/>
      <c r="G124" s="11"/>
      <c r="H124" s="11"/>
      <c r="I124" s="11"/>
    </row>
    <row r="125">
      <c r="A125" s="11" t="str">
        <f>IFERROR(__xludf.DUMMYFUNCTION("""COMPUTED_VALUE"""),"Livid men")</f>
        <v>Livid men</v>
      </c>
      <c r="B125" s="11" t="str">
        <f>IFERROR(__xludf.DUMMYFUNCTION("""COMPUTED_VALUE"""),"T-Shirt")</f>
        <v>T-Shirt</v>
      </c>
      <c r="C125" s="11" t="str">
        <f>IFERROR(__xludf.DUMMYFUNCTION("""COMPUTED_VALUE"""),"ayon-black")</f>
        <v>ayon-black</v>
      </c>
      <c r="D125" s="11" t="str">
        <f>IFERROR(__xludf.DUMMYFUNCTION("""COMPUTED_VALUE"""),"Ayon Black")</f>
        <v>Ayon Black</v>
      </c>
      <c r="E125" s="11"/>
      <c r="F125" s="11"/>
      <c r="G125" s="11"/>
      <c r="H125" s="11"/>
      <c r="I125" s="11"/>
    </row>
    <row r="126">
      <c r="A126" s="11" t="str">
        <f>IFERROR(__xludf.DUMMYFUNCTION("""COMPUTED_VALUE"""),"Livid men")</f>
        <v>Livid men</v>
      </c>
      <c r="B126" s="11" t="str">
        <f>IFERROR(__xludf.DUMMYFUNCTION("""COMPUTED_VALUE"""),"Jersey")</f>
        <v>Jersey</v>
      </c>
      <c r="C126" s="11" t="str">
        <f>IFERROR(__xludf.DUMMYFUNCTION("""COMPUTED_VALUE"""),"ayon-garden-green")</f>
        <v>ayon-garden-green</v>
      </c>
      <c r="D126" s="11" t="str">
        <f>IFERROR(__xludf.DUMMYFUNCTION("""COMPUTED_VALUE"""),"Ayon Garden Green")</f>
        <v>Ayon Garden Green</v>
      </c>
      <c r="E126" s="11"/>
      <c r="F126" s="11"/>
      <c r="G126" s="11"/>
      <c r="H126" s="11"/>
      <c r="I126" s="11"/>
    </row>
    <row r="127">
      <c r="A127" s="11" t="str">
        <f>IFERROR(__xludf.DUMMYFUNCTION("""COMPUTED_VALUE"""),"Livid men")</f>
        <v>Livid men</v>
      </c>
      <c r="B127" s="11" t="str">
        <f>IFERROR(__xludf.DUMMYFUNCTION("""COMPUTED_VALUE"""),"Sweatshirt")</f>
        <v>Sweatshirt</v>
      </c>
      <c r="C127" s="11" t="str">
        <f>IFERROR(__xludf.DUMMYFUNCTION("""COMPUTED_VALUE"""),"ayon-grey")</f>
        <v>ayon-grey</v>
      </c>
      <c r="D127" s="11" t="str">
        <f>IFERROR(__xludf.DUMMYFUNCTION("""COMPUTED_VALUE"""),"Ayon Grey")</f>
        <v>Ayon Grey</v>
      </c>
      <c r="E127" s="11" t="str">
        <f>IFERROR(__xludf.DUMMYFUNCTION("""COMPUTED_VALUE"""),"Made in Portugal 
From our Core line comes our relaxed staple sweatshirt Ayon. Made from a pre-shrunk 100% cotton loopback jersey exclusively knitted for Livid in Portugal. This particular fabric is developed for durability and comfortable hand feel, and"&amp;" made in a versatile weight that works well all year round. Made in a classic crewneck style with a relaxed fit.
")</f>
        <v>Made in Portugal 
From our Core line comes our relaxed staple sweatshirt Ayon. Made from a pre-shrunk 100% cotton loopback jersey exclusively knitted for Livid in Portugal. This particular fabric is developed for durability and comfortable hand feel, and made in a versatile weight that works well all year round. Made in a classic crewneck style with a relaxed fit.
</v>
      </c>
      <c r="F127" s="11" t="str">
        <f>IFERROR(__xludf.DUMMYFUNCTION("""COMPUTED_VALUE"""),"Ayon, our relaxed staple sweatshirt.")</f>
        <v>Ayon, our relaxed staple sweatshirt.</v>
      </c>
      <c r="G127" s="11" t="str">
        <f>IFERROR(__xludf.DUMMYFUNCTION("""COMPUTED_VALUE"""),"- 100% cotton
- Pre-shrunk loopback jersey
- Livid embroidery at chest
- Fine rib collar 
- Sewn with durrable poly-core cotton thread
- Jesey knitted by Etevimol in Portugal
- Made at Texgoios in Portugal")</f>
        <v>- 100% cotton
- Pre-shrunk loopback jersey
- Livid embroidery at chest
- Fine rib collar 
- Sewn with durrable poly-core cotton thread
- Jesey knitted by Etevimol in Portugal
- Made at Texgoios in Portugal</v>
      </c>
      <c r="H127" s="11"/>
      <c r="I127" s="11" t="str">
        <f>IFERROR(__xludf.DUMMYFUNCTION("""COMPUTED_VALUE"""),"barnes-japan-black, star-master-beige-transparent")</f>
        <v>barnes-japan-black, star-master-beige-transparent</v>
      </c>
    </row>
    <row r="128">
      <c r="A128" s="11" t="str">
        <f>IFERROR(__xludf.DUMMYFUNCTION("""COMPUTED_VALUE"""),"Livid Men")</f>
        <v>Livid Men</v>
      </c>
      <c r="B128" s="11" t="str">
        <f>IFERROR(__xludf.DUMMYFUNCTION("""COMPUTED_VALUE"""),"Jeans")</f>
        <v>Jeans</v>
      </c>
      <c r="C128" s="11" t="str">
        <f>IFERROR(__xludf.DUMMYFUNCTION("""COMPUTED_VALUE"""),"bailey-japan-black")</f>
        <v>bailey-japan-black</v>
      </c>
      <c r="D128" s="11" t="str">
        <f>IFERROR(__xludf.DUMMYFUNCTION("""COMPUTED_VALUE"""),"Bailey Japan Black")</f>
        <v>Bailey Japan Black</v>
      </c>
      <c r="E128" s="11" t="str">
        <f>IFERROR(__xludf.DUMMYFUNCTION("""COMPUTED_VALUE"""),"Made in Portugal
The Japan Black Comfort. Made from a 11,9 Oz black wideloom denim woven at the renowned Japanese fabric mill, Kuroki. Developed to have the solid textural handfeel of classic pure cotton black jeans, but with 2% stretch for added comfort"&amp;".
While all black denim will loose colour eventually, this particular denim fades in contrast after wear, evolving a beautiful personal pattern. This is due a special technique called rope dye, whereas the yarns are dipped in short intervals between oxid"&amp;"ation. This prevents the colour from completely penetrating the core of the fibres, leaving it fresh, natural and untouched. When the layers of black colour wears off the surface of the yarns, the natural coloured cotton core will appear, leaving a contra"&amp;"st fade throughout the jeans.
Made in a one-wash finish to increase softness of touch. Available in our tapered fit, Bailey. 
Details &amp; Features
- 11,9 Oz comfort wideloom denim from Kuroki, Japan
- One wash to increase softness
- 98% cotton / 2% polyur"&amp;"ethane
- Warp &amp; weft dyed in black
- 8 Oz ecru canvas pocketing
- Black leather patch w/ wax treatment. Made in Italy
- YKK two-prongtack, silver button and zip fly
- YKK solid copper washed-burr rivets
- Stitched with poly core cotton thread
- Made at Li"&amp;"sama, Portugal
Model is 183 cm and wears a size 32/32.
Go to our fit guide to read more about the tapered leg fit, Bailey.
Available sizes are 28-36 in 32” inseam and 30-40 in 34” inseam.")</f>
        <v>Made in Portugal
The Japan Black Comfort. Made from a 11,9 Oz black wideloom denim woven at the renowned Japanese fabric mill, Kuroki. Developed to have the solid textural handfeel of classic pure cotton black jeans, but with 2% stretch for added comfort.
While all black denim will loose colour eventually, this particular denim fades in contrast after wear, evolving a beautiful personal pattern. This is due a special technique called rope dye, whereas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Made in a one-wash finish to increase softness of touch. Available in our tapered fit, Bailey. 
Details &amp; Features
- 11,9 Oz comfort wideloom denim from Kuroki, Japan
- One wash to increase softness
- 98% cotton / 2% polyurethane
- Warp &amp; weft dyed in black
- 8 Oz ecru canvas pocketing
- Black leather patch w/ wax treatment. Made in Italy
- YKK two-prongtack, silver button and zip fly
- YKK solid copper washed-burr rivets
- Stitched with poly core cotton thread
- Made at Lisama, Portugal
Model is 183 cm and wears a size 32/32.
Go to our fit guide to read more about the tapered leg fit, Bailey.
Available sizes are 28-36 in 32” inseam and 30-40 in 34” inseam.</v>
      </c>
      <c r="F128" s="11" t="str">
        <f>IFERROR(__xludf.DUMMYFUNCTION("""COMPUTED_VALUE"""),"Our curved slim tapered fit, Bailey, offering room in the thigh and seat, with a fitted waistband and tapered leg.")</f>
        <v>Our curved slim tapered fit, Bailey, offering room in the thigh and seat, with a fitted waistband and tapered leg.</v>
      </c>
      <c r="G128" s="11"/>
      <c r="H128" s="11" t="str">
        <f>IFERROR(__xludf.DUMMYFUNCTION("""COMPUTED_VALUE"""),"bailey-japan-indigo, bailey-japan-blue")</f>
        <v>bailey-japan-indigo, bailey-japan-blue</v>
      </c>
      <c r="I128" s="11"/>
    </row>
    <row r="129">
      <c r="A129" s="11" t="str">
        <f>IFERROR(__xludf.DUMMYFUNCTION("""COMPUTED_VALUE"""),"Livid Men")</f>
        <v>Livid Men</v>
      </c>
      <c r="B129" s="11" t="str">
        <f>IFERROR(__xludf.DUMMYFUNCTION("""COMPUTED_VALUE"""),"Jeans")</f>
        <v>Jeans</v>
      </c>
      <c r="C129" s="11" t="str">
        <f>IFERROR(__xludf.DUMMYFUNCTION("""COMPUTED_VALUE"""),"bailey-japan-blue")</f>
        <v>bailey-japan-blue</v>
      </c>
      <c r="D129" s="11" t="str">
        <f>IFERROR(__xludf.DUMMYFUNCTION("""COMPUTED_VALUE"""),"Bailey Japan Blue")</f>
        <v>Bailey Japan Blue</v>
      </c>
      <c r="E129" s="11" t="str">
        <f>IFERROR(__xludf.DUMMYFUNCTION("""COMPUTED_VALUE"""),"Made in Portugal
The Japan Blue. Made from a beautiful mid-weight wideloom denim woven at the renowned Japanese fabric mill, Kuroki. This particular fabric was built by Kuroki with a main goal at hand, creating a comfortable stretch denim that maintained"&amp;" the look of a rigid (100% cotton) denim. That is also particularly why this denim is the most widely used denim-article throughout our collections, now being the fabric of choice for 10 different core-styles in our rage. A super versatile denim, beautifu"&amp;"l in all types of shades in addition to providing great comfort, stretch and recovery after wear. A safe choice for all who loves a pair of genuine fitting jeans in their wardrobe.
Made in our tapered leg jeans, Bailey.
Details &amp; Features
- 13 Oz comfor"&amp;"t wideloom denim from Kuroki, Japan. 
- 98% cotton / 2% polyurethane
- Warp dyed in indigo, natural coloured weft
- 8 Oz ecru canvas pocketing 
- Tanned leather patch w/ wax treatment, Made in Italy. 
- YKK two-prongtack, silver button and zip fly
- YKK s"&amp;"olid copper washed-burr rivets
- Stitched with poly core cotton thread
- Made at Lisama, Portugal
Model is 183 cm and wears a size 32/32.
Go to our fit guide to read more about the Bailey Tapered. 
Available sizes are 28-36 in 32” inseam and 30-40 in 3"&amp;"4” inseam.")</f>
        <v>Made in Portugal
The Japan Blue. Made from a beautiful mid-weight wideloom denim woven at the renowned Japanese fabric mill, Kuroki. This particular fabric was built by Kuroki with a main goal at hand, creating a comfortable stretch denim that maintained the look of a rigid (100% cotton) denim. That is also particularly why this denim is the most widely used denim-article throughout our collections, now being the fabric of choice for 10 different core-styles in our rage. A super versatile denim, beautiful in all types of shades in addition to providing great comfort, stretch and recovery after wear. A safe choice for all who loves a pair of genuine fitting jeans in their wardrobe.
Made in our tapered leg jeans, Bailey.
Details &amp; Features
- 13 Oz comfort wideloom denim from Kuroki, Japan. 
- 98% cotton / 2% polyurethane
- Warp dyed in indigo, natural coloured weft
- 8 Oz ecru canvas pocketing 
- Tanned leather patch w/ wax treatment, Made in Italy. 
- YKK two-prongtack, silver button and zip fly
- YKK solid copper washed-burr rivets
- Stitched with poly core cotton thread
- Made at Lisama, Portugal
Model is 183 cm and wears a size 32/32.
Go to our fit guide to read more about the Bailey Tapered. 
Available sizes are 28-36 in 32” inseam and 30-40 in 34” inseam.</v>
      </c>
      <c r="F129" s="11" t="str">
        <f>IFERROR(__xludf.DUMMYFUNCTION("""COMPUTED_VALUE"""),"Our curved slim tapered fit, Bailey, offering room in the thigh and seat, with a fitted waistband and tapered leg.")</f>
        <v>Our curved slim tapered fit, Bailey, offering room in the thigh and seat, with a fitted waistband and tapered leg.</v>
      </c>
      <c r="G129" s="11"/>
      <c r="H129" s="11" t="str">
        <f>IFERROR(__xludf.DUMMYFUNCTION("""COMPUTED_VALUE"""),"bailey-japan-indigo, bailey-japan-black")</f>
        <v>bailey-japan-indigo, bailey-japan-black</v>
      </c>
      <c r="I129" s="11"/>
    </row>
    <row r="130">
      <c r="A130" s="11" t="str">
        <f>IFERROR(__xludf.DUMMYFUNCTION("""COMPUTED_VALUE"""),"Livid Men")</f>
        <v>Livid Men</v>
      </c>
      <c r="B130" s="11" t="str">
        <f>IFERROR(__xludf.DUMMYFUNCTION("""COMPUTED_VALUE"""),"Jeans")</f>
        <v>Jeans</v>
      </c>
      <c r="C130" s="11" t="str">
        <f>IFERROR(__xludf.DUMMYFUNCTION("""COMPUTED_VALUE"""),"bailey-japan-indigo")</f>
        <v>bailey-japan-indigo</v>
      </c>
      <c r="D130" s="11" t="str">
        <f>IFERROR(__xludf.DUMMYFUNCTION("""COMPUTED_VALUE"""),"Bailey Japan Indigo")</f>
        <v>Bailey Japan Indigo</v>
      </c>
      <c r="E130" s="11" t="str">
        <f>IFERROR(__xludf.DUMMYFUNCTION("""COMPUTED_VALUE"""),"Made in Portugal
The Japan Indigo. Made from a beautiful mid-weight wideloom denim woven at the renowned Japanese fabric mill, Kuroki. This particular fabric was built by Kuroki with a main goal at hand, creating a comfortable stretch denim that maintain"&amp;"ed the look of a rigid (100% cotton) denim. That is also particularly why this denim is the most widely used denim-article throughout our collections, now being the fabric of choice for 10 different core-styles in our rage. A super versatile denim, beauti"&amp;"ful in all types of shades in addition to providing great comfort, stretch and recovery after wear. A safe choice for all who loves a pair of genuine fitting jeans in their wardrobe.
Made in our tapered leg jeans, Bailey.
Details &amp; Features
- 13 Oz comf"&amp;"ort wideloom denim from Kuroki, Japan. 
- 98% cotton / 2% polyurethane
- Warp dyed in indigo, natural coloured weft
- 8 Oz ecru canvas pocketing 
- Tanned leather patch w/ wax treatment, Made in Italy. 
- YKK two-prongtack, silver button and zip fly
- YKK"&amp;" solid copper washed-burr rivets
- Stitched with poly core cotton thread
- Made at Lisama, Portugal
Model is 183 cm and wears a size 32/32.
Go to our fit guide to read more about the Bailey Tapered. 
Available sizes are 28-36 in 32” inseam and 30-40 in"&amp;" 34” inseam.")</f>
        <v>Made in Portugal
The Japan Indigo. Made from a beautiful mid-weight wideloom denim woven at the renowned Japanese fabric mill, Kuroki. This particular fabric was built by Kuroki with a main goal at hand, creating a comfortable stretch denim that maintained the look of a rigid (100% cotton) denim. That is also particularly why this denim is the most widely used denim-article throughout our collections, now being the fabric of choice for 10 different core-styles in our rage. A super versatile denim, beautiful in all types of shades in addition to providing great comfort, stretch and recovery after wear. A safe choice for all who loves a pair of genuine fitting jeans in their wardrobe.
Made in our tapered leg jeans, Bailey.
Details &amp; Features
- 13 Oz comfort wideloom denim from Kuroki, Japan. 
- 98% cotton / 2% polyurethane
- Warp dyed in indigo, natural coloured weft
- 8 Oz ecru canvas pocketing 
- Tanned leather patch w/ wax treatment, Made in Italy. 
- YKK two-prongtack, silver button and zip fly
- YKK solid copper washed-burr rivets
- Stitched with poly core cotton thread
- Made at Lisama, Portugal
Model is 183 cm and wears a size 32/32.
Go to our fit guide to read more about the Bailey Tapered. 
Available sizes are 28-36 in 32” inseam and 30-40 in 34” inseam.</v>
      </c>
      <c r="F130" s="11" t="str">
        <f>IFERROR(__xludf.DUMMYFUNCTION("""COMPUTED_VALUE"""),"Our curved slim tapered fit, Bailey, offering room in the thigh and seat, with a fitted waistband and tapered leg.")</f>
        <v>Our curved slim tapered fit, Bailey, offering room in the thigh and seat, with a fitted waistband and tapered leg.</v>
      </c>
      <c r="G130" s="11"/>
      <c r="H130" s="11" t="str">
        <f>IFERROR(__xludf.DUMMYFUNCTION("""COMPUTED_VALUE"""),"bailey-japan-blue, bailey-japan-black")</f>
        <v>bailey-japan-blue, bailey-japan-black</v>
      </c>
      <c r="I130" s="11"/>
    </row>
    <row r="131">
      <c r="A131" s="11" t="str">
        <f>IFERROR(__xludf.DUMMYFUNCTION("""COMPUTED_VALUE"""),"Livid Men")</f>
        <v>Livid Men</v>
      </c>
      <c r="B131" s="11" t="str">
        <f>IFERROR(__xludf.DUMMYFUNCTION("""COMPUTED_VALUE"""),"Jeans")</f>
        <v>Jeans</v>
      </c>
      <c r="C131" s="11" t="str">
        <f>IFERROR(__xludf.DUMMYFUNCTION("""COMPUTED_VALUE"""),"barnes-japan-black")</f>
        <v>barnes-japan-black</v>
      </c>
      <c r="D131" s="11" t="str">
        <f>IFERROR(__xludf.DUMMYFUNCTION("""COMPUTED_VALUE"""),"Barnes Japan Black")</f>
        <v>Barnes Japan Black</v>
      </c>
      <c r="E131" s="11" t="str">
        <f>IFERROR(__xludf.DUMMYFUNCTION("""COMPUTED_VALUE"""),"Made in Portugal
The Barnes Japan Black. Made from a 13 Oz 100% cotton, black wideloom denim woven by the renowned Japanese fabric mill, Kuroki. 
While all black denim will lose colour eventually, this particular denim fades in contrast after wear, evol"&amp;"ving a beautiful personal pattern. This is due a special technique called rope dye, whereas the yarns are dipped in short intervals between oxidation. This prevents the colour from completely penetrating the core of the fibres, leaving it fresh, natural a"&amp;"nd untouched. When the layers of black colour wears off the surface of the yarns, the natural coloured cotton core will appear, leaving a contrast fade throughout the jeans.
Made in a one-wash finish to increase softness of touch. Available in our widele"&amp;"g fit, Barnes. 
Model is 183 cm and wears a size 32/32.
Go to our fit guide to read more about the wide leg fit, Barnes.")</f>
        <v>Made in Portugal
The Barnes Japan Black. Made from a 13 Oz 100% cotton, black wideloom denim woven by the renowned Japanese fabric mill, Kuroki. 
While all black denim will lose colour eventually, this particular denim fades in contrast after wear, evolving a beautiful personal pattern. This is due a special technique called rope dye, whereas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Made in a one-wash finish to increase softness of touch. Available in our wideleg fit, Barnes. 
Model is 183 cm and wears a size 32/32.
Go to our fit guide to read more about the wide leg fit, Barnes.</v>
      </c>
      <c r="F131" s="11" t="str">
        <f>IFERROR(__xludf.DUMMYFUNCTION("""COMPUTED_VALUE"""),"The high-rise wide straight Barnes, in the original 13 Oz sulphur black rope-dyed denim woven by Kuroki in Japan.")</f>
        <v>The high-rise wide straight Barnes, in the original 13 Oz sulphur black rope-dyed denim woven by Kuroki in Japan.</v>
      </c>
      <c r="G131" s="11" t="str">
        <f>IFERROR(__xludf.DUMMYFUNCTION("""COMPUTED_VALUE"""),"- 13 Oz wideloom denim from Kuroki, Japan
- One wash to increase softness
- 100% Sanforized cotton
- Warp &amp; Weft dyed in black
- 8 Oz 5 Oz ecru canvas pocketing
- Black leather patch w/ wax treatment, Made in Italy. 
- YKK two-prongtack, silver button and"&amp;" zip fly
- YKK solid copper washed-burr rivets
- Stitched with poly core cotton thread
- Made at Lisama, Portugal")</f>
        <v>- 13 Oz wideloom denim from Kuroki, Japan
- One wash to increase softness
- 100% Sanforized cotton
- Warp &amp; Weft dyed in black
- 8 Oz 5 Oz ecru canvas pocketing
- Black leather patch w/ wax treatment, Made in Italy. 
- YKK two-prongtack, silver button and zip fly
- YKK solid copper washed-burr rivets
- Stitched with poly core cotton thread
- Made at Lisama, Portugal</v>
      </c>
      <c r="H131" s="11" t="str">
        <f>IFERROR(__xludf.DUMMYFUNCTION("""COMPUTED_VALUE"""),"barnes-japan-gravel, barnes-japan-rinse, barnes-japan-dawn, barnes-japan-fade")</f>
        <v>barnes-japan-gravel, barnes-japan-rinse, barnes-japan-dawn, barnes-japan-fade</v>
      </c>
      <c r="I131" s="11" t="str">
        <f>IFERROR(__xludf.DUMMYFUNCTION("""COMPUTED_VALUE"""),"tuck-black-1, adonis-lis-noir")</f>
        <v>tuck-black-1, adonis-lis-noir</v>
      </c>
    </row>
    <row r="132">
      <c r="A132" s="11" t="str">
        <f>IFERROR(__xludf.DUMMYFUNCTION("""COMPUTED_VALUE"""),"Livid Men")</f>
        <v>Livid Men</v>
      </c>
      <c r="B132" s="11" t="str">
        <f>IFERROR(__xludf.DUMMYFUNCTION("""COMPUTED_VALUE"""),"Jeans")</f>
        <v>Jeans</v>
      </c>
      <c r="C132" s="11" t="str">
        <f>IFERROR(__xludf.DUMMYFUNCTION("""COMPUTED_VALUE"""),"barnes-japan-dawn")</f>
        <v>barnes-japan-dawn</v>
      </c>
      <c r="D132" s="11" t="str">
        <f>IFERROR(__xludf.DUMMYFUNCTION("""COMPUTED_VALUE"""),"Barnes Japan Dawn")</f>
        <v>Barnes Japan Dawn</v>
      </c>
      <c r="E132" s="11" t="str">
        <f>IFERROR(__xludf.DUMMYFUNCTION("""COMPUTED_VALUE"""),"Made in Portugal
The Japan Dawn. Our mid-blue wash made in a solid 13 Oz 100% cotton denim from the renowned Japanese denim mill Kuroki. Soft to the touch, the Japan Dawn reveals an incredible depth of colour and wonderful texture, due to the long-fibred"&amp;" indigo rope-dyed yarns of the fabric. Not too light, and not too dark, the Japan Dawn strikes the perfect balance for your everyday mid-blue needs. A definite essential.
Made in our wide leg fit, Barnes.
Go to our fit guide to read more about the Barne"&amp;"s Wide. 
Available sizes are 28-38 in 32” inseam.")</f>
        <v>Made in Portugal
The Japan Dawn. Our mid-blue wash made in a solid 13 Oz 100% cotton denim from the renowned Japanese denim mill Kuroki. Soft to the touch, the Japan Dawn reveals an incredible depth of colour and wonderful texture, due to the long-fibred indigo rope-dyed yarns of the fabric. Not too light, and not too dark, the Japan Dawn strikes the perfect balance for your everyday mid-blue needs. A definite essential.
Made in our wide leg fit, Barnes.
Go to our fit guide to read more about the Barnes Wide. 
Available sizes are 28-38 in 32” inseam.</v>
      </c>
      <c r="F132" s="11" t="str">
        <f>IFERROR(__xludf.DUMMYFUNCTION("""COMPUTED_VALUE"""),"The high-rise wide straight, Barnes. Made in our mid blue washed 13 Oz Japanese denim.")</f>
        <v>The high-rise wide straight, Barnes. Made in our mid blue washed 13 Oz Japanese denim.</v>
      </c>
      <c r="G132" s="11" t="str">
        <f>IFERROR(__xludf.DUMMYFUNCTION("""COMPUTED_VALUE"""),"- Mid-blue washed rope-dyed indigo denim
- 13 Oz wideloom denim from Kuroki, Japan
- 100% Sanforized cotton
- Warp dyed in indigo, natural coloured weft
- 8 Oz ecru canvas pocketing
- Tanned leather patch w/ wax treatment, Made in Italy.
- YKK two-prongta"&amp;"ck, silver button fly
- YKK solid copper washed-burr rivets
- Stitched with poly core cotton thread
- Made at Lisama, Portugal")</f>
        <v>- Mid-blue washed rope-dyed indigo denim
- 13 Oz wideloom denim from Kuroki, Japan
- 100% Sanforized cotton
- Warp dyed in indigo, natural coloured weft
- 8 Oz ecru canvas pocketing
- Tanned leather patch w/ wax treatment, Made in Italy.
- YKK two-prongtack, silver button fly
- YKK solid copper washed-burr rivets
- Stitched with poly core cotton thread
- Made at Lisama, Portugal</v>
      </c>
      <c r="H132" s="11" t="str">
        <f>IFERROR(__xludf.DUMMYFUNCTION("""COMPUTED_VALUE"""),"barnes-japan-black, barnes-japan-gravel, barnes-japan-rinse")</f>
        <v>barnes-japan-black, barnes-japan-gravel, barnes-japan-rinse</v>
      </c>
      <c r="I132" s="11" t="str">
        <f>IFERROR(__xludf.DUMMYFUNCTION("""COMPUTED_VALUE"""),"riley-charcoal")</f>
        <v>riley-charcoal</v>
      </c>
    </row>
    <row r="133">
      <c r="A133" s="11" t="str">
        <f>IFERROR(__xludf.DUMMYFUNCTION("""COMPUTED_VALUE"""),"Livid Men")</f>
        <v>Livid Men</v>
      </c>
      <c r="B133" s="11" t="str">
        <f>IFERROR(__xludf.DUMMYFUNCTION("""COMPUTED_VALUE"""),"Jeans")</f>
        <v>Jeans</v>
      </c>
      <c r="C133" s="11" t="str">
        <f>IFERROR(__xludf.DUMMYFUNCTION("""COMPUTED_VALUE"""),"barnes-japan-gravel")</f>
        <v>barnes-japan-gravel</v>
      </c>
      <c r="D133" s="11" t="str">
        <f>IFERROR(__xludf.DUMMYFUNCTION("""COMPUTED_VALUE"""),"Barnes Japan Gravel")</f>
        <v>Barnes Japan Gravel</v>
      </c>
      <c r="E133" s="11" t="str">
        <f>IFERROR(__xludf.DUMMYFUNCTION("""COMPUTED_VALUE"""),"Made in Portugal
Barnes Japan Gravel. Made from a 13,8 Oz 100% cotton, dark grey wideloom denim woven by the renowned Japanese denim mill, Collect. Washed down to a rough grey, showing off the wonderful texture of the denim.")</f>
        <v>Made in Portugal
Barnes Japan Gravel. Made from a 13,8 Oz 100% cotton, dark grey wideloom denim woven by the renowned Japanese denim mill, Collect. Washed down to a rough grey, showing off the wonderful texture of the denim.</v>
      </c>
      <c r="F133" s="11" t="str">
        <f>IFERROR(__xludf.DUMMYFUNCTION("""COMPUTED_VALUE"""),"The high-rise wide straight, Barnes. Made in our textured grey wash.")</f>
        <v>The high-rise wide straight, Barnes. Made in our textured grey wash.</v>
      </c>
      <c r="G133" s="11" t="str">
        <f>IFERROR(__xludf.DUMMYFUNCTION("""COMPUTED_VALUE"""),"- 13,8 Oz wideloom denim from Collect, Japan
- 100% Sanforized cotton
- 8 Oz ecru canvas pocketing
- Tanned leather patch w/ wax treatment, Made in Italy.
- YKK two-prongtack, silver button fly
- YKK solid copper washed-burr rivets
- Stitched with durable"&amp;" poly core cotton thread
- Made at Lisama, Portugal")</f>
        <v>- 13,8 Oz wideloom denim from Collect, Japan
- 100% Sanforized cotton
- 8 Oz ecru canvas pocketing
- Tanned leather patch w/ wax treatment, Made in Italy.
- YKK two-prongtack, silver button fly
- YKK solid copper washed-burr rivets
- Stitched with durable poly core cotton thread
- Made at Lisama, Portugal</v>
      </c>
      <c r="H133" s="11" t="str">
        <f>IFERROR(__xludf.DUMMYFUNCTION("""COMPUTED_VALUE"""),"barnes-japan-black, barnes-japan-rinse, barnes-japan-dawn, barnes-japan-fade")</f>
        <v>barnes-japan-black, barnes-japan-rinse, barnes-japan-dawn, barnes-japan-fade</v>
      </c>
      <c r="I133" s="11" t="str">
        <f>IFERROR(__xludf.DUMMYFUNCTION("""COMPUTED_VALUE"""),"riley-charcoal, adonis-lis-noir")</f>
        <v>riley-charcoal, adonis-lis-noir</v>
      </c>
    </row>
    <row r="134">
      <c r="A134" s="11" t="str">
        <f>IFERROR(__xludf.DUMMYFUNCTION("""COMPUTED_VALUE"""),"Livid men")</f>
        <v>Livid men</v>
      </c>
      <c r="B134" s="11" t="str">
        <f>IFERROR(__xludf.DUMMYFUNCTION("""COMPUTED_VALUE"""),"Longsleeve")</f>
        <v>Longsleeve</v>
      </c>
      <c r="C134" s="11" t="str">
        <f>IFERROR(__xludf.DUMMYFUNCTION("""COMPUTED_VALUE"""),"boden-black-rib")</f>
        <v>boden-black-rib</v>
      </c>
      <c r="D134" s="11" t="str">
        <f>IFERROR(__xludf.DUMMYFUNCTION("""COMPUTED_VALUE"""),"Boden Black Rib")</f>
        <v>Boden Black Rib</v>
      </c>
      <c r="E134" s="11" t="str">
        <f>IFERROR(__xludf.DUMMYFUNCTION("""COMPUTED_VALUE"""),"Made in Portugal
Boden. Featuring dropped shoulders, a big oversized silhouette and wide, elongated sleeves.
Made in a heavyweight rib cotton jersey, creating a strong drape.")</f>
        <v>Made in Portugal
Boden. Featuring dropped shoulders, a big oversized silhouette and wide, elongated sleeves.
Made in a heavyweight rib cotton jersey, creating a strong drape.</v>
      </c>
      <c r="F134" s="11" t="str">
        <f>IFERROR(__xludf.DUMMYFUNCTION("""COMPUTED_VALUE"""),"Our oversized longsleeve Boden, made in a heavy rib jersey.")</f>
        <v>Our oversized longsleeve Boden, made in a heavy rib jersey.</v>
      </c>
      <c r="G134" s="11" t="str">
        <f>IFERROR(__xludf.DUMMYFUNCTION("""COMPUTED_VALUE"""),"- 100% cotton
- Pre-shrunk rib jersey, knitted by Etevimol in Portugal
- Sewn with durable poly core cotton thread
- Made at Texgoios in Portugal")</f>
        <v>- 100% cotton
- Pre-shrunk rib jersey, knitted by Etevimol in Portugal
- Sewn with durable poly core cotton thread
- Made at Texgoios in Portugal</v>
      </c>
      <c r="H134" s="11" t="str">
        <f>IFERROR(__xludf.DUMMYFUNCTION("""COMPUTED_VALUE"""),"boden-white-rib")</f>
        <v>boden-white-rib</v>
      </c>
      <c r="I134" s="11" t="str">
        <f>IFERROR(__xludf.DUMMYFUNCTION("""COMPUTED_VALUE"""),"keri-japan-sandbox, adonis-lis-noir")</f>
        <v>keri-japan-sandbox, adonis-lis-noir</v>
      </c>
    </row>
    <row r="135">
      <c r="A135" s="11" t="str">
        <f>IFERROR(__xludf.DUMMYFUNCTION("""COMPUTED_VALUE"""),"Livid Men")</f>
        <v>Livid Men</v>
      </c>
      <c r="B135" s="11" t="str">
        <f>IFERROR(__xludf.DUMMYFUNCTION("""COMPUTED_VALUE"""),"Jersey")</f>
        <v>Jersey</v>
      </c>
      <c r="C135" s="11" t="str">
        <f>IFERROR(__xludf.DUMMYFUNCTION("""COMPUTED_VALUE"""),"boden-white-rib")</f>
        <v>boden-white-rib</v>
      </c>
      <c r="D135" s="11" t="str">
        <f>IFERROR(__xludf.DUMMYFUNCTION("""COMPUTED_VALUE"""),"Boden White Rib")</f>
        <v>Boden White Rib</v>
      </c>
      <c r="E135" s="11" t="str">
        <f>IFERROR(__xludf.DUMMYFUNCTION("""COMPUTED_VALUE"""),"Made in Portugal
Boden. Featuring dropped shoulders, a big relaxed silhouette and wide and elongated sleeves.
Made in a heavyweight rib cotton jersey, creating a strong drape.
Details &amp; Features
- 100% cotton
- Pre-shrunk jersey, knitted by Etevimol in"&amp;" Portugal
- Sewn with durable poly core cotton thread
- Made at Texgoios in Portugal")</f>
        <v>Made in Portugal
Boden. Featuring dropped shoulders, a big relaxed silhouette and wide and elongated sleeves.
Made in a heavyweight rib cotton jersey, creating a strong drape.
Details &amp; Features
- 100% cotton
- Pre-shrunk jersey, knitted by Etevimol in Portugal
- Sewn with durable poly core cotton thread
- Made at Texgoios in Portugal</v>
      </c>
      <c r="F135" s="11" t="str">
        <f>IFERROR(__xludf.DUMMYFUNCTION("""COMPUTED_VALUE"""),"Our relaxed longsleeve Boden, made in a heavy rib jersey.")</f>
        <v>Our relaxed longsleeve Boden, made in a heavy rib jersey.</v>
      </c>
      <c r="G135" s="11"/>
      <c r="H135" s="11" t="str">
        <f>IFERROR(__xludf.DUMMYFUNCTION("""COMPUTED_VALUE"""),"boden-washout-blue, boden-velour-stripe")</f>
        <v>boden-washout-blue, boden-velour-stripe</v>
      </c>
      <c r="I135" s="11" t="str">
        <f>IFERROR(__xludf.DUMMYFUNCTION("""COMPUTED_VALUE"""),"beth-low-japan-dive")</f>
        <v>beth-low-japan-dive</v>
      </c>
    </row>
    <row r="136">
      <c r="A136" s="11" t="str">
        <f>IFERROR(__xludf.DUMMYFUNCTION("""COMPUTED_VALUE"""),"Livid men")</f>
        <v>Livid men</v>
      </c>
      <c r="B136" s="11" t="str">
        <f>IFERROR(__xludf.DUMMYFUNCTION("""COMPUTED_VALUE"""),"Shirt")</f>
        <v>Shirt</v>
      </c>
      <c r="C136" s="11" t="str">
        <f>IFERROR(__xludf.DUMMYFUNCTION("""COMPUTED_VALUE"""),"brass-blue-clerk-check")</f>
        <v>brass-blue-clerk-check</v>
      </c>
      <c r="D136" s="11" t="str">
        <f>IFERROR(__xludf.DUMMYFUNCTION("""COMPUTED_VALUE"""),"Brass Blue Clerk Check")</f>
        <v>Brass Blue Clerk Check</v>
      </c>
      <c r="E136" s="11"/>
      <c r="F136" s="11"/>
      <c r="G136" s="11"/>
      <c r="H136" s="11"/>
      <c r="I136" s="11"/>
    </row>
    <row r="137">
      <c r="A137" s="11" t="str">
        <f>IFERROR(__xludf.DUMMYFUNCTION("""COMPUTED_VALUE"""),"Livid men")</f>
        <v>Livid men</v>
      </c>
      <c r="B137" s="11" t="str">
        <f>IFERROR(__xludf.DUMMYFUNCTION("""COMPUTED_VALUE"""),"Shirt")</f>
        <v>Shirt</v>
      </c>
      <c r="C137" s="11" t="str">
        <f>IFERROR(__xludf.DUMMYFUNCTION("""COMPUTED_VALUE"""),"brass-blue-pop")</f>
        <v>brass-blue-pop</v>
      </c>
      <c r="D137" s="11" t="str">
        <f>IFERROR(__xludf.DUMMYFUNCTION("""COMPUTED_VALUE"""),"Brass Blue Pop")</f>
        <v>Brass Blue Pop</v>
      </c>
      <c r="E137" s="11"/>
      <c r="F137" s="11"/>
      <c r="G137" s="11"/>
      <c r="H137" s="11"/>
      <c r="I137" s="11"/>
    </row>
    <row r="138">
      <c r="A138" s="11" t="str">
        <f>IFERROR(__xludf.DUMMYFUNCTION("""COMPUTED_VALUE"""),"Livid men")</f>
        <v>Livid men</v>
      </c>
      <c r="B138" s="11" t="str">
        <f>IFERROR(__xludf.DUMMYFUNCTION("""COMPUTED_VALUE"""),"Shirt")</f>
        <v>Shirt</v>
      </c>
      <c r="C138" s="11" t="str">
        <f>IFERROR(__xludf.DUMMYFUNCTION("""COMPUTED_VALUE"""),"brass-grey-seersucker")</f>
        <v>brass-grey-seersucker</v>
      </c>
      <c r="D138" s="11" t="str">
        <f>IFERROR(__xludf.DUMMYFUNCTION("""COMPUTED_VALUE"""),"Brass Grey Seersucker")</f>
        <v>Brass Grey Seersucker</v>
      </c>
      <c r="E138" s="11"/>
      <c r="F138" s="11"/>
      <c r="G138" s="11"/>
      <c r="H138" s="11"/>
      <c r="I138" s="11"/>
    </row>
    <row r="139">
      <c r="A139" s="11" t="str">
        <f>IFERROR(__xludf.DUMMYFUNCTION("""COMPUTED_VALUE"""),"Livid men")</f>
        <v>Livid men</v>
      </c>
      <c r="B139" s="11" t="str">
        <f>IFERROR(__xludf.DUMMYFUNCTION("""COMPUTED_VALUE"""),"Shirt")</f>
        <v>Shirt</v>
      </c>
      <c r="C139" s="11" t="str">
        <f>IFERROR(__xludf.DUMMYFUNCTION("""COMPUTED_VALUE"""),"brass-japan-bone-coi")</f>
        <v>brass-japan-bone-coi</v>
      </c>
      <c r="D139" s="11" t="str">
        <f>IFERROR(__xludf.DUMMYFUNCTION("""COMPUTED_VALUE"""),"Brass Japan Bone Coi")</f>
        <v>Brass Japan Bone Coi</v>
      </c>
      <c r="E139" s="11"/>
      <c r="F139" s="11"/>
      <c r="G139" s="11"/>
      <c r="H139" s="11"/>
      <c r="I139" s="11"/>
    </row>
    <row r="140">
      <c r="A140" s="11" t="str">
        <f>IFERROR(__xludf.DUMMYFUNCTION("""COMPUTED_VALUE"""),"Livid men")</f>
        <v>Livid men</v>
      </c>
      <c r="B140" s="11" t="str">
        <f>IFERROR(__xludf.DUMMYFUNCTION("""COMPUTED_VALUE"""),"Shirt")</f>
        <v>Shirt</v>
      </c>
      <c r="C140" s="11" t="str">
        <f>IFERROR(__xludf.DUMMYFUNCTION("""COMPUTED_VALUE"""),"brass-tee-blue-clerk-check")</f>
        <v>brass-tee-blue-clerk-check</v>
      </c>
      <c r="D140" s="11" t="str">
        <f>IFERROR(__xludf.DUMMYFUNCTION("""COMPUTED_VALUE"""),"Brass Tee Blue Clerk Check")</f>
        <v>Brass Tee Blue Clerk Check</v>
      </c>
      <c r="E140" s="11"/>
      <c r="F140" s="11"/>
      <c r="G140" s="11"/>
      <c r="H140" s="11"/>
      <c r="I140" s="11"/>
    </row>
    <row r="141">
      <c r="A141" s="11" t="str">
        <f>IFERROR(__xludf.DUMMYFUNCTION("""COMPUTED_VALUE"""),"Livid men")</f>
        <v>Livid men</v>
      </c>
      <c r="B141" s="11" t="str">
        <f>IFERROR(__xludf.DUMMYFUNCTION("""COMPUTED_VALUE"""),"Shirt")</f>
        <v>Shirt</v>
      </c>
      <c r="C141" s="11" t="str">
        <f>IFERROR(__xludf.DUMMYFUNCTION("""COMPUTED_VALUE"""),"brass-tee-voile-stripe")</f>
        <v>brass-tee-voile-stripe</v>
      </c>
      <c r="D141" s="11" t="str">
        <f>IFERROR(__xludf.DUMMYFUNCTION("""COMPUTED_VALUE"""),"Brass Tee Voile Stripe")</f>
        <v>Brass Tee Voile Stripe</v>
      </c>
      <c r="E141" s="11"/>
      <c r="F141" s="11"/>
      <c r="G141" s="11"/>
      <c r="H141" s="11"/>
      <c r="I141" s="11"/>
    </row>
    <row r="142">
      <c r="A142" s="11" t="str">
        <f>IFERROR(__xludf.DUMMYFUNCTION("""COMPUTED_VALUE"""),"Livid men")</f>
        <v>Livid men</v>
      </c>
      <c r="B142" s="11" t="str">
        <f>IFERROR(__xludf.DUMMYFUNCTION("""COMPUTED_VALUE"""),"Shirt")</f>
        <v>Shirt</v>
      </c>
      <c r="C142" s="11" t="str">
        <f>IFERROR(__xludf.DUMMYFUNCTION("""COMPUTED_VALUE"""),"brass-voile-stripe")</f>
        <v>brass-voile-stripe</v>
      </c>
      <c r="D142" s="11" t="str">
        <f>IFERROR(__xludf.DUMMYFUNCTION("""COMPUTED_VALUE"""),"Brass Voile Stripe")</f>
        <v>Brass Voile Stripe</v>
      </c>
      <c r="E142" s="11"/>
      <c r="F142" s="11"/>
      <c r="G142" s="11"/>
      <c r="H142" s="11"/>
      <c r="I142" s="11"/>
    </row>
    <row r="143">
      <c r="A143" s="11" t="str">
        <f>IFERROR(__xludf.DUMMYFUNCTION("""COMPUTED_VALUE"""),"Livid men")</f>
        <v>Livid men</v>
      </c>
      <c r="B143" s="11" t="str">
        <f>IFERROR(__xludf.DUMMYFUNCTION("""COMPUTED_VALUE"""),"Jeans")</f>
        <v>Jeans</v>
      </c>
      <c r="C143" s="11" t="str">
        <f>IFERROR(__xludf.DUMMYFUNCTION("""COMPUTED_VALUE"""),"burley-japan-era")</f>
        <v>burley-japan-era</v>
      </c>
      <c r="D143" s="11" t="str">
        <f>IFERROR(__xludf.DUMMYFUNCTION("""COMPUTED_VALUE"""),"Burley Japan Era")</f>
        <v>Burley Japan Era</v>
      </c>
      <c r="E143" s="11" t="str">
        <f>IFERROR(__xludf.DUMMYFUNCTION("""COMPUTED_VALUE"""),"Made in Portugal
The Burley, our maxi fit jeans. With a super high rise, the Burley is slim at the waistband, curving out to give ample room at the hip, flowing down to a wide leg opening of 29 cm in a size 31. Constructed with a sewn-in pleat running do"&amp;"wn each leg.
The Japan Era. Made with a 13 Oz 100% cotton, indigo wideloom denim woven by the renowned Japanese denim mill, Kuroki. Washed down to a faded indigo wash.")</f>
        <v>Made in Portugal
The Burley, our maxi fit jeans. With a super high rise, the Burley is slim at the waistband, curving out to give ample room at the hip, flowing down to a wide leg opening of 29 cm in a size 31. Constructed with a sewn-in pleat running down each leg.
The Japan Era. Made with a 13 Oz 100% cotton, indigo wideloom denim woven by the renowned Japanese denim mill, Kuroki. Washed down to a faded indigo wash.</v>
      </c>
      <c r="F143" s="11" t="str">
        <f>IFERROR(__xludf.DUMMYFUNCTION("""COMPUTED_VALUE"""),"Our maxi-fit jeans, Burley, in a faded indigo wash.")</f>
        <v>Our maxi-fit jeans, Burley, in a faded indigo wash.</v>
      </c>
      <c r="G143" s="11" t="str">
        <f>IFERROR(__xludf.DUMMYFUNCTION("""COMPUTED_VALUE"""),"- 13 Oz wideloom denim from Kuroki, Japan
- 100% sanforized cotton
- Warp dyed in indigo, natural coloured weft
- 8 Oz ecru canvas pocketing
- black leather patch w/ wax treatment, Made in Italy.
- YKK two-prong, silver button fly
- YKK solid copper washe"&amp;"d-burr rivets
- Stitched with durable poly-core cotton thread
- Made at Lisama, Portugal")</f>
        <v>- 13 Oz wideloom denim from Kuroki, Japan
- 100% sanforized cotton
- Warp dyed in indigo, natural coloured weft
- 8 Oz ecru canvas pocketing
- black leather patch w/ wax treatment, Made in Italy.
- YKK two-prong, silver button fly
- YKK solid copper washed-burr rivets
- Stitched with durable poly-core cotton thread
- Made at Lisama, Portugal</v>
      </c>
      <c r="H143" s="11" t="str">
        <f>IFERROR(__xludf.DUMMYFUNCTION("""COMPUTED_VALUE"""),"burley-5-pocket-japan-shadow")</f>
        <v>burley-5-pocket-japan-shadow</v>
      </c>
      <c r="I143" s="11" t="str">
        <f>IFERROR(__xludf.DUMMYFUNCTION("""COMPUTED_VALUE"""),"keller-white")</f>
        <v>keller-white</v>
      </c>
    </row>
    <row r="144">
      <c r="A144" s="11" t="str">
        <f>IFERROR(__xludf.DUMMYFUNCTION("""COMPUTED_VALUE"""),"Livid men")</f>
        <v>Livid men</v>
      </c>
      <c r="B144" s="11" t="str">
        <f>IFERROR(__xludf.DUMMYFUNCTION("""COMPUTED_VALUE"""),"Jeans")</f>
        <v>Jeans</v>
      </c>
      <c r="C144" s="11" t="str">
        <f>IFERROR(__xludf.DUMMYFUNCTION("""COMPUTED_VALUE"""),"burley-japan-shadow-1")</f>
        <v>burley-japan-shadow-1</v>
      </c>
      <c r="D144" s="11" t="str">
        <f>IFERROR(__xludf.DUMMYFUNCTION("""COMPUTED_VALUE"""),"Burley Japan Shadow")</f>
        <v>Burley Japan Shadow</v>
      </c>
      <c r="E144" s="11" t="str">
        <f>IFERROR(__xludf.DUMMYFUNCTION("""COMPUTED_VALUE"""),"Made in Portugal
The Burley, our maxi fit jeans. With a super high rise the Burley is slim at the waistband, curving out to give ample room at the hip, flowing down to a wide leg opening of 29 cm in a size 31. Constructed with a sewn-in pleat running dow"&amp;"n each leg, showing off varying shades of grey in the fold.
The Japan Shadow. Made with a 13.8 Oz 100% cotton, black wideloom denim woven by the artisanal Japanese denim mill, Collect. Washed down to a contrasted greying black.")</f>
        <v>Made in Portugal
The Burley, our maxi fit jeans. With a super high rise the Burley is slim at the waistband, curving out to give ample room at the hip, flowing down to a wide leg opening of 29 cm in a size 31. Constructed with a sewn-in pleat running down each leg, showing off varying shades of grey in the fold.
The Japan Shadow. Made with a 13.8 Oz 100% cotton, black wideloom denim woven by the artisanal Japanese denim mill, Collect. Washed down to a contrasted greying black.</v>
      </c>
      <c r="F144" s="11" t="str">
        <f>IFERROR(__xludf.DUMMYFUNCTION("""COMPUTED_VALUE"""),"Our maxi-fit jeans, Burley, in a contrasted washed black.")</f>
        <v>Our maxi-fit jeans, Burley, in a contrasted washed black.</v>
      </c>
      <c r="G144" s="11" t="str">
        <f>IFERROR(__xludf.DUMMYFUNCTION("""COMPUTED_VALUE"""),"- 13.8 Oz wideloom denim from Collect, Japan
- 100% Sanforized cotton
- Warp &amp; Weft sulphur dyed black
- 8 Oz 5 Oz ecru canvas pocketing
- Vegetable tanned leather patch w/ wax treatment, Made in Italy.
- YKK two-prong silver button and zip fly
- YKK soli"&amp;"d copper rivets
- Stitched with durable poly core cotton thread
- Made at Lisama, Portugal")</f>
        <v>- 13.8 Oz wideloom denim from Collect, Japan
- 100% Sanforized cotton
- Warp &amp; Weft sulphur dyed black
- 8 Oz 5 Oz ecru canvas pocketing
- Vegetable tanned leather patch w/ wax treatment, Made in Italy.
- YKK two-prong silver button and zip fly
- YKK solid copper rivets
- Stitched with durable poly core cotton thread
- Made at Lisama, Portugal</v>
      </c>
      <c r="H144" s="11" t="str">
        <f>IFERROR(__xludf.DUMMYFUNCTION("""COMPUTED_VALUE"""),"burley-japan-era")</f>
        <v>burley-japan-era</v>
      </c>
      <c r="I144" s="11" t="str">
        <f>IFERROR(__xludf.DUMMYFUNCTION("""COMPUTED_VALUE"""),"nelson-black")</f>
        <v>nelson-black</v>
      </c>
    </row>
    <row r="145">
      <c r="A145" s="11" t="str">
        <f>IFERROR(__xludf.DUMMYFUNCTION("""COMPUTED_VALUE"""),"Livid men")</f>
        <v>Livid men</v>
      </c>
      <c r="B145" s="11" t="str">
        <f>IFERROR(__xludf.DUMMYFUNCTION("""COMPUTED_VALUE"""),"Knitwear")</f>
        <v>Knitwear</v>
      </c>
      <c r="C145" s="11" t="str">
        <f>IFERROR(__xludf.DUMMYFUNCTION("""COMPUTED_VALUE"""),"buzz-black")</f>
        <v>buzz-black</v>
      </c>
      <c r="D145" s="11" t="str">
        <f>IFERROR(__xludf.DUMMYFUNCTION("""COMPUTED_VALUE"""),"Buzz Black")</f>
        <v>Buzz Black</v>
      </c>
      <c r="E145" s="11" t="str">
        <f>IFERROR(__xludf.DUMMYFUNCTION("""COMPUTED_VALUE"""),"Made in China 
Made in pure merino wool, boiled to acheive a perfect balance between warmth, breathabilty and softness. The weight of the boiled merino wool gives the Buzz zip sweater a soft and heavy drape.
Designed with dropped shoulders, a straight b"&amp;"oxy fit, with a ribbed hem that hangs straight, with splits at the sides. Finished with a high ribbed collar with a full-length two-way ziper.
")</f>
        <v>Made in China 
Made in pure merino wool, boiled to acheive a perfect balance between warmth, breathabilty and softness. The weight of the boiled merino wool gives the Buzz zip sweater a soft and heavy drape.
Designed with dropped shoulders, a straight boxy fit, with a ribbed hem that hangs straight, with splits at the sides. Finished with a high ribbed collar with a full-length two-way ziper.
</v>
      </c>
      <c r="F145" s="11" t="str">
        <f>IFERROR(__xludf.DUMMYFUNCTION("""COMPUTED_VALUE"""),"Buzz, our boiled merino zip-sweater.")</f>
        <v>Buzz, our boiled merino zip-sweater.</v>
      </c>
      <c r="G145" s="11" t="str">
        <f>IFERROR(__xludf.DUMMYFUNCTION("""COMPUTED_VALUE"""),"- 100% merino wool, boiled
- Merino wool yarn spun in Italy by Tollegno 1900
- Warm, breathable and hardwearing
- YKK silver two-way zipper
- Knitted by Goldfine in China")</f>
        <v>- 100% merino wool, boiled
- Merino wool yarn spun in Italy by Tollegno 1900
- Warm, breathable and hardwearing
- YKK silver two-way zipper
- Knitted by Goldfine in China</v>
      </c>
      <c r="H145" s="11"/>
      <c r="I145" s="11" t="str">
        <f>IFERROR(__xludf.DUMMYFUNCTION("""COMPUTED_VALUE"""),"fuller-japan-black-dusk, chambord-noir")</f>
        <v>fuller-japan-black-dusk, chambord-noir</v>
      </c>
    </row>
    <row r="146">
      <c r="A146" s="11" t="str">
        <f>IFERROR(__xludf.DUMMYFUNCTION("""COMPUTED_VALUE"""),"Livid Men")</f>
        <v>Livid Men</v>
      </c>
      <c r="B146" s="11" t="str">
        <f>IFERROR(__xludf.DUMMYFUNCTION("""COMPUTED_VALUE"""),"Shirt")</f>
        <v>Shirt</v>
      </c>
      <c r="C146" s="11" t="str">
        <f>IFERROR(__xludf.DUMMYFUNCTION("""COMPUTED_VALUE"""),"cassidy-white-oxford")</f>
        <v>cassidy-white-oxford</v>
      </c>
      <c r="D146" s="11" t="str">
        <f>IFERROR(__xludf.DUMMYFUNCTION("""COMPUTED_VALUE"""),"Cassidy White Oxford")</f>
        <v>Cassidy White Oxford</v>
      </c>
      <c r="E146" s="11" t="str">
        <f>IFERROR(__xludf.DUMMYFUNCTION("""COMPUTED_VALUE"""),"Made in Portugal 
From our All Seasons collection comes our classic regular slim button-down oxford shirt, Cassidy. Made from a light weight plain weave oxford fabric developed and woven at Somelos in Portugal. This particular fabric has been a staple fa"&amp;"bric in our collection for many seasons and has become very popular due to its classic look and comfortable hand feel. A wardrobe staple piece that works in any occasion regardless of seasonal trends. 
Featuring a button-down collar, long sleeves ending "&amp;"in button cuffs, a single chest pocket and pleats for increase mobility on back yoke.
Details
- Plain weave oxford fabric, 100% cotton.
- Woven by Somelos in Portugal
- Mother of Pearl buttons from Louropel, Portugal
- Stitched with poly core cotton thre"&amp;"ad
- Cut &amp; Sewn by Stork, Portugal
Available sizes small to xxx-large")</f>
        <v>Made in Portugal 
From our All Seasons collection comes our classic regular slim button-down oxford shirt, Cassidy. Made from a light weight plain weave oxford fabric developed and woven at Somelos in Portugal. This particular fabric has been a staple fabric in our collection for many seasons and has become very popular due to its classic look and comfortable hand feel. A wardrobe staple piece that works in any occasion regardless of seasonal trends. 
Featuring a button-down collar, long sleeves ending in button cuffs, a single chest pocket and pleats for increase mobility on back yoke.
Details
- Plain weave oxford fabric, 100% cotton.
- Woven by Somelos in Portugal
- Mother of Pearl buttons from Louropel, Portugal
- Stitched with poly core cotton thread
- Cut &amp; Sewn by Stork, Portugal
Available sizes small to xxx-large</v>
      </c>
      <c r="F146" s="11" t="str">
        <f>IFERROR(__xludf.DUMMYFUNCTION("""COMPUTED_VALUE"""),"The classic regular slim button-down Oxford shirt, Cassidy. Light weight, plain weave fabric. A staple for any season.")</f>
        <v>The classic regular slim button-down Oxford shirt, Cassidy. Light weight, plain weave fabric. A staple for any season.</v>
      </c>
      <c r="G146" s="11"/>
      <c r="H146" s="11" t="str">
        <f>IFERROR(__xludf.DUMMYFUNCTION("""COMPUTED_VALUE"""),"cassidy-beige, cassidy-candy-stripe, cassidy-olive-oxford, cassidy-navy, cassidy-black-1")</f>
        <v>cassidy-beige, cassidy-candy-stripe, cassidy-olive-oxford, cassidy-navy, cassidy-black-1</v>
      </c>
      <c r="I146" s="11" t="str">
        <f>IFERROR(__xludf.DUMMYFUNCTION("""COMPUTED_VALUE"""),"hayes-charcoal")</f>
        <v>hayes-charcoal</v>
      </c>
    </row>
    <row r="147">
      <c r="A147" s="11" t="str">
        <f>IFERROR(__xludf.DUMMYFUNCTION("""COMPUTED_VALUE"""),"Livid Men")</f>
        <v>Livid Men</v>
      </c>
      <c r="B147" s="11" t="str">
        <f>IFERROR(__xludf.DUMMYFUNCTION("""COMPUTED_VALUE"""),"Shirt")</f>
        <v>Shirt</v>
      </c>
      <c r="C147" s="11" t="str">
        <f>IFERROR(__xludf.DUMMYFUNCTION("""COMPUTED_VALUE"""),"connely-brown-cord")</f>
        <v>connely-brown-cord</v>
      </c>
      <c r="D147" s="11" t="str">
        <f>IFERROR(__xludf.DUMMYFUNCTION("""COMPUTED_VALUE"""),"Connely Brown Cord")</f>
        <v>Connely Brown Cord</v>
      </c>
      <c r="E147" s="11" t="str">
        <f>IFERROR(__xludf.DUMMYFUNCTION("""COMPUTED_VALUE"""),"Made in Portugal
Made in a soft corduroy fabric, the Connely shirt can be worn alone, or layered up as a warming overshirt.
Cut in a regular fit with folded pleats on back yoke for increased mobility, a single chest pocket and finished with natural moth"&amp;"er of pearl buttons. 
Details:
- 100% cotton corduroy
- Woven by Troficolor in Portugal
- Mother of Pearl buttons made by Louropel in Italy
- Stitched with durable poly-core cotton thread
- Made at Stork in Portugal")</f>
        <v>Made in Portugal
Made in a soft corduroy fabric, the Connely shirt can be worn alone, or layered up as a warming overshirt.
Cut in a regular fit with folded pleats on back yoke for increased mobility, a single chest pocket and finished with natural mother of pearl buttons. 
Details:
- 100% cotton corduroy
- Woven by Troficolor in Portugal
- Mother of Pearl buttons made by Louropel in Italy
- Stitched with durable poly-core cotton thread
- Made at Stork in Portugal</v>
      </c>
      <c r="F147" s="11" t="str">
        <f>IFERROR(__xludf.DUMMYFUNCTION("""COMPUTED_VALUE"""),"Our regular shirt Connely, in soft corduroy.")</f>
        <v>Our regular shirt Connely, in soft corduroy.</v>
      </c>
      <c r="G147" s="11"/>
      <c r="H147" s="11"/>
      <c r="I147" s="11" t="str">
        <f>IFERROR(__xludf.DUMMYFUNCTION("""COMPUTED_VALUE"""),"hayes-stripe")</f>
        <v>hayes-stripe</v>
      </c>
    </row>
    <row r="148">
      <c r="A148" s="11" t="str">
        <f>IFERROR(__xludf.DUMMYFUNCTION("""COMPUTED_VALUE"""),"Livid Men")</f>
        <v>Livid Men</v>
      </c>
      <c r="B148" s="11" t="str">
        <f>IFERROR(__xludf.DUMMYFUNCTION("""COMPUTED_VALUE"""),"Singlet")</f>
        <v>Singlet</v>
      </c>
      <c r="C148" s="11" t="str">
        <f>IFERROR(__xludf.DUMMYFUNCTION("""COMPUTED_VALUE"""),"dal-black")</f>
        <v>dal-black</v>
      </c>
      <c r="D148" s="11" t="str">
        <f>IFERROR(__xludf.DUMMYFUNCTION("""COMPUTED_VALUE"""),"Dal Black")</f>
        <v>Dal Black</v>
      </c>
      <c r="E148" s="11" t="str">
        <f>IFERROR(__xludf.DUMMYFUNCTION("""COMPUTED_VALUE"""),"Made in Portugal
Our rib jersey top Dal is one of our jersey essentials.
Made in a soft 100% cotton rib jersey knitted in Portugal, dal features a straight fitting body, an open neck and a perfectly cropped length. Designed to be worn on its own, or to "&amp;"add visual interest as a layering piece.
The garment features:
- 100% cotton
- Pre-shrunk rib jersey, knitted at Etevimol, Portugal
- Constructed with durable poly-core cotton thread
- Made at Texgoios in Portugal")</f>
        <v>Made in Portugal
Our rib jersey top Dal is one of our jersey essentials.
Made in a soft 100% cotton rib jersey knitted in Portugal, dal features a straight fitting body, an open neck and a perfectly cropped length. Designed to be worn on its own, or to add visual interest as a layering piece.
The garment features:
- 100% cotton
- Pre-shrunk rib jersey, knitted at Etevimol, Portugal
- Constructed with durable poly-core cotton thread
- Made at Texgoios in Portugal</v>
      </c>
      <c r="F148" s="11" t="str">
        <f>IFERROR(__xludf.DUMMYFUNCTION("""COMPUTED_VALUE"""),"Made in a soft cotton rib jersey, Dal features a straight fitting body, an open neck and a perfectly cropped length. Designed to be worn on its own, or to add visual interest as a layering piece.")</f>
        <v>Made in a soft cotton rib jersey, Dal features a straight fitting body, an open neck and a perfectly cropped length. Designed to be worn on its own, or to add visual interest as a layering piece.</v>
      </c>
      <c r="G148" s="11"/>
      <c r="H148" s="11" t="str">
        <f>IFERROR(__xludf.DUMMYFUNCTION("""COMPUTED_VALUE"""),"dal-white")</f>
        <v>dal-white</v>
      </c>
      <c r="I148" s="11" t="str">
        <f>IFERROR(__xludf.DUMMYFUNCTION("""COMPUTED_VALUE"""),"keri-linen-olive")</f>
        <v>keri-linen-olive</v>
      </c>
    </row>
    <row r="149">
      <c r="A149" s="11" t="str">
        <f>IFERROR(__xludf.DUMMYFUNCTION("""COMPUTED_VALUE"""),"Livid Men")</f>
        <v>Livid Men</v>
      </c>
      <c r="B149" s="11" t="str">
        <f>IFERROR(__xludf.DUMMYFUNCTION("""COMPUTED_VALUE"""),"Jeans")</f>
        <v>Jeans</v>
      </c>
      <c r="C149" s="11" t="str">
        <f>IFERROR(__xludf.DUMMYFUNCTION("""COMPUTED_VALUE"""),"dune-japan-new-blue")</f>
        <v>dune-japan-new-blue</v>
      </c>
      <c r="D149" s="11" t="str">
        <f>IFERROR(__xludf.DUMMYFUNCTION("""COMPUTED_VALUE"""),"Dune Japan New Blue")</f>
        <v>Dune Japan New Blue</v>
      </c>
      <c r="E149" s="11" t="str">
        <f>IFERROR(__xludf.DUMMYFUNCTION("""COMPUTED_VALUE"""),"Made in Portugal
Dune is our snug straight. Fitted in the waist and upper thigh, with a high mid-rise, and a slim straight leg.
The Dune fits small. Most customers size up one size in the waist compared to their normal size, for a snug straight fit.
Ma"&amp;"de in a solid 13 Oz 100% cotton denim from the renowned Japanese denim mill Kuroki. Soft to the touch, the Japan New Blue is washed to a light lived-in blue finish.
Details &amp; Features
- Light blue washed rope-dyed indigo denim
- 13 Oz wideloom denim from"&amp;" Kuroki, Japan
- 100% Sanforized cotton
- Warp dyed in indigo, natural coloured weft
- 8 Oz ecru canvas pocketing
- Vegetable-tanned leather patch w/ wax treatment, made in Italy.
- YKK two-prong, silver button fly
- YKK solid copper washed-burr rivets
- "&amp;"Stitched with poly core cotton thread
- Made at Lisama, Portugal")</f>
        <v>Made in Portugal
Dune is our snug straight. Fitted in the waist and upper thigh, with a high mid-rise, and a slim straight leg.
The Dune fits small. Most customers size up one size in the waist compared to their normal size, for a snug straight fit.
Made in a solid 13 Oz 100% cotton denim from the renowned Japanese denim mill Kuroki. Soft to the touch, the Japan New Blue is washed to a light lived-in blue finish.
Details &amp; Features
- Light blue washed rope-dyed indigo denim
- 13 Oz wideloom denim from Kuroki, Japan
- 100% Sanforized cotton
- Warp dyed in indigo, natural coloured weft
- 8 Oz ecru canvas pocketing
- Vegetable-tanned leather patch w/ wax treatment, made in Italy.
- YKK two-prong, silver button fly
- YKK solid copper washed-burr rivets
- Stitched with poly core cotton thread
- Made at Lisama, Portugal</v>
      </c>
      <c r="F149" s="11" t="str">
        <f>IFERROR(__xludf.DUMMYFUNCTION("""COMPUTED_VALUE"""),"Our new straight, Dune.")</f>
        <v>Our new straight, Dune.</v>
      </c>
      <c r="G149" s="11"/>
      <c r="H149" s="11" t="str">
        <f>IFERROR(__xludf.DUMMYFUNCTION("""COMPUTED_VALUE"""),"dune-japan-shadow")</f>
        <v>dune-japan-shadow</v>
      </c>
      <c r="I149" s="11"/>
    </row>
    <row r="150">
      <c r="A150" s="11" t="str">
        <f>IFERROR(__xludf.DUMMYFUNCTION("""COMPUTED_VALUE"""),"Livid Men")</f>
        <v>Livid Men</v>
      </c>
      <c r="B150" s="11" t="str">
        <f>IFERROR(__xludf.DUMMYFUNCTION("""COMPUTED_VALUE"""),"Jeans")</f>
        <v>Jeans</v>
      </c>
      <c r="C150" s="11" t="str">
        <f>IFERROR(__xludf.DUMMYFUNCTION("""COMPUTED_VALUE"""),"dune-japan-shadow")</f>
        <v>dune-japan-shadow</v>
      </c>
      <c r="D150" s="11" t="str">
        <f>IFERROR(__xludf.DUMMYFUNCTION("""COMPUTED_VALUE"""),"Dune Japan Shadow")</f>
        <v>Dune Japan Shadow</v>
      </c>
      <c r="E150" s="11" t="str">
        <f>IFERROR(__xludf.DUMMYFUNCTION("""COMPUTED_VALUE"""),"Made in Portugal
Dune is our snug straight. Fitted in the waist and upper thigh, with a high mid-rise, and a slim straight leg.
The Dune fits small. Most customers size up one size in the waist compared to their normal size, for a snug straight fit.
Du"&amp;"ne Japan Shadow is made from a 13 Oz 100% cotton, black wideloom denim woven by the renowned Japanese fabric mill, Kuroki. Washed down to a lived-in look. The Japan Shadow achieves a subtle depth and texture to the greying black, thanks to the special dye"&amp;"ing technique called rope dye, where the yarns are dipped in short intervals between oxidation. 
This prevents the colour from completely penetrating the core of the fibres, leaving it fresh, natural and untouched. When the layers of black colour wears o"&amp;"ff the surface of the yarns, the natural coloured cotton core will appear, leaving a contrast fade throughout the jeans.
Details &amp; Features
- 13 Oz wideloom denim from Kuroki, Japan
- 100% Sanforized cotton
- Warp &amp; Weft sulphur dyed black
- 8 Oz 5 Oz ec"&amp;"ru canvas pocketing
- Black vegetable-tanned leather patch w/ wax treatment, Made in Italy.
- YKK two-prong, silver button fly
- YKK solid copper washed-burr rivets
- Stitched with durable poly-core cotton thread
- Made at Lisama, Portugal")</f>
        <v>Made in Portugal
Dune is our snug straight. Fitted in the waist and upper thigh, with a high mid-rise, and a slim straight leg.
The Dune fits small. Most customers size up one size in the waist compared to their normal size, for a snug straight fit.
Dune Japan Shadow is made from a 13 Oz 100% cotton, black wideloom denim woven by the renowned Japanese fabric mill, Kuroki. Washed down to a lived-in look. The Japan Shadow achieves a subtle depth and texture to the greying black, thanks to the special dyeing technique called rope dye, where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Details &amp; Features
- 13 Oz wideloom denim from Kuroki, Japan
- 100% Sanforized cotton
- Warp &amp; Weft sulphur dyed black
- 8 Oz 5 Oz ecru canvas pocketing
- Black vegetable-tanned leather patch w/ wax treatment, Made in Italy.
- YKK two-prong, silver button fly
- YKK solid copper washed-burr rivets
- Stitched with durable poly-core cotton thread
- Made at Lisama, Portugal</v>
      </c>
      <c r="F150" s="11" t="str">
        <f>IFERROR(__xludf.DUMMYFUNCTION("""COMPUTED_VALUE"""),"Our new straight, Dune.")</f>
        <v>Our new straight, Dune.</v>
      </c>
      <c r="G150" s="11"/>
      <c r="H150" s="11" t="str">
        <f>IFERROR(__xludf.DUMMYFUNCTION("""COMPUTED_VALUE"""),"dune-japan-new-blue")</f>
        <v>dune-japan-new-blue</v>
      </c>
      <c r="I150" s="11"/>
    </row>
    <row r="151">
      <c r="A151" s="11" t="str">
        <f>IFERROR(__xludf.DUMMYFUNCTION("""COMPUTED_VALUE"""),"Livid men")</f>
        <v>Livid men</v>
      </c>
      <c r="B151" s="11" t="str">
        <f>IFERROR(__xludf.DUMMYFUNCTION("""COMPUTED_VALUE"""),"Cap")</f>
        <v>Cap</v>
      </c>
      <c r="C151" s="11" t="str">
        <f>IFERROR(__xludf.DUMMYFUNCTION("""COMPUTED_VALUE"""),"dunn-green")</f>
        <v>dunn-green</v>
      </c>
      <c r="D151" s="11" t="str">
        <f>IFERROR(__xludf.DUMMYFUNCTION("""COMPUTED_VALUE"""),"Dunn Green")</f>
        <v>Dunn Green</v>
      </c>
      <c r="E151" s="11" t="str">
        <f>IFERROR(__xludf.DUMMYFUNCTION("""COMPUTED_VALUE"""),"Made in China
Dunn features 6 panels with stitched eyelets on each panel, a broad brim with structural stitching, and a regular fit. Finished with an embroidered Livid logo at the front.")</f>
        <v>Made in China
Dunn features 6 panels with stitched eyelets on each panel, a broad brim with structural stitching, and a regular fit. Finished with an embroidered Livid logo at the front.</v>
      </c>
      <c r="F151" s="11" t="str">
        <f>IFERROR(__xludf.DUMMYFUNCTION("""COMPUTED_VALUE"""),"Our Dunn cap in a cotton twill.")</f>
        <v>Our Dunn cap in a cotton twill.</v>
      </c>
      <c r="G151" s="11" t="str">
        <f>IFERROR(__xludf.DUMMYFUNCTION("""COMPUTED_VALUE"""),"- 100% cotton twill
- Sewn with durable poly-core cotton thread.
- Made by Labels Things, in China")</f>
        <v>- 100% cotton twill
- Sewn with durable poly-core cotton thread.
- Made by Labels Things, in China</v>
      </c>
      <c r="H151" s="11" t="str">
        <f>IFERROR(__xludf.DUMMYFUNCTION("""COMPUTED_VALUE"""),"dunn-navy-2, dunn-moon, dunn-grisalle, dunn-black-2, dunn-japan-optic")</f>
        <v>dunn-navy-2, dunn-moon, dunn-grisalle, dunn-black-2, dunn-japan-optic</v>
      </c>
      <c r="I151" s="11" t="str">
        <f>IFERROR(__xludf.DUMMYFUNCTION("""COMPUTED_VALUE"""),"nelson-white")</f>
        <v>nelson-white</v>
      </c>
    </row>
    <row r="152">
      <c r="A152" s="11" t="str">
        <f>IFERROR(__xludf.DUMMYFUNCTION("""COMPUTED_VALUE"""),"Livid men")</f>
        <v>Livid men</v>
      </c>
      <c r="B152" s="11" t="str">
        <f>IFERROR(__xludf.DUMMYFUNCTION("""COMPUTED_VALUE"""),"Jersey")</f>
        <v>Jersey</v>
      </c>
      <c r="C152" s="11" t="str">
        <f>IFERROR(__xludf.DUMMYFUNCTION("""COMPUTED_VALUE"""),"dyer-aloe-fadeout-thermal")</f>
        <v>dyer-aloe-fadeout-thermal</v>
      </c>
      <c r="D152" s="11" t="str">
        <f>IFERROR(__xludf.DUMMYFUNCTION("""COMPUTED_VALUE"""),"Dyer Aloe Fadeout Thermal")</f>
        <v>Dyer Aloe Fadeout Thermal</v>
      </c>
      <c r="E152" s="11"/>
      <c r="F152" s="11"/>
      <c r="G152" s="11"/>
      <c r="H152" s="11"/>
      <c r="I152" s="11"/>
    </row>
    <row r="153">
      <c r="A153" s="11" t="str">
        <f>IFERROR(__xludf.DUMMYFUNCTION("""COMPUTED_VALUE"""),"Livid Men")</f>
        <v>Livid Men</v>
      </c>
      <c r="B153" s="11" t="str">
        <f>IFERROR(__xludf.DUMMYFUNCTION("""COMPUTED_VALUE"""),"Jeans")</f>
        <v>Jeans</v>
      </c>
      <c r="C153" s="11" t="str">
        <f>IFERROR(__xludf.DUMMYFUNCTION("""COMPUTED_VALUE"""),"edvard-japan-black-comfort")</f>
        <v>edvard-japan-black-comfort</v>
      </c>
      <c r="D153" s="11" t="str">
        <f>IFERROR(__xludf.DUMMYFUNCTION("""COMPUTED_VALUE"""),"Edvard Japan Black Comfort")</f>
        <v>Edvard Japan Black Comfort</v>
      </c>
      <c r="E153" s="11" t="str">
        <f>IFERROR(__xludf.DUMMYFUNCTION("""COMPUTED_VALUE"""),"Made in Portugal
The Japan Black Comfort. Made from a 10,6 Oz black comfort wideloom denim woven at the renowned Japanese fabric mill, Kuroki. This particular fabric have been made with a premium black sulphur dye that keep the dark shade longer than mos"&amp;"t fabrics in the same segment. While all black denim loose colour, this particular denim fades in contrast after wear. This is due a special technique called rope dye, whereas the yarns are dipped in short intervals between oxidation. This prevents the co"&amp;"lour from completely penetrating the core of the fibres, leaving it fresh, natural and untouched. When the layers of black colour wears off the surface of the yarns, the natural coloured cotton core will appear, leaving a contrast fade throughout the jean"&amp;"s.
All black denim will loose its colour. Some transform into a dull grey version of itself, but this particular denim, fades in contrast giving more and more life, resulting in a denim that only get more beautiful with age.
Another small detail. The su"&amp;"rface of this particular denim has been an anti-dust treatment, preventing lint from attaching to the surface of the fabric. 
Details &amp; Features
- 10,6 Oz comfort wideloom denim from Kuroki, Japan
- 96% cotton / 4% polyurethane
- Warp &amp; weft dyed in blac"&amp;"k
- 5 Oz ecru canvas pocketing
- Black leather patch w/ wax treatment. Made in Italy
- YKK two-prongtack, silver button and zip fly
- YKK solid copper washed-burr rivets
- Stitched with poly core cotton thread
- Made at Lisama, Portugal
Model is 183 cm a"&amp;"nd wears a size 31/32
Go to our fitguide to read more about the Edvard skinny fit.
Available sizes are 27-36 in 32″ inseam and 29-36 in 34″ inseam.")</f>
        <v>Made in Portugal
The Japan Black Comfort. Made from a 10,6 Oz black comfort wideloom denim woven at the renowned Japanese fabric mill, Kuroki. This particular fabric have been made with a premium black sulphur dye that keep the dark shade longer than most fabrics in the same segment. While all black denim loose colour, this particular denim fades in contrast after wear. This is due a special technique called rope dye, whereas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All black denim will loose its colour. Some transform into a dull grey version of itself, but this particular denim, fades in contrast giving more and more life, resulting in a denim that only get more beautiful with age.
Another small detail. The surface of this particular denim has been an anti-dust treatment, preventing lint from attaching to the surface of the fabric. 
Details &amp; Features
- 10,6 Oz comfort wideloom denim from Kuroki, Japan
- 96% cotton / 4% polyurethane
- Warp &amp; weft dyed in black
- 5 Oz ecru canvas pocketing
- Black leather patch w/ wax treatment. Made in Italy
- YKK two-prongtack, silver button and zip fly
- YKK solid copper washed-burr rivets
- Stitched with poly core cotton thread
- Made at Lisama, Portugal
Model is 183 cm and wears a size 31/32
Go to our fitguide to read more about the Edvard skinny fit.
Available sizes are 27-36 in 32″ inseam and 29-36 in 34″ inseam.</v>
      </c>
      <c r="F153" s="11" t="str">
        <f>IFERROR(__xludf.DUMMYFUNCTION("""COMPUTED_VALUE"""),"Made from premium black comfort denim at Kuroki, this fabric is dyed to maintain its dark shade longer, fading in contrast after wear with a special rope dye technique.")</f>
        <v>Made from premium black comfort denim at Kuroki, this fabric is dyed to maintain its dark shade longer, fading in contrast after wear with a special rope dye technique.</v>
      </c>
      <c r="G153" s="11"/>
      <c r="H153" s="11" t="str">
        <f>IFERROR(__xludf.DUMMYFUNCTION("""COMPUTED_VALUE"""),"edvard-japan-blue, edvard-japan-indigo")</f>
        <v>edvard-japan-blue, edvard-japan-indigo</v>
      </c>
      <c r="I153" s="11"/>
    </row>
    <row r="154">
      <c r="A154" s="11" t="str">
        <f>IFERROR(__xludf.DUMMYFUNCTION("""COMPUTED_VALUE"""),"Livid Men")</f>
        <v>Livid Men</v>
      </c>
      <c r="B154" s="11" t="str">
        <f>IFERROR(__xludf.DUMMYFUNCTION("""COMPUTED_VALUE"""),"Jeans")</f>
        <v>Jeans</v>
      </c>
      <c r="C154" s="11" t="str">
        <f>IFERROR(__xludf.DUMMYFUNCTION("""COMPUTED_VALUE"""),"edvard-japan-blue")</f>
        <v>edvard-japan-blue</v>
      </c>
      <c r="D154" s="11" t="str">
        <f>IFERROR(__xludf.DUMMYFUNCTION("""COMPUTED_VALUE"""),"Edvard Japan Blue")</f>
        <v>Edvard Japan Blue</v>
      </c>
      <c r="E154" s="11" t="str">
        <f>IFERROR(__xludf.DUMMYFUNCTION("""COMPUTED_VALUE"""),"Made in Portugal
The Japan Blue. Made from a mid-weight wideloom denim woven at the renowned Japanese fabric mill, Kuroki. This particular denim has been woven with dual core-spun yarns which greatly improves the stretch, recovery, comfort and flexibilit"&amp;"y properties in the denim. Dual core-spun yarns are also composed of filament – fibers having extreme length - that contributes durability and long-lasting quality. In short terms a fabric that molds to the body, keeps it shape and is made to last longer "&amp;"both in regards to esthetics and simple durability.
Made in our skinny fit jeans, Edvard. 
Details &amp; Features
- 11,8 Oz comfort wideloom denim from Kuroki, Japan. 
- 96% cotton / 2% polyurethane / 2% polyethylene
- Woven with dual core-spun yarns
- Warp"&amp;" dyed in indigo, natural coloured weft
- 8 Oz / 5 Oz ecru canvas pocketing
- Tanned leather patch w/ wax treatment, Made in Italy 
- YKK two-prongtack, silver button and zip fly
- YKK solid copper washed-burr rivets
- Stitched with poly core cotton thread"&amp;"
- Made at Lisama, Portugal
Model is 183 cm and wears a size 31/32
Go to our fit guide to read more about the Edvard Skinny
Available sizes are 27-36 in 32” inseam and 29-36 in 34” inseam.")</f>
        <v>Made in Portugal
The Japan Blue. Made from a mid-weight wideloom denim woven at the renowned Japanese fabric mill, Kuroki. This particular denim has been woven with dual core-spun yarns which greatly improves the stretch, recovery, comfort and flexibility properties in the denim. Dual core-spun yarns are also composed of filament – fibers having extreme length - that contributes durability and long-lasting quality. In short terms a fabric that molds to the body, keeps it shape and is made to last longer both in regards to esthetics and simple durability.
Made in our skinny fit jeans, Edvard. 
Details &amp; Features
- 11,8 Oz comfort wideloom denim from Kuroki, Japan. 
- 96% cotton / 2% polyurethane / 2% polyethylene
- Woven with dual core-spun yarns
- Warp dyed in indigo, natural coloured weft
- 8 Oz / 5 Oz ecru canvas pocketing
- Tanned leather patch w/ wax treatment, Made in Italy 
- YKK two-prongtack, silver button and zip fly
- YKK solid copper washed-burr rivets
- Stitched with poly core cotton thread
- Made at Lisama, Portugal
Model is 183 cm and wears a size 31/32
Go to our fit guide to read more about the Edvard Skinny
Available sizes are 27-36 in 32” inseam and 29-36 in 34” inseam.</v>
      </c>
      <c r="F154" s="11" t="str">
        <f>IFERROR(__xludf.DUMMYFUNCTION("""COMPUTED_VALUE"""),"Made with denim woven at Kuroki, Japan. This fabric improves stretch, recovery, comfort, and flexibility. Dual core-spun yarns contribute to durability and quality. A fabric that molds to the body and lasts longer.")</f>
        <v>Made with denim woven at Kuroki, Japan. This fabric improves stretch, recovery, comfort, and flexibility. Dual core-spun yarns contribute to durability and quality. A fabric that molds to the body and lasts longer.</v>
      </c>
      <c r="G154" s="11"/>
      <c r="H154" s="11" t="str">
        <f>IFERROR(__xludf.DUMMYFUNCTION("""COMPUTED_VALUE"""),"edvard-japan-indigo, edvard-japan-black-comfort")</f>
        <v>edvard-japan-indigo, edvard-japan-black-comfort</v>
      </c>
      <c r="I154" s="11"/>
    </row>
    <row r="155">
      <c r="A155" s="11" t="str">
        <f>IFERROR(__xludf.DUMMYFUNCTION("""COMPUTED_VALUE"""),"Livid Men")</f>
        <v>Livid Men</v>
      </c>
      <c r="B155" s="11" t="str">
        <f>IFERROR(__xludf.DUMMYFUNCTION("""COMPUTED_VALUE"""),"Jeans")</f>
        <v>Jeans</v>
      </c>
      <c r="C155" s="11" t="str">
        <f>IFERROR(__xludf.DUMMYFUNCTION("""COMPUTED_VALUE"""),"edvard-japan-indigo")</f>
        <v>edvard-japan-indigo</v>
      </c>
      <c r="D155" s="11" t="str">
        <f>IFERROR(__xludf.DUMMYFUNCTION("""COMPUTED_VALUE"""),"Edvard Japan Indigo")</f>
        <v>Edvard Japan Indigo</v>
      </c>
      <c r="E155" s="11" t="str">
        <f>IFERROR(__xludf.DUMMYFUNCTION("""COMPUTED_VALUE"""),"Made in Portugal
The Japan Indigo. Made from a light weight wideloom denim woven at the renowned Japanese fabric mill, Kuroki. This top of the line garment has a soft and comfortable hand feel. Made from 98% long staple conventional cotton with a 2% adde"&amp;"d polyurethane for increase comfort and wearability. This fabric will mold neatly to the body while keeping its shape after wear.
Made in our skinny fit jeans, Edvard. 
Details &amp; Features
- 11 Oz comfort wideloom denim from Kuroki, Japan. 
- 98% cotton "&amp;"/ 2% polyurethane
- Warp dyed in indigo, natural coloured weft
- 8 Oz ecru canvas pocketing
- Tanned leather patch w/ wax treatment, Made in Italy. 
- YKK two-prongtack, silver button and zip fly
- YKK solid copper washed-burr rivets
- Stitched with poly "&amp;"core cotton thread
- Made at Lisama, Portugal
Model is 183 cm and wears a size 31/32.
Go to our fit guide to read more about the Edvard Skinny
Available sizes are 27-36 in 32” inseam and 29-36 in 34” inseam")</f>
        <v>Made in Portugal
The Japan Indigo. Made from a light weight wideloom denim woven at the renowned Japanese fabric mill, Kuroki. This top of the line garment has a soft and comfortable hand feel. Made from 98% long staple conventional cotton with a 2% added polyurethane for increase comfort and wearability. This fabric will mold neatly to the body while keeping its shape after wear.
Made in our skinny fit jeans, Edvard. 
Details &amp; Features
- 11 Oz comfort wideloom denim from Kuroki, Japan. 
- 98% cotton / 2% polyurethane
- Warp dyed in indigo, natural coloured weft
- 8 Oz ecru canvas pocketing
- Tanned leather patch w/ wax treatment, Made in Italy. 
- YKK two-prongtack, silver button and zip fly
- YKK solid copper washed-burr rivets
- Stitched with poly core cotton thread
- Made at Lisama, Portugal
Model is 183 cm and wears a size 31/32.
Go to our fit guide to read more about the Edvard Skinny
Available sizes are 27-36 in 32” inseam and 29-36 in 34” inseam</v>
      </c>
      <c r="F155" s="11" t="str">
        <f>IFERROR(__xludf.DUMMYFUNCTION("""COMPUTED_VALUE"""),"Made from light weight denim, woven at Kuroki. Top garment, soft, comfortable hand feel. 98% cotton, 2% polyurethane for comfort, wearability. Molds to body, keeps shape.")</f>
        <v>Made from light weight denim, woven at Kuroki. Top garment, soft, comfortable hand feel. 98% cotton, 2% polyurethane for comfort, wearability. Molds to body, keeps shape.</v>
      </c>
      <c r="G155" s="11"/>
      <c r="H155" s="11" t="str">
        <f>IFERROR(__xludf.DUMMYFUNCTION("""COMPUTED_VALUE"""),"edvard-japan-black-comfort, edvard-japan-blue")</f>
        <v>edvard-japan-black-comfort, edvard-japan-blue</v>
      </c>
      <c r="I155" s="11"/>
    </row>
    <row r="156">
      <c r="A156" s="11" t="str">
        <f>IFERROR(__xludf.DUMMYFUNCTION("""COMPUTED_VALUE"""),"Livid men")</f>
        <v>Livid men</v>
      </c>
      <c r="B156" s="11" t="str">
        <f>IFERROR(__xludf.DUMMYFUNCTION("""COMPUTED_VALUE"""),"Singlet")</f>
        <v>Singlet</v>
      </c>
      <c r="C156" s="11" t="str">
        <f>IFERROR(__xludf.DUMMYFUNCTION("""COMPUTED_VALUE"""),"elmer-grey-melange")</f>
        <v>elmer-grey-melange</v>
      </c>
      <c r="D156" s="11" t="str">
        <f>IFERROR(__xludf.DUMMYFUNCTION("""COMPUTED_VALUE"""),"Elmer Grey Melange")</f>
        <v>Elmer Grey Melange</v>
      </c>
      <c r="E156" s="11"/>
      <c r="F156" s="11"/>
      <c r="G156" s="11"/>
      <c r="H156" s="11"/>
      <c r="I156" s="11"/>
    </row>
    <row r="157">
      <c r="A157" s="11" t="str">
        <f>IFERROR(__xludf.DUMMYFUNCTION("""COMPUTED_VALUE"""),"Livid men")</f>
        <v>Livid men</v>
      </c>
      <c r="B157" s="11" t="str">
        <f>IFERROR(__xludf.DUMMYFUNCTION("""COMPUTED_VALUE"""),"Singlet")</f>
        <v>Singlet</v>
      </c>
      <c r="C157" s="11" t="str">
        <f>IFERROR(__xludf.DUMMYFUNCTION("""COMPUTED_VALUE"""),"elmer-white")</f>
        <v>elmer-white</v>
      </c>
      <c r="D157" s="11" t="str">
        <f>IFERROR(__xludf.DUMMYFUNCTION("""COMPUTED_VALUE"""),"Elmer White")</f>
        <v>Elmer White</v>
      </c>
      <c r="E157" s="11"/>
      <c r="F157" s="11"/>
      <c r="G157" s="11"/>
      <c r="H157" s="11"/>
      <c r="I157" s="11"/>
    </row>
    <row r="158">
      <c r="A158" s="11" t="str">
        <f>IFERROR(__xludf.DUMMYFUNCTION("""COMPUTED_VALUE"""),"Livid Men")</f>
        <v>Livid Men</v>
      </c>
      <c r="B158" s="11" t="str">
        <f>IFERROR(__xludf.DUMMYFUNCTION("""COMPUTED_VALUE"""),"Jeans")</f>
        <v>Jeans</v>
      </c>
      <c r="C158" s="11" t="str">
        <f>IFERROR(__xludf.DUMMYFUNCTION("""COMPUTED_VALUE"""),"emerson-japan-black-selvage")</f>
        <v>emerson-japan-black-selvage</v>
      </c>
      <c r="D158" s="11" t="str">
        <f>IFERROR(__xludf.DUMMYFUNCTION("""COMPUTED_VALUE"""),"Emerson Japan Black Selvage")</f>
        <v>Emerson Japan Black Selvage</v>
      </c>
      <c r="E158" s="11" t="str">
        <f>IFERROR(__xludf.DUMMYFUNCTION("""COMPUTED_VALUE"""),"Made in Portugal
The Emerson Japan Black Selvage. Made from a solid 13 Oz mid-weight denim fabric from the renowned Japanese fabric mill, Kuroki. This top of the line denim is made out of 100% sanforized cotton and is unwashed and completely untreated. A"&amp;" perfect start for your brand new dry denim project!
The Emerson Japan Black Selvage is made with sulphur dyed black denim, which ensures that the black colour stays black for a long time. All black denim fades with age, but how they fade will vary great"&amp;"ly. As with all our denim fabrics, our Japan Black Selvage is made with a dyeing technique called rope dye. When rope dyeing denim yarns, the white core of the cotton yarn remains untouched during the dyeing process. With friction and wear as the layers a"&amp;"nd layers of dye are worn off the surface of the fabric, the un-dyed core of the cotton yarn will appear, slowly leaving beautiful contrast fading to the surface. Ever tried it yourself? A definite essential for any denim enthusiast!
Made in our straight"&amp;" leg jeans, Emerson. 
Details &amp; Features
- 13 Oz narrowloom selvage denim from Kuroki, Japan
- 100% Sanforized cotton,
- Black sulphur dyed warp and weft.
- 8 Oz ecru canvas pocketing
- Black tanned leather patch w/ wax treatment, Made in Italy.
- YKK tw"&amp;"o-prong tack, silver button fly
- YKK solid copper washed-burr rivets
- Stitched with poly-core cotton thread
- Made at Lisama, Portugal
Model is 183 cm and wears a size 32/32.
Go to our fit guide to read more about the Emerson Straight 
Available size"&amp;"s are 28-36 in 32” inseam and 30-40 in 34” inseam.")</f>
        <v>Made in Portugal
The Emerson Japan Black Selvage. Made from a solid 13 Oz mid-weight denim fabric from the renowned Japanese fabric mill, Kuroki. This top of the line denim is made out of 100% sanforized cotton and is unwashed and completely untreated. A perfect start for your brand new dry denim project!
The Emerson Japan Black Selvage is made with sulphur dyed black denim, which ensures that the black colour stays black for a long time. All black denim fades with age, but how they fade will vary greatly. As with all our denim fabrics, our Japan Black Selvage is made with a dyeing technique called rope dye. When rope dyeing denim yarns, the white core of the cotton yarn remains untouched during the dyeing process. With friction and wear as the layers and layers of dye are worn off the surface of the fabric, the un-dyed core of the cotton yarn will appear, slowly leaving beautiful contrast fading to the surface. Ever tried it yourself? A definite essential for any denim enthusiast!
Made in our straight leg jeans, Emerson. 
Details &amp; Features
- 13 Oz narrowloom selvage denim from Kuroki, Japan
- 100% Sanforized cotton,
- Black sulphur dyed warp and weft.
- 8 Oz ecru canvas pocketing
- Black tanned leather patch w/ wax treatment, Made in Italy.
- YKK two-prong tack, silver button fly
- YKK solid copper washed-burr rivets
- Stitched with poly-core cotton thread
- Made at Lisama, Portugal
Model is 183 cm and wears a size 32/32.
Go to our fit guide to read more about the Emerson Straight 
Available sizes are 28-36 in 32” inseam and 30-40 in 34” inseam.</v>
      </c>
      <c r="F158" s="11" t="str">
        <f>IFERROR(__xludf.DUMMYFUNCTION("""COMPUTED_VALUE"""),"Made from 13 Oz mid-weight denim, solid, renowned Japanese mill, Kuroki. Fabric 100% sanforized cotton, unwashed, untreated.")</f>
        <v>Made from 13 Oz mid-weight denim, solid, renowned Japanese mill, Kuroki. Fabric 100% sanforized cotton, unwashed, untreated.</v>
      </c>
      <c r="G158" s="11"/>
      <c r="H158" s="11" t="str">
        <f>IFERROR(__xludf.DUMMYFUNCTION("""COMPUTED_VALUE"""),"emerson-japan-dawn, emerson-18-oz-japan-dry-selvage, emerson-japan-dry-selvage")</f>
        <v>emerson-japan-dawn, emerson-18-oz-japan-dry-selvage, emerson-japan-dry-selvage</v>
      </c>
      <c r="I158" s="11"/>
    </row>
    <row r="159">
      <c r="A159" s="11" t="str">
        <f>IFERROR(__xludf.DUMMYFUNCTION("""COMPUTED_VALUE"""),"Livid Men")</f>
        <v>Livid Men</v>
      </c>
      <c r="B159" s="11" t="str">
        <f>IFERROR(__xludf.DUMMYFUNCTION("""COMPUTED_VALUE"""),"Jeans")</f>
        <v>Jeans</v>
      </c>
      <c r="C159" s="11" t="str">
        <f>IFERROR(__xludf.DUMMYFUNCTION("""COMPUTED_VALUE"""),"fealy-5-pocket-japan-optic-white")</f>
        <v>fealy-5-pocket-japan-optic-white</v>
      </c>
      <c r="D159" s="11" t="str">
        <f>IFERROR(__xludf.DUMMYFUNCTION("""COMPUTED_VALUE"""),"Fealy Japan Optic White")</f>
        <v>Fealy Japan Optic White</v>
      </c>
      <c r="E159" s="11" t="str">
        <f>IFERROR(__xludf.DUMMYFUNCTION("""COMPUTED_VALUE"""),"Made in Portugal
Introducing Fealy. The Fealy sits high and fitted at the waist and hip, similar to our Barnes fit, but slightly wider through the leg. Giving a loose, but not baggy, silhouette, with a dialed in fit.
Made from a 13.8 Oz 100% cotton, cri"&amp;"sp white wideloom denim woven by the renowned Japanese denim mill, Collect. A sharp white denim with a solid handfeel.
Details &amp; Features:
- 13,8 Oz wideloom denim from Collect, Japan
- 100% Sanforized cotton
- 8 Oz ecru canvas pocketing
- White leather "&amp;"patch w/ wax treatment, Made in Italy.
- YKK two-prongtack, silver button fly
- YKK solid copper washed-burr rivets
- Stitched with durable poly core cotton thread
- Made at Lisama, Portugal")</f>
        <v>Made in Portugal
Introducing Fealy. The Fealy sits high and fitted at the waist and hip, similar to our Barnes fit, but slightly wider through the leg. Giving a loose, but not baggy, silhouette, with a dialed in fit.
Made from a 13.8 Oz 100% cotton, crisp white wideloom denim woven by the renowned Japanese denim mill, Collect. A sharp white denim with a solid handfeel.
Details &amp; Features:
- 13,8 Oz wideloom denim from Collect, Japan
- 100% Sanforized cotton
- 8 Oz ecru canvas pocketing
- White leather patch w/ wax treatment, Made in Italy.
- YKK two-prongtack, silver button fly
- YKK solid copper washed-burr rivets
- Stitched with durable poly core cotton thread
- Made at Lisama, Portugal</v>
      </c>
      <c r="F159" s="11" t="str">
        <f>IFERROR(__xludf.DUMMYFUNCTION("""COMPUTED_VALUE"""),"Fealy, our loose fit, in a crisp white denim.")</f>
        <v>Fealy, our loose fit, in a crisp white denim.</v>
      </c>
      <c r="G159" s="11"/>
      <c r="H159" s="11" t="str">
        <f>IFERROR(__xludf.DUMMYFUNCTION("""COMPUTED_VALUE"""),"fealy-low-bisect-japan-broken, fealy-dark-brown-corduroy")</f>
        <v>fealy-low-bisect-japan-broken, fealy-dark-brown-corduroy</v>
      </c>
      <c r="I159" s="11" t="str">
        <f>IFERROR(__xludf.DUMMYFUNCTION("""COMPUTED_VALUE"""),"needle-black")</f>
        <v>needle-black</v>
      </c>
    </row>
    <row r="160">
      <c r="A160" s="11" t="str">
        <f>IFERROR(__xludf.DUMMYFUNCTION("""COMPUTED_VALUE"""),"Livid men")</f>
        <v>Livid men</v>
      </c>
      <c r="B160" s="11" t="str">
        <f>IFERROR(__xludf.DUMMYFUNCTION("""COMPUTED_VALUE"""),"Jeans")</f>
        <v>Jeans</v>
      </c>
      <c r="C160" s="11" t="str">
        <f>IFERROR(__xludf.DUMMYFUNCTION("""COMPUTED_VALUE"""),"fealy-bisect-japan-void")</f>
        <v>fealy-bisect-japan-void</v>
      </c>
      <c r="D160" s="11" t="str">
        <f>IFERROR(__xludf.DUMMYFUNCTION("""COMPUTED_VALUE"""),"Fealy Bisect Japan Void")</f>
        <v>Fealy Bisect Japan Void</v>
      </c>
      <c r="E160" s="11" t="str">
        <f>IFERROR(__xludf.DUMMYFUNCTION("""COMPUTED_VALUE"""),"Made in Portugal
The Fealy Bisect. The Fealy sits high and fitted at the waist and hip, similar to our Barnes fit, but slightly wider through the leg. Giving a loose, but not baggy, silhouette, with a dialed in fit. Featuring bisected panels at the botto"&amp;"m front leg, with a subtle split at the bottom outseams.
In our jet black Japan Void. Made in a solid 13 Oz 100% cotton denim from the renowned Japanese denim mill Kuroki. Rope dyed with sulphur black dye for a deep, long lasting black, which will fade b"&amp;"eautifully over time. Sewn with contrasting seams.")</f>
        <v>Made in Portugal
The Fealy Bisect. The Fealy sits high and fitted at the waist and hip, similar to our Barnes fit, but slightly wider through the leg. Giving a loose, but not baggy, silhouette, with a dialed in fit. Featuring bisected panels at the bottom front leg, with a subtle split at the bottom outseams.
In our jet black Japan Void. Made in a solid 13 Oz 100% cotton denim from the renowned Japanese denim mill Kuroki. Rope dyed with sulphur black dye for a deep, long lasting black, which will fade beautifully over time. Sewn with contrasting seams.</v>
      </c>
      <c r="F160" s="11" t="str">
        <f>IFERROR(__xludf.DUMMYFUNCTION("""COMPUTED_VALUE"""),"Fealy, our loose fit, bisected at the lower leg with a split at the outseam.")</f>
        <v>Fealy, our loose fit, bisected at the lower leg with a split at the outseam.</v>
      </c>
      <c r="G160" s="11" t="str">
        <f>IFERROR(__xludf.DUMMYFUNCTION("""COMPUTED_VALUE"""),"- 13 Oz wideloom denim from Kuroki, Japan
- 100% Sanforized cotton
- 8 Oz ecru canvas pocketing
- Black leather patch w/ wax treatment, made in Italy.
- YKK two-prong, silver button fly
- YKK solid copper rivets
- Stitched with durable poly core cotton th"&amp;"read
- Made at Lisama, Portugal")</f>
        <v>- 13 Oz wideloom denim from Kuroki, Japan
- 100% Sanforized cotton
- 8 Oz ecru canvas pocketing
- Black leather patch w/ wax treatment, made in Italy.
- YKK two-prong, silver button fly
- YKK solid copper rivets
- Stitched with durable poly core cotton thread
- Made at Lisama, Portugal</v>
      </c>
      <c r="H160" s="11" t="str">
        <f>IFERROR(__xludf.DUMMYFUNCTION("""COMPUTED_VALUE"""),"fealy-low-bisect-japan-broken, fealy-5-pocket-japan-optic-white")</f>
        <v>fealy-low-bisect-japan-broken, fealy-5-pocket-japan-optic-white</v>
      </c>
      <c r="I160" s="11" t="str">
        <f>IFERROR(__xludf.DUMMYFUNCTION("""COMPUTED_VALUE"""),"richmond-grey-melange")</f>
        <v>richmond-grey-melange</v>
      </c>
    </row>
    <row r="161">
      <c r="A161" s="11" t="str">
        <f>IFERROR(__xludf.DUMMYFUNCTION("""COMPUTED_VALUE"""),"Livid men")</f>
        <v>Livid men</v>
      </c>
      <c r="B161" s="11" t="str">
        <f>IFERROR(__xludf.DUMMYFUNCTION("""COMPUTED_VALUE"""),"Jeans")</f>
        <v>Jeans</v>
      </c>
      <c r="C161" s="11" t="str">
        <f>IFERROR(__xludf.DUMMYFUNCTION("""COMPUTED_VALUE"""),"fuller-japan-black-dusk")</f>
        <v>fuller-japan-black-dusk</v>
      </c>
      <c r="D161" s="11" t="str">
        <f>IFERROR(__xludf.DUMMYFUNCTION("""COMPUTED_VALUE"""),"Fuller Japan Black Dusk")</f>
        <v>Fuller Japan Black Dusk</v>
      </c>
      <c r="E161" s="11" t="str">
        <f>IFERROR(__xludf.DUMMYFUNCTION("""COMPUTED_VALUE"""),"Made in Portugal
Introducing Fuller. Mid-to-high rise, with a straight fit at the waist, a flat front and a straight leg. A modern take on the classic straight.
In our slightly broken-in Japan Black Dusk wash. Made in a solid 13 Oz 100% cotton denim fro"&amp;"m the renowned Japanese denim mill Kuroki. Soft to the touch, the Japan Black Dusk is deep black with subtle fading at the the seams.")</f>
        <v>Made in Portugal
Introducing Fuller. Mid-to-high rise, with a straight fit at the waist, a flat front and a straight leg. A modern take on the classic straight.
In our slightly broken-in Japan Black Dusk wash. Made in a solid 13 Oz 100% cotton denim from the renowned Japanese denim mill Kuroki. Soft to the touch, the Japan Black Dusk is deep black with subtle fading at the the seams.</v>
      </c>
      <c r="F161" s="11" t="str">
        <f>IFERROR(__xludf.DUMMYFUNCTION("""COMPUTED_VALUE"""),"Our regular straight, Fuller, in a slightly washed black.")</f>
        <v>Our regular straight, Fuller, in a slightly washed black.</v>
      </c>
      <c r="G161" s="11" t="str">
        <f>IFERROR(__xludf.DUMMYFUNCTION("""COMPUTED_VALUE"""),"- 13 Oz wideloom denim from Kuroki, Japan
- 100% Sanforized cotton
- Warp &amp; Weft sulphur dyed black
- 8 Oz 5 Oz ecru canvas pocketing
- Black leather patch w/ wax treatment, Made in Italy.
- YKK two-prong, silver button and zip fly
- YKK solid copper wash"&amp;"ed-burr rivets
- Stitched with durable poly core cotton thread
- Made at Lisama, Portugal")</f>
        <v>- 13 Oz wideloom denim from Kuroki, Japan
- 100% Sanforized cotton
- Warp &amp; Weft sulphur dyed black
- 8 Oz 5 Oz ecru canvas pocketing
- Black leather patch w/ wax treatment, Made in Italy.
- YKK two-prong, silver button and zip fly
- YKK solid copper washed-burr rivets
- Stitched with durable poly core cotton thread
- Made at Lisama, Portugal</v>
      </c>
      <c r="H161" s="11" t="str">
        <f>IFERROR(__xludf.DUMMYFUNCTION("""COMPUTED_VALUE"""),"fuller-japan-indigo-dusk")</f>
        <v>fuller-japan-indigo-dusk</v>
      </c>
      <c r="I161" s="11"/>
    </row>
    <row r="162">
      <c r="A162" s="11" t="str">
        <f>IFERROR(__xludf.DUMMYFUNCTION("""COMPUTED_VALUE"""),"Livid men")</f>
        <v>Livid men</v>
      </c>
      <c r="B162" s="11" t="str">
        <f>IFERROR(__xludf.DUMMYFUNCTION("""COMPUTED_VALUE"""),"Jeans")</f>
        <v>Jeans</v>
      </c>
      <c r="C162" s="11" t="str">
        <f>IFERROR(__xludf.DUMMYFUNCTION("""COMPUTED_VALUE"""),"fuller-japan-indigo-dusk")</f>
        <v>fuller-japan-indigo-dusk</v>
      </c>
      <c r="D162" s="11" t="str">
        <f>IFERROR(__xludf.DUMMYFUNCTION("""COMPUTED_VALUE"""),"Fuller Japan Indigo Dusk")</f>
        <v>Fuller Japan Indigo Dusk</v>
      </c>
      <c r="E162" s="11" t="str">
        <f>IFERROR(__xludf.DUMMYFUNCTION("""COMPUTED_VALUE"""),"Made in Portugal
Introducing Fuller. Mid-to-high rise, with a straight fit at the waist, a flat front and a straight leg. A modern take on the classic straight.
In our deep blue wash, Japan Indigo Dusk. Made with a 13 Oz. 100% cotton, indigo wideloom de"&amp;"nim woven by the renowned Japanese denim mill, Kuroki. Washed to a deep shade of indigo with subtle wear patterns for a natural look.")</f>
        <v>Made in Portugal
Introducing Fuller. Mid-to-high rise, with a straight fit at the waist, a flat front and a straight leg. A modern take on the classic straight.
In our deep blue wash, Japan Indigo Dusk. Made with a 13 Oz. 100% cotton, indigo wideloom denim woven by the renowned Japanese denim mill, Kuroki. Washed to a deep shade of indigo with subtle wear patterns for a natural look.</v>
      </c>
      <c r="F162" s="11" t="str">
        <f>IFERROR(__xludf.DUMMYFUNCTION("""COMPUTED_VALUE"""),"Our regular straight, Fuller, in a deep blue wash.")</f>
        <v>Our regular straight, Fuller, in a deep blue wash.</v>
      </c>
      <c r="G162" s="11" t="str">
        <f>IFERROR(__xludf.DUMMYFUNCTION("""COMPUTED_VALUE"""),"- Deep blue washed rope-dyed indigo denim
- 13 Oz wideloom denim from Kuroki, Japan
- 100% Sanforized cotton
- Warp dyed in indigo, natural coloured weft
- 8 Oz ecru canvas pocketing
- Tanned leather patch w/ wax treatment, Made in Italy.
- YKK two-prong "&amp;"silver button fly
- YKK solid copper washed-burr rivets
- Stitched with poly-core cotton thread
- Made at Lisama, Portugal")</f>
        <v>- Deep blue washed rope-dyed indigo denim
- 13 Oz wideloom denim from Kuroki, Japan
- 100% Sanforized cotton
- Warp dyed in indigo, natural coloured weft
- 8 Oz ecru canvas pocketing
- Tanned leather patch w/ wax treatment, Made in Italy.
- YKK two-prong silver button fly
- YKK solid copper washed-burr rivets
- Stitched with poly-core cotton thread
- Made at Lisama, Portugal</v>
      </c>
      <c r="H162" s="11" t="str">
        <f>IFERROR(__xludf.DUMMYFUNCTION("""COMPUTED_VALUE"""),"fuller-japan-black-dusk")</f>
        <v>fuller-japan-black-dusk</v>
      </c>
      <c r="I162" s="11"/>
    </row>
    <row r="163">
      <c r="A163" s="11" t="str">
        <f>IFERROR(__xludf.DUMMYFUNCTION("""COMPUTED_VALUE"""),"Livid Men")</f>
        <v>Livid Men</v>
      </c>
      <c r="B163" s="11" t="str">
        <f>IFERROR(__xludf.DUMMYFUNCTION("""COMPUTED_VALUE"""),"Gift Cards")</f>
        <v>Gift Cards</v>
      </c>
      <c r="C163" s="11" t="str">
        <f>IFERROR(__xludf.DUMMYFUNCTION("""COMPUTED_VALUE"""),"gift-card")</f>
        <v>gift-card</v>
      </c>
      <c r="D163" s="11" t="str">
        <f>IFERROR(__xludf.DUMMYFUNCTION("""COMPUTED_VALUE"""),"Gift Card")</f>
        <v>Gift Card</v>
      </c>
      <c r="E163" s="11" t="str">
        <f>IFERROR(__xludf.DUMMYFUNCTION("""COMPUTED_VALUE"""),"Gift cards are delivered by email and contain instructions to redeem them at checkout. Our gift cards have no additional processing fees.")</f>
        <v>Gift cards are delivered by email and contain instructions to redeem them at checkout. Our gift cards have no additional processing fees.</v>
      </c>
      <c r="F163" s="11" t="str">
        <f>IFERROR(__xludf.DUMMYFUNCTION("""COMPUTED_VALUE"""),"Shopping for someone else but not sure what to give them? Give them the gift of choice with a Livid gift card.")</f>
        <v>Shopping for someone else but not sure what to give them? Give them the gift of choice with a Livid gift card.</v>
      </c>
      <c r="G163" s="11"/>
      <c r="H163" s="11"/>
      <c r="I163" s="11"/>
    </row>
    <row r="164">
      <c r="A164" s="11" t="str">
        <f>IFERROR(__xludf.DUMMYFUNCTION("""COMPUTED_VALUE"""),"Livid men")</f>
        <v>Livid men</v>
      </c>
      <c r="B164" s="11" t="str">
        <f>IFERROR(__xludf.DUMMYFUNCTION("""COMPUTED_VALUE"""),"Jacket")</f>
        <v>Jacket</v>
      </c>
      <c r="C164" s="11" t="str">
        <f>IFERROR(__xludf.DUMMYFUNCTION("""COMPUTED_VALUE"""),"gill-brown-wax")</f>
        <v>gill-brown-wax</v>
      </c>
      <c r="D164" s="11" t="str">
        <f>IFERROR(__xludf.DUMMYFUNCTION("""COMPUTED_VALUE"""),"Gill Brown Wax")</f>
        <v>Gill Brown Wax</v>
      </c>
      <c r="E164" s="11" t="str">
        <f>IFERROR(__xludf.DUMMYFUNCTION("""COMPUTED_VALUE"""),"Made in Portugal
Gill, our short technical wax coat. Made in a technical fabric from Olmetex in Italy, with a soft wax coating, protecting against the elements. Lined with a custom flannel lining.
Designed with slightly wide shoulders and a wide body pe"&amp;"rfect for layering, a long split in the back can be opened and closed with Riri snap buttons.
The bold silhouette is finished with a wide collar, a detachable throat latch, and two large flap pockets at the waist. Two-way full length zipper closure, cover"&amp;"ed by a flap secured with Riri snap buttons. 
Gill's boxy fit and light lining, allows for layering and transitions from summer, through autumn, and well into winter.")</f>
        <v>Made in Portugal
Gill, our short technical wax coat. Made in a technical fabric from Olmetex in Italy, with a soft wax coating, protecting against the elements. Lined with a custom flannel lining.
Designed with slightly wide shoulders and a wide body perfect for layering, a long split in the back can be opened and closed with Riri snap buttons.
The bold silhouette is finished with a wide collar, a detachable throat latch, and two large flap pockets at the waist. Two-way full length zipper closure, covered by a flap secured with Riri snap buttons. 
Gill's boxy fit and light lining, allows for layering and transitions from summer, through autumn, and well into winter.</v>
      </c>
      <c r="F164" s="11" t="str">
        <f>IFERROR(__xludf.DUMMYFUNCTION("""COMPUTED_VALUE"""),"Gill, our short technical wax coat.")</f>
        <v>Gill, our short technical wax coat.</v>
      </c>
      <c r="G164" s="11" t="str">
        <f>IFERROR(__xludf.DUMMYFUNCTION("""COMPUTED_VALUE"""),"- Technical wax fabric made by Olmetex in Italy
- Outer: 45% Cotton, 39% Pl, 16% Pa
- Lined with a custom flannel woven by Somelos in Portugal
- Lining: 78% Cotton, 2% Lyocell
- Riri snap button closure at back split, pockets and zipper flaps
- YKK two-wa"&amp;"y silver zipper
- Cut &amp; Sewn by Dia in Portugal")</f>
        <v>- Technical wax fabric made by Olmetex in Italy
- Outer: 45% Cotton, 39% Pl, 16% Pa
- Lined with a custom flannel woven by Somelos in Portugal
- Lining: 78% Cotton, 2% Lyocell
- Riri snap button closure at back split, pockets and zipper flaps
- YKK two-way silver zipper
- Cut &amp; Sewn by Dia in Portugal</v>
      </c>
      <c r="H164" s="11"/>
      <c r="I164" s="11"/>
    </row>
    <row r="165">
      <c r="A165" s="11" t="str">
        <f>IFERROR(__xludf.DUMMYFUNCTION("""COMPUTED_VALUE"""),"Livid men")</f>
        <v>Livid men</v>
      </c>
      <c r="B165" s="11" t="str">
        <f>IFERROR(__xludf.DUMMYFUNCTION("""COMPUTED_VALUE"""),"Jacket")</f>
        <v>Jacket</v>
      </c>
      <c r="C165" s="11" t="str">
        <f>IFERROR(__xludf.DUMMYFUNCTION("""COMPUTED_VALUE"""),"gillish-black-wax")</f>
        <v>gillish-black-wax</v>
      </c>
      <c r="D165" s="11" t="str">
        <f>IFERROR(__xludf.DUMMYFUNCTION("""COMPUTED_VALUE"""),"Gillish Black Wax")</f>
        <v>Gillish Black Wax</v>
      </c>
      <c r="E165" s="11" t="str">
        <f>IFERROR(__xludf.DUMMYFUNCTION("""COMPUTED_VALUE"""),"Made in Portugal
Gillish, our long technical wax coat. Made in a technical fabric from Olmetex in Italy, with a soft wax coating, protecting against the elements. Lined with a custom flannel lining.
Designed with slightly wide shoulders and a wide body "&amp;"perfect for layering, a long split in the back can be opened and closed with Riri snap buttons.
The bold silhouette is finished with a wide collar, a detachable throat latch, and two large flap pockets at the waist. Two-way full length zipper closure, cov"&amp;"ered by a flap secured with Riri snap buttons. 
Gillish' boxy fit and light lining, allows for layering and transitions from summer, through autumn, and well into winter.")</f>
        <v>Made in Portugal
Gillish, our long technical wax coat. Made in a technical fabric from Olmetex in Italy, with a soft wax coating, protecting against the elements. Lined with a custom flannel lining.
Designed with slightly wide shoulders and a wide body perfect for layering, a long split in the back can be opened and closed with Riri snap buttons.
The bold silhouette is finished with a wide collar, a detachable throat latch, and two large flap pockets at the waist. Two-way full length zipper closure, covered by a flap secured with Riri snap buttons. 
Gillish' boxy fit and light lining, allows for layering and transitions from summer, through autumn, and well into winter.</v>
      </c>
      <c r="F165" s="11" t="str">
        <f>IFERROR(__xludf.DUMMYFUNCTION("""COMPUTED_VALUE"""),"Gillish, our long technical wax coat.")</f>
        <v>Gillish, our long technical wax coat.</v>
      </c>
      <c r="G165" s="11" t="str">
        <f>IFERROR(__xludf.DUMMYFUNCTION("""COMPUTED_VALUE"""),"- Technical wax fabric made by Olmetex in Italy
- Outer: 45% Cotton, 39% Pl, 16% Pa
- Lined with a custom flannel woven by Somelos in Portugal
- Lining: 78% Cotton, 2% Lyocell
- Riri snap button closure at back split, pockets and zipper flaps
- YKK two-wa"&amp;"y silver zipper
- Cut &amp; Sewn by Dia in Portugal")</f>
        <v>- Technical wax fabric made by Olmetex in Italy
- Outer: 45% Cotton, 39% Pl, 16% Pa
- Lined with a custom flannel woven by Somelos in Portugal
- Lining: 78% Cotton, 2% Lyocell
- Riri snap button closure at back split, pockets and zipper flaps
- YKK two-way silver zipper
- Cut &amp; Sewn by Dia in Portugal</v>
      </c>
      <c r="H165" s="11"/>
      <c r="I165" s="11"/>
    </row>
    <row r="166">
      <c r="A166" s="11" t="str">
        <f>IFERROR(__xludf.DUMMYFUNCTION("""COMPUTED_VALUE"""),"Livid Men")</f>
        <v>Livid Men</v>
      </c>
      <c r="B166" s="11" t="str">
        <f>IFERROR(__xludf.DUMMYFUNCTION("""COMPUTED_VALUE"""),"Suiting")</f>
        <v>Suiting</v>
      </c>
      <c r="C166" s="11" t="str">
        <f>IFERROR(__xludf.DUMMYFUNCTION("""COMPUTED_VALUE"""),"hayes-black")</f>
        <v>hayes-black</v>
      </c>
      <c r="D166" s="11" t="str">
        <f>IFERROR(__xludf.DUMMYFUNCTION("""COMPUTED_VALUE"""),"Hayes Trouser Black")</f>
        <v>Hayes Trouser Black</v>
      </c>
      <c r="E166" s="11" t="str">
        <f>IFERROR(__xludf.DUMMYFUNCTION("""COMPUTED_VALUE"""),"Made in Portugal
Our high-rise, wide suit trouser, Hayes. Constructed with a tailored fit at the waist, and relaxed and wide from the hip down.
Made in a smooth worsted wool fabric woven by Tessilbiella in Italy, giving the Hayes trousers a dramatic dra"&amp;"pe. The 98% wool, 2% elastan composition makes this fabric particularly wrinkle resistant and ensures that the press fold keeps over time. Woven in a weight perfect for both warmer and colder seasons.
Made to complete the Hayes Suit together with the Hay"&amp;"es Suit Jacket, or worn casually.
Details &amp; Features
- 98% wool, 2% elastan wrinkle-restistant fabric
- Woven by Tessilbiella, Italy
- YKK zip fly with silver metal hook and eye closure
- Welt back pockets with button closure
- Mother of pearl buttons
- "&amp;"Stitched with durable poly-core cotton thread
- Made at Outfit21, Portugal")</f>
        <v>Made in Portugal
Our high-rise, wide suit trouser, Hayes. Constructed with a tailored fit at the waist, and relaxed and wide from the hip down.
Made in a smooth worsted wool fabric woven by Tessilbiella in Italy, giving the Hayes trousers a dramatic drape. The 98% wool, 2% elastan composition makes this fabric particularly wrinkle resistant and ensures that the press fold keeps over time. Woven in a weight perfect for both warmer and colder seasons.
Made to complete the Hayes Suit together with the Hayes Suit Jacket, or worn casually.
Details &amp; Features
- 98% wool, 2% elastan wrinkle-restistant fabric
- Woven by Tessilbiella, Italy
- YKK zip fly with silver metal hook and eye closure
- Welt back pockets with button closure
- Mother of pearl buttons
- Stitched with durable poly-core cotton thread
- Made at Outfit21, Portugal</v>
      </c>
      <c r="F166" s="11" t="str">
        <f>IFERROR(__xludf.DUMMYFUNCTION("""COMPUTED_VALUE"""),"Our high-rise, wide suit trouser, Hayes. In a fluid drape wool.")</f>
        <v>Our high-rise, wide suit trouser, Hayes. In a fluid drape wool.</v>
      </c>
      <c r="G166" s="11"/>
      <c r="H166" s="11" t="str">
        <f>IFERROR(__xludf.DUMMYFUNCTION("""COMPUTED_VALUE"""),"hayes-suit-jacket-black, hayes-charcoal, hayes-navy, hayes-stripe")</f>
        <v>hayes-suit-jacket-black, hayes-charcoal, hayes-navy, hayes-stripe</v>
      </c>
      <c r="I166" s="11" t="str">
        <f>IFERROR(__xludf.DUMMYFUNCTION("""COMPUTED_VALUE"""),"hayes-suit-jacket-black")</f>
        <v>hayes-suit-jacket-black</v>
      </c>
    </row>
    <row r="167">
      <c r="A167" s="11" t="str">
        <f>IFERROR(__xludf.DUMMYFUNCTION("""COMPUTED_VALUE"""),"Livid men")</f>
        <v>Livid men</v>
      </c>
      <c r="B167" s="11" t="str">
        <f>IFERROR(__xludf.DUMMYFUNCTION("""COMPUTED_VALUE"""),"Suiting")</f>
        <v>Suiting</v>
      </c>
      <c r="C167" s="11" t="str">
        <f>IFERROR(__xludf.DUMMYFUNCTION("""COMPUTED_VALUE"""),"hayes-suit-jacket-single-breasted-black")</f>
        <v>hayes-suit-jacket-single-breasted-black</v>
      </c>
      <c r="D167" s="11" t="str">
        <f>IFERROR(__xludf.DUMMYFUNCTION("""COMPUTED_VALUE"""),"Hayes Suit Jacket Single Breasted Black")</f>
        <v>Hayes Suit Jacket Single Breasted Black</v>
      </c>
      <c r="E167" s="11" t="str">
        <f>IFERROR(__xludf.DUMMYFUNCTION("""COMPUTED_VALUE"""),"Made in Portugal
Introducing our single breasted Hayes suit jacket. Designed with a full silhouette, but not oversized. The Hayes jacket fits precisely at the shoulders and fitted at the chest, while fuller in the body and ending at a classic length. 
M"&amp;"ade to complete the Hayes Suit together with the wide Hayes trousers. Single breasted with mother of pearl buttoning, featuring peak lapels and flapped pockets at the waist.
Made in a smooth worsted wool fabric woven by Alfred Brown in the UK, giving the"&amp;" Hayes suit a heavy drape and a sharp appearance. Woven in a 450 gsm weight perfect for autumn, winter and spring, as well as many nordic summers.")</f>
        <v>Made in Portugal
Introducing our single breasted Hayes suit jacket. Designed with a full silhouette, but not oversized. The Hayes jacket fits precisely at the shoulders and fitted at the chest, while fuller in the body and ending at a classic length. 
Made to complete the Hayes Suit together with the wide Hayes trousers. Single breasted with mother of pearl buttoning, featuring peak lapels and flapped pockets at the waist.
Made in a smooth worsted wool fabric woven by Alfred Brown in the UK, giving the Hayes suit a heavy drape and a sharp appearance. Woven in a 450 gsm weight perfect for autumn, winter and spring, as well as many nordic summers.</v>
      </c>
      <c r="F167" s="11" t="str">
        <f>IFERROR(__xludf.DUMMYFUNCTION("""COMPUTED_VALUE"""),"Our single breasted Hayes suit jacket, in a heavy drape wool.")</f>
        <v>Our single breasted Hayes suit jacket, in a heavy drape wool.</v>
      </c>
      <c r="G167" s="11" t="str">
        <f>IFERROR(__xludf.DUMMYFUNCTION("""COMPUTED_VALUE"""),"- 450 gsm 100% worsted wool twill
- Woven by Alfred Brown in the UK
- Single breasted with Mother of Pearl buttoning
- Two inner pockets
- Flapped pockets at waist
- Single split at lower back
- Stitched with durable poly-core cotton thread
- Made at JMF,"&amp;" Portugal")</f>
        <v>- 450 gsm 100% worsted wool twill
- Woven by Alfred Brown in the UK
- Single breasted with Mother of Pearl buttoning
- Two inner pockets
- Flapped pockets at waist
- Single split at lower back
- Stitched with durable poly-core cotton thread
- Made at JMF, Portugal</v>
      </c>
      <c r="H167" s="11"/>
      <c r="I167" s="11" t="str">
        <f>IFERROR(__xludf.DUMMYFUNCTION("""COMPUTED_VALUE"""),"keri-japan-black, tim-celeste-pop")</f>
        <v>keri-japan-black, tim-celeste-pop</v>
      </c>
    </row>
    <row r="168">
      <c r="A168" s="11" t="str">
        <f>IFERROR(__xludf.DUMMYFUNCTION("""COMPUTED_VALUE"""),"Livid men")</f>
        <v>Livid men</v>
      </c>
      <c r="B168" s="11" t="str">
        <f>IFERROR(__xludf.DUMMYFUNCTION("""COMPUTED_VALUE"""),"Suiting")</f>
        <v>Suiting</v>
      </c>
      <c r="C168" s="11" t="str">
        <f>IFERROR(__xludf.DUMMYFUNCTION("""COMPUTED_VALUE"""),"hayes-suit-pant-black")</f>
        <v>hayes-suit-pant-black</v>
      </c>
      <c r="D168" s="11" t="str">
        <f>IFERROR(__xludf.DUMMYFUNCTION("""COMPUTED_VALUE"""),"Hayes Suit Pant Black")</f>
        <v>Hayes Suit Pant Black</v>
      </c>
      <c r="E168" s="11" t="str">
        <f>IFERROR(__xludf.DUMMYFUNCTION("""COMPUTED_VALUE"""),"Made in Portugal
Our high-rise, wide suit trouser, Hayes. Constructed with a tailored fit at the waist, and relaxed and wide from the hip down.
Made in a worsted wool twill woven by Alfred Brown in the UK. This 450 gsm fabric has a smooth feel, and give"&amp;"s a heavy drape, perfect for autmn, winter and spring.
Made to complete the Hayes Suit together with the Hayes Suit Single Breasted Jacket, or worn casually on its own.")</f>
        <v>Made in Portugal
Our high-rise, wide suit trouser, Hayes. Constructed with a tailored fit at the waist, and relaxed and wide from the hip down.
Made in a worsted wool twill woven by Alfred Brown in the UK. This 450 gsm fabric has a smooth feel, and gives a heavy drape, perfect for autmn, winter and spring.
Made to complete the Hayes Suit together with the Hayes Suit Single Breasted Jacket, or worn casually on its own.</v>
      </c>
      <c r="F168" s="11" t="str">
        <f>IFERROR(__xludf.DUMMYFUNCTION("""COMPUTED_VALUE"""),"Our high-rise, wide straight suit trouser, Hayes. In a black wool twill.")</f>
        <v>Our high-rise, wide straight suit trouser, Hayes. In a black wool twill.</v>
      </c>
      <c r="G168" s="11" t="str">
        <f>IFERROR(__xludf.DUMMYFUNCTION("""COMPUTED_VALUE"""),"- 450 gsm 100% worsted wool twill
- Woven by Alfred Brown in the UK
- YKK zip fly with silver metal hook and eye closure
- Welt back pockets with button closure
- Mother of pearl buttons
- Stitched with durable poly-core cotton thread
- Made at JMF, Portu"&amp;"gal")</f>
        <v>- 450 gsm 100% worsted wool twill
- Woven by Alfred Brown in the UK
- YKK zip fly with silver metal hook and eye closure
- Welt back pockets with button closure
- Mother of pearl buttons
- Stitched with durable poly-core cotton thread
- Made at JMF, Portugal</v>
      </c>
      <c r="H168" s="11" t="str">
        <f>IFERROR(__xludf.DUMMYFUNCTION("""COMPUTED_VALUE"""),"hayes-stripe, hayes-suitpant-taupe")</f>
        <v>hayes-stripe, hayes-suitpant-taupe</v>
      </c>
      <c r="I168" s="11" t="str">
        <f>IFERROR(__xludf.DUMMYFUNCTION("""COMPUTED_VALUE"""),"tuck-black-1, adonis-lis-noir")</f>
        <v>tuck-black-1, adonis-lis-noir</v>
      </c>
    </row>
    <row r="169">
      <c r="A169" s="11" t="str">
        <f>IFERROR(__xludf.DUMMYFUNCTION("""COMPUTED_VALUE"""),"Livid men")</f>
        <v>Livid men</v>
      </c>
      <c r="B169" s="11" t="str">
        <f>IFERROR(__xludf.DUMMYFUNCTION("""COMPUTED_VALUE"""),"Shirt")</f>
        <v>Shirt</v>
      </c>
      <c r="C169" s="11" t="str">
        <f>IFERROR(__xludf.DUMMYFUNCTION("""COMPUTED_VALUE"""),"henrey-fade-oak-twill")</f>
        <v>henrey-fade-oak-twill</v>
      </c>
      <c r="D169" s="11" t="str">
        <f>IFERROR(__xludf.DUMMYFUNCTION("""COMPUTED_VALUE"""),"Henrey Fade Oak Twill")</f>
        <v>Henrey Fade Oak Twill</v>
      </c>
      <c r="E169" s="11" t="str">
        <f>IFERROR(__xludf.DUMMYFUNCTION("""COMPUTED_VALUE"""),"Made in Portugal
From our Core line comes our Oxford-style heavy twill shirt, Henrey. Made in a heavyweight 8.9 Oz. twill woven by the Portugese denim mill Troficolor, and washed for a softly faded look, making the Henrey twill shirt an ideal rugged over"&amp;"shirt.
Made with a regular fit, featuring a wide button-down collar, softly curved hems, a single chest pocket and a center hanger loop at the back yoke. Finished with mother of pearl buttons.")</f>
        <v>Made in Portugal
From our Core line comes our Oxford-style heavy twill shirt, Henrey. Made in a heavyweight 8.9 Oz. twill woven by the Portugese denim mill Troficolor, and washed for a softly faded look, making the Henrey twill shirt an ideal rugged overshirt.
Made with a regular fit, featuring a wide button-down collar, softly curved hems, a single chest pocket and a center hanger loop at the back yoke. Finished with mother of pearl buttons.</v>
      </c>
      <c r="F169" s="11" t="str">
        <f>IFERROR(__xludf.DUMMYFUNCTION("""COMPUTED_VALUE"""),"Henrey, our regular fit overshirt.")</f>
        <v>Henrey, our regular fit overshirt.</v>
      </c>
      <c r="G169" s="11" t="str">
        <f>IFERROR(__xludf.DUMMYFUNCTION("""COMPUTED_VALUE"""),"- 100% cotton
- 8.9 Oz. twill woven by Troficolor in Portugal
- Mother of pearl buttons
- Extra button at the cuff, allowing a tighter adjustment at the wrist
- Hanger loop at back yoke
- Made at Stork, in Portugal")</f>
        <v>- 100% cotton
- 8.9 Oz. twill woven by Troficolor in Portugal
- Mother of pearl buttons
- Extra button at the cuff, allowing a tighter adjustment at the wrist
- Hanger loop at back yoke
- Made at Stork, in Portugal</v>
      </c>
      <c r="H169" s="11" t="str">
        <f>IFERROR(__xludf.DUMMYFUNCTION("""COMPUTED_VALUE"""),"henrey-graphite-twill, henrey-japan-indigo-dusk-1")</f>
        <v>henrey-graphite-twill, henrey-japan-indigo-dusk-1</v>
      </c>
      <c r="I169" s="11" t="str">
        <f>IFERROR(__xludf.DUMMYFUNCTION("""COMPUTED_VALUE"""),"fuller-japan-indigo-dusk, chambord-noir")</f>
        <v>fuller-japan-indigo-dusk, chambord-noir</v>
      </c>
    </row>
    <row r="170">
      <c r="A170" s="11" t="str">
        <f>IFERROR(__xludf.DUMMYFUNCTION("""COMPUTED_VALUE"""),"Livid men")</f>
        <v>Livid men</v>
      </c>
      <c r="B170" s="11" t="str">
        <f>IFERROR(__xludf.DUMMYFUNCTION("""COMPUTED_VALUE"""),"Shirt")</f>
        <v>Shirt</v>
      </c>
      <c r="C170" s="11" t="str">
        <f>IFERROR(__xludf.DUMMYFUNCTION("""COMPUTED_VALUE"""),"henrey-graphite-twill")</f>
        <v>henrey-graphite-twill</v>
      </c>
      <c r="D170" s="11" t="str">
        <f>IFERROR(__xludf.DUMMYFUNCTION("""COMPUTED_VALUE"""),"Henrey Graphite Twill")</f>
        <v>Henrey Graphite Twill</v>
      </c>
      <c r="E170" s="11" t="str">
        <f>IFERROR(__xludf.DUMMYFUNCTION("""COMPUTED_VALUE"""),"Made in Portugal
From our Core line comes our Oxford-style heavy twill shirt, Henrey. Made in a heavyweight 8.9 Oz. twill woven by the Portugese denim mill Troficolor, and washed for a softly faded look, making the Henrey twill shirt an ideal rugged over"&amp;"shirt.
Made with a regular fit, featuring a wide button-down collar, softly curved hems, a single chest pocket and a center hanger loop at the back yoke. Finished with mother of pearl buttons.")</f>
        <v>Made in Portugal
From our Core line comes our Oxford-style heavy twill shirt, Henrey. Made in a heavyweight 8.9 Oz. twill woven by the Portugese denim mill Troficolor, and washed for a softly faded look, making the Henrey twill shirt an ideal rugged overshirt.
Made with a regular fit, featuring a wide button-down collar, softly curved hems, a single chest pocket and a center hanger loop at the back yoke. Finished with mother of pearl buttons.</v>
      </c>
      <c r="F170" s="11" t="str">
        <f>IFERROR(__xludf.DUMMYFUNCTION("""COMPUTED_VALUE"""),"Henrey, our regular fit overshirt.")</f>
        <v>Henrey, our regular fit overshirt.</v>
      </c>
      <c r="G170" s="11" t="str">
        <f>IFERROR(__xludf.DUMMYFUNCTION("""COMPUTED_VALUE"""),"- 100% cotton
- 8.9 Oz. twill woven by Troficolor in Portugal
- Mother of pearl buttons
- Extra button at the cuff, allowing a tighter adjustment at the wrist
- Hanger loop at back yoke
- Made at Stork, in Portugal")</f>
        <v>- 100% cotton
- 8.9 Oz. twill woven by Troficolor in Portugal
- Mother of pearl buttons
- Extra button at the cuff, allowing a tighter adjustment at the wrist
- Hanger loop at back yoke
- Made at Stork, in Portugal</v>
      </c>
      <c r="H170" s="11" t="str">
        <f>IFERROR(__xludf.DUMMYFUNCTION("""COMPUTED_VALUE"""),"henrey-fade-oak-twill, henrey-japan-indigo-dusk-1")</f>
        <v>henrey-fade-oak-twill, henrey-japan-indigo-dusk-1</v>
      </c>
      <c r="I170" s="11" t="str">
        <f>IFERROR(__xludf.DUMMYFUNCTION("""COMPUTED_VALUE"""),"fuller-japan-black-dusk, chambord-noir")</f>
        <v>fuller-japan-black-dusk, chambord-noir</v>
      </c>
    </row>
    <row r="171">
      <c r="A171" s="11" t="str">
        <f>IFERROR(__xludf.DUMMYFUNCTION("""COMPUTED_VALUE"""),"Livid men")</f>
        <v>Livid men</v>
      </c>
      <c r="B171" s="11" t="str">
        <f>IFERROR(__xludf.DUMMYFUNCTION("""COMPUTED_VALUE"""),"Shirt")</f>
        <v>Shirt</v>
      </c>
      <c r="C171" s="11" t="str">
        <f>IFERROR(__xludf.DUMMYFUNCTION("""COMPUTED_VALUE"""),"henrey-japan-indigo-dusk-1")</f>
        <v>henrey-japan-indigo-dusk-1</v>
      </c>
      <c r="D171" s="11" t="str">
        <f>IFERROR(__xludf.DUMMYFUNCTION("""COMPUTED_VALUE"""),"Henrey Japan Indigo Dusk")</f>
        <v>Henrey Japan Indigo Dusk</v>
      </c>
      <c r="E171" s="11" t="str">
        <f>IFERROR(__xludf.DUMMYFUNCTION("""COMPUTED_VALUE"""),"Made in Portugal
From our Core line comes our Oxford-style denim shirt, Henrey. Made with a regular fit, featuring a wide button-down collar, softly curved hems, a single chest pocket and a center hanger loop at the back yoke. 
Made in a 7 Oz. denim wov"&amp;"en by the artisinal denim mill Collect in Japan washed to a deep shade of indigo. Finished with mother of pearl buttons, with an extra button added to the cuffs, allowing an adjustable fit arond the wrists.")</f>
        <v>Made in Portugal
From our Core line comes our Oxford-style denim shirt, Henrey. Made with a regular fit, featuring a wide button-down collar, softly curved hems, a single chest pocket and a center hanger loop at the back yoke. 
Made in a 7 Oz. denim woven by the artisinal denim mill Collect in Japan washed to a deep shade of indigo. Finished with mother of pearl buttons, with an extra button added to the cuffs, allowing an adjustable fit arond the wrists.</v>
      </c>
      <c r="F171" s="11" t="str">
        <f>IFERROR(__xludf.DUMMYFUNCTION("""COMPUTED_VALUE"""),"Henrey, our regular fit denim shirt.")</f>
        <v>Henrey, our regular fit denim shirt.</v>
      </c>
      <c r="G171" s="11" t="str">
        <f>IFERROR(__xludf.DUMMYFUNCTION("""COMPUTED_VALUE"""),"- 100% cotton
- 7 Oz. denim woven by Collect in Japan
- Mother of pearl buttons
- Extra button at the cuff, allowing a tighter adjustment at the wrist
- Hanger loop at back yoke
- Made at Stork, in Portugal")</f>
        <v>- 100% cotton
- 7 Oz. denim woven by Collect in Japan
- Mother of pearl buttons
- Extra button at the cuff, allowing a tighter adjustment at the wrist
- Hanger loop at back yoke
- Made at Stork, in Portugal</v>
      </c>
      <c r="H171" s="11" t="str">
        <f>IFERROR(__xludf.DUMMYFUNCTION("""COMPUTED_VALUE"""),"henrey-fade-oak-twill, henrey-graphite-twill")</f>
        <v>henrey-fade-oak-twill, henrey-graphite-twill</v>
      </c>
      <c r="I171" s="11" t="str">
        <f>IFERROR(__xludf.DUMMYFUNCTION("""COMPUTED_VALUE"""),"fuller-japan-black-dusk, chambord-noir")</f>
        <v>fuller-japan-black-dusk, chambord-noir</v>
      </c>
    </row>
    <row r="172">
      <c r="A172" s="11" t="str">
        <f>IFERROR(__xludf.DUMMYFUNCTION("""COMPUTED_VALUE"""),"Livid Men")</f>
        <v>Livid Men</v>
      </c>
      <c r="B172" s="11" t="str">
        <f>IFERROR(__xludf.DUMMYFUNCTION("""COMPUTED_VALUE"""),"Jersey")</f>
        <v>Jersey</v>
      </c>
      <c r="C172" s="11" t="str">
        <f>IFERROR(__xludf.DUMMYFUNCTION("""COMPUTED_VALUE"""),"hilal-white")</f>
        <v>hilal-white</v>
      </c>
      <c r="D172" s="11" t="str">
        <f>IFERROR(__xludf.DUMMYFUNCTION("""COMPUTED_VALUE"""),"Hilal White")</f>
        <v>Hilal White</v>
      </c>
      <c r="E172" s="11" t="str">
        <f>IFERROR(__xludf.DUMMYFUNCTION("""COMPUTED_VALUE"""),"Made in Portugal 
Hilal, our mid-weight sweatshirt with dropped shoulders and a loose body. Finished with ribbed cuffs at the sleeves, and a rough, raw-cut hem. 
Made in an old-school loopback jersey in a classic midweight, knitted in Portugal. 
Detail"&amp;"s &amp; Features
- 100% cotton, pre-shrunk loopback jersey
- Livid embroidery on chest
- Fine rib collar
- Sewn with durable poly core cotton thread
- Jersey fabric knitted by Etivimol in Portugal
- Made at Texgoios in Portugal")</f>
        <v>Made in Portugal 
Hilal, our mid-weight sweatshirt with dropped shoulders and a loose body. Finished with ribbed cuffs at the sleeves, and a rough, raw-cut hem. 
Made in an old-school loopback jersey in a classic midweight, knitted in Portugal. 
Details &amp; Features
- 100% cotton, pre-shrunk loopback jersey
- Livid embroidery on chest
- Fine rib collar
- Sewn with durable poly core cotton thread
- Jersey fabric knitted by Etivimol in Portugal
- Made at Texgoios in Portugal</v>
      </c>
      <c r="F172" s="11" t="str">
        <f>IFERROR(__xludf.DUMMYFUNCTION("""COMPUTED_VALUE"""),"Hilal, our raw-cut midweight sweatshirt.")</f>
        <v>Hilal, our raw-cut midweight sweatshirt.</v>
      </c>
      <c r="G172" s="11"/>
      <c r="H172" s="11" t="str">
        <f>IFERROR(__xludf.DUMMYFUNCTION("""COMPUTED_VALUE"""),"hilal-charcoal-melange")</f>
        <v>hilal-charcoal-melange</v>
      </c>
      <c r="I172" s="11" t="str">
        <f>IFERROR(__xludf.DUMMYFUNCTION("""COMPUTED_VALUE"""),"beth-low-japan-dive")</f>
        <v>beth-low-japan-dive</v>
      </c>
    </row>
    <row r="173">
      <c r="A173" s="11" t="str">
        <f>IFERROR(__xludf.DUMMYFUNCTION("""COMPUTED_VALUE"""),"Livid Men")</f>
        <v>Livid Men</v>
      </c>
      <c r="B173" s="11" t="str">
        <f>IFERROR(__xludf.DUMMYFUNCTION("""COMPUTED_VALUE"""),"Jersey")</f>
        <v>Jersey</v>
      </c>
      <c r="C173" s="11" t="str">
        <f>IFERROR(__xludf.DUMMYFUNCTION("""COMPUTED_VALUE"""),"hines-black")</f>
        <v>hines-black</v>
      </c>
      <c r="D173" s="11" t="str">
        <f>IFERROR(__xludf.DUMMYFUNCTION("""COMPUTED_VALUE"""),"Hines Black")</f>
        <v>Hines Black</v>
      </c>
      <c r="E173" s="11" t="str">
        <f>IFERROR(__xludf.DUMMYFUNCTION("""COMPUTED_VALUE"""),"Made in Portugal 
Hines, our quarter-zip sweatshirt. Designed with a boxy fit, Hines is built with dropped shoulders, a relaxed body and a straight hem. Silver quarter-zip and a stand-up collar. Finished with a square chest pocket and contrast stitching "&amp;"at the shoulders, cuffs and hem. 
Made in an old-school loopback jersey in a classic midweight, knitted in Portugal. 
Details &amp; Features
- 100% cotton, pre-shrunk loopback jersey
- Chest pocket
- YKK silver zipper
- Sewn with durable poly core cotton th"&amp;"read
- Jersey fabric knitted by Etivimol in Portugal
- Made at Texgoios in Portugal")</f>
        <v>Made in Portugal 
Hines, our quarter-zip sweatshirt. Designed with a boxy fit, Hines is built with dropped shoulders, a relaxed body and a straight hem. Silver quarter-zip and a stand-up collar. Finished with a square chest pocket and contrast stitching at the shoulders, cuffs and hem. 
Made in an old-school loopback jersey in a classic midweight, knitted in Portugal. 
Details &amp; Features
- 100% cotton, pre-shrunk loopback jersey
- Chest pocket
- YKK silver zipper
- Sewn with durable poly core cotton thread
- Jersey fabric knitted by Etivimol in Portugal
- Made at Texgoios in Portugal</v>
      </c>
      <c r="F173" s="11" t="str">
        <f>IFERROR(__xludf.DUMMYFUNCTION("""COMPUTED_VALUE"""),"Hines, our box-fit quarter-zip sweatshirt")</f>
        <v>Hines, our box-fit quarter-zip sweatshirt</v>
      </c>
      <c r="G173" s="11"/>
      <c r="H173" s="11"/>
      <c r="I173" s="11" t="str">
        <f>IFERROR(__xludf.DUMMYFUNCTION("""COMPUTED_VALUE"""),"fealy-dark-brown-corduroy")</f>
        <v>fealy-dark-brown-corduroy</v>
      </c>
    </row>
    <row r="174">
      <c r="A174" s="11" t="str">
        <f>IFERROR(__xludf.DUMMYFUNCTION("""COMPUTED_VALUE"""),"Livid men")</f>
        <v>Livid men</v>
      </c>
      <c r="B174" s="11" t="str">
        <f>IFERROR(__xludf.DUMMYFUNCTION("""COMPUTED_VALUE"""),"Shirt")</f>
        <v>Shirt</v>
      </c>
      <c r="C174" s="11" t="str">
        <f>IFERROR(__xludf.DUMMYFUNCTION("""COMPUTED_VALUE"""),"huff-black-wool")</f>
        <v>huff-black-wool</v>
      </c>
      <c r="D174" s="11" t="str">
        <f>IFERROR(__xludf.DUMMYFUNCTION("""COMPUTED_VALUE"""),"Huff Black Wool")</f>
        <v>Huff Black Wool</v>
      </c>
      <c r="E174" s="11"/>
      <c r="F174" s="11"/>
      <c r="G174" s="11"/>
      <c r="H174" s="11"/>
      <c r="I174" s="11"/>
    </row>
    <row r="175">
      <c r="A175" s="11" t="str">
        <f>IFERROR(__xludf.DUMMYFUNCTION("""COMPUTED_VALUE"""),"Livid Men")</f>
        <v>Livid Men</v>
      </c>
      <c r="B175" s="11" t="str">
        <f>IFERROR(__xludf.DUMMYFUNCTION("""COMPUTED_VALUE"""),"Shirt")</f>
        <v>Shirt</v>
      </c>
      <c r="C175" s="11" t="str">
        <f>IFERROR(__xludf.DUMMYFUNCTION("""COMPUTED_VALUE"""),"huff-japan-milk-sakura")</f>
        <v>huff-japan-milk-sakura</v>
      </c>
      <c r="D175" s="11" t="str">
        <f>IFERROR(__xludf.DUMMYFUNCTION("""COMPUTED_VALUE"""),"Huff Japan Milk Sakura")</f>
        <v>Huff Japan Milk Sakura</v>
      </c>
      <c r="E175" s="11" t="str">
        <f>IFERROR(__xludf.DUMMYFUNCTION("""COMPUTED_VALUE"""),"Made in Romania
Our relaxed fit shirt Huff. Made with a 100% cotton voile woven by Hokkoh in Japan, an incredibly lightweight, soft, and slightly sheer fabric. Creating a sharp looking and comfortable shirt with a fluid drape.
The Huff shirt gives a cle"&amp;"an, but relaxed look. Designed with a generous straight cut, a longer, curved back hem and intended for normal layering. Featuring a clean collar, overlocked and dropped shoulders, a centre front closure with mother of pearl buttons, and long sleeves endi"&amp;"ng in button cuffs.
Details
- 100% cotton
- Cotton voille fabric woven by Hokkoh in Japan
- Mother of pearl buttons
- Sewn with durable poly core cotton threads
- Cut &amp; sewn by Condra in Romania")</f>
        <v>Made in Romania
Our relaxed fit shirt Huff. Made with a 100% cotton voile woven by Hokkoh in Japan, an incredibly lightweight, soft, and slightly sheer fabric. Creating a sharp looking and comfortable shirt with a fluid drape.
The Huff shirt gives a clean, but relaxed look. Designed with a generous straight cut, a longer, curved back hem and intended for normal layering. Featuring a clean collar, overlocked and dropped shoulders, a centre front closure with mother of pearl buttons, and long sleeves ending in button cuffs.
Details
- 100% cotton
- Cotton voille fabric woven by Hokkoh in Japan
- Mother of pearl buttons
- Sewn with durable poly core cotton threads
- Cut &amp; sewn by Condra in Romania</v>
      </c>
      <c r="F175" s="11" t="str">
        <f>IFERROR(__xludf.DUMMYFUNCTION("""COMPUTED_VALUE"""),"Our relaxed-fit shirt Huff, in a printed cotton voille.")</f>
        <v>Our relaxed-fit shirt Huff, in a printed cotton voille.</v>
      </c>
      <c r="G175" s="11"/>
      <c r="H175" s="11" t="str">
        <f>IFERROR(__xludf.DUMMYFUNCTION("""COMPUTED_VALUE"""),"huff-japan-black-sakura, huff-mud-silk, huff-white-silk")</f>
        <v>huff-japan-black-sakura, huff-mud-silk, huff-white-silk</v>
      </c>
      <c r="I175" s="11" t="str">
        <f>IFERROR(__xludf.DUMMYFUNCTION("""COMPUTED_VALUE"""),"hayes-black")</f>
        <v>hayes-black</v>
      </c>
    </row>
    <row r="176">
      <c r="A176" s="11" t="str">
        <f>IFERROR(__xludf.DUMMYFUNCTION("""COMPUTED_VALUE"""),"Livid Men")</f>
        <v>Livid Men</v>
      </c>
      <c r="B176" s="11" t="str">
        <f>IFERROR(__xludf.DUMMYFUNCTION("""COMPUTED_VALUE"""),"Shirt")</f>
        <v>Shirt</v>
      </c>
      <c r="C176" s="11" t="str">
        <f>IFERROR(__xludf.DUMMYFUNCTION("""COMPUTED_VALUE"""),"huff-white-silk")</f>
        <v>huff-white-silk</v>
      </c>
      <c r="D176" s="11" t="str">
        <f>IFERROR(__xludf.DUMMYFUNCTION("""COMPUTED_VALUE"""),"Huff White Silk")</f>
        <v>Huff White Silk</v>
      </c>
      <c r="E176" s="11" t="str">
        <f>IFERROR(__xludf.DUMMYFUNCTION("""COMPUTED_VALUE"""),"Made in China
Our relaxed fit shirt Huff. Made with a lightweight 100% fine silk fabric, lending it a gentle sheen, fluid drape and smooth comfort against the skin.
The Huff shirt gives a clean, but relaxed look. Designed with a generous straight cut, a"&amp;" longer, curved back hem and intended for normal layering. Featuring a clean collar, overlocked and dropped shoulders, a centre front closure with mother of pearl buttons, and long sleeves ending in button cuffs.")</f>
        <v>Made in China
Our relaxed fit shirt Huff. Made with a lightweight 100% fine silk fabric, lending it a gentle sheen, fluid drape and smooth comfort against the skin.
The Huff shirt gives a clean, but relaxed look. Designed with a generous straight cut, a longer, curved back hem and intended for normal layering. Featuring a clean collar, overlocked and dropped shoulders, a centre front closure with mother of pearl buttons, and long sleeves ending in button cuffs.</v>
      </c>
      <c r="F176" s="11" t="str">
        <f>IFERROR(__xludf.DUMMYFUNCTION("""COMPUTED_VALUE"""),"Our relaxed-fit shirt Huff, in a light fine silk.")</f>
        <v>Our relaxed-fit shirt Huff, in a light fine silk.</v>
      </c>
      <c r="G176" s="11" t="str">
        <f>IFERROR(__xludf.DUMMYFUNCTION("""COMPUTED_VALUE"""),"- 100% silk
- Silk fabric woven by Jianxin Silk in China
- Mother of pearl buttons
- Sewn with durable poly core cotton threads
- Cut &amp; sewn by Yinmao in China")</f>
        <v>- 100% silk
- Silk fabric woven by Jianxin Silk in China
- Mother of pearl buttons
- Sewn with durable poly core cotton threads
- Cut &amp; sewn by Yinmao in China</v>
      </c>
      <c r="H176" s="11" t="str">
        <f>IFERROR(__xludf.DUMMYFUNCTION("""COMPUTED_VALUE"""),"huff-japan-black-sakura, huff-japan-milk-sakura, huff-mud-silk")</f>
        <v>huff-japan-black-sakura, huff-japan-milk-sakura, huff-mud-silk</v>
      </c>
      <c r="I176" s="11" t="str">
        <f>IFERROR(__xludf.DUMMYFUNCTION("""COMPUTED_VALUE"""),"keri-japan-black, adonis-lis-noir")</f>
        <v>keri-japan-black, adonis-lis-noir</v>
      </c>
    </row>
    <row r="177">
      <c r="A177" s="11" t="str">
        <f>IFERROR(__xludf.DUMMYFUNCTION("""COMPUTED_VALUE"""),"Livid men")</f>
        <v>Livid men</v>
      </c>
      <c r="B177" s="11" t="str">
        <f>IFERROR(__xludf.DUMMYFUNCTION("""COMPUTED_VALUE"""),"Shirt")</f>
        <v>Shirt</v>
      </c>
      <c r="C177" s="11" t="str">
        <f>IFERROR(__xludf.DUMMYFUNCTION("""COMPUTED_VALUE"""),"initial-celeste-candystripe-ox")</f>
        <v>initial-celeste-candystripe-ox</v>
      </c>
      <c r="D177" s="11" t="str">
        <f>IFERROR(__xludf.DUMMYFUNCTION("""COMPUTED_VALUE"""),"Initial Celeste Candystripe Ox")</f>
        <v>Initial Celeste Candystripe Ox</v>
      </c>
      <c r="E177" s="11" t="str">
        <f>IFERROR(__xludf.DUMMYFUNCTION("""COMPUTED_VALUE"""),"Made in Portugal
From our Core line comes our staple Oxford shirt, Initial. Made with a regular slim fit, which fits precisely at the shoulders, while still allowing for some ease around the body. Featuring a button-down collar, softly curved hems, a sin"&amp;"gle chest pocket and a center box pleat for increased mobility at the back yoke. 
Made from a cotton oxford fabric, developed and woven at Somelos in Portugal, with a classic look and comfortable handfeel. Finished with mother of pearl buttons, with an e"&amp;"xtra button added to the cuffs, allowing an adjustable fit arond the wrists.")</f>
        <v>Made in Portugal
From our Core line comes our staple Oxford shirt, Initial. Made with a regular slim fit, which fits precisely at the shoulders, while still allowing for some ease around the body. Featuring a button-down collar, softly curved hems, a single chest pocket and a center box pleat for increased mobility at the back yoke. 
Made from a cotton oxford fabric, developed and woven at Somelos in Portugal, with a classic look and comfortable handfeel. Finished with mother of pearl buttons, with an extra button added to the cuffs, allowing an adjustable fit arond the wrists.</v>
      </c>
      <c r="F177" s="11" t="str">
        <f>IFERROR(__xludf.DUMMYFUNCTION("""COMPUTED_VALUE"""),"Initial, our staple Oxford shirt in a regular slim fit.")</f>
        <v>Initial, our staple Oxford shirt in a regular slim fit.</v>
      </c>
      <c r="G177" s="11" t="str">
        <f>IFERROR(__xludf.DUMMYFUNCTION("""COMPUTED_VALUE"""),"- 100% cotton oxford cloth
- Woven by Somelos in Portugal
- Mother of pearl buttons
- Extra button at the cuff, allowing a tighter adjustment at the wrist
- Made at Afonso, in Portugal")</f>
        <v>- 100% cotton oxford cloth
- Woven by Somelos in Portugal
- Mother of pearl buttons
- Extra button at the cuff, allowing a tighter adjustment at the wrist
- Made at Afonso, in Portugal</v>
      </c>
      <c r="H177" s="11" t="str">
        <f>IFERROR(__xludf.DUMMYFUNCTION("""COMPUTED_VALUE"""),"initial-green-candystripe, initial-navy-pinstripe, initial-white-ox, initial-celeste-ox, initial-grey-ox")</f>
        <v>initial-green-candystripe, initial-navy-pinstripe, initial-white-ox, initial-celeste-ox, initial-grey-ox</v>
      </c>
      <c r="I177" s="11" t="str">
        <f>IFERROR(__xludf.DUMMYFUNCTION("""COMPUTED_VALUE"""),"initial-celeste-candystripe-ox, chambord-noir")</f>
        <v>initial-celeste-candystripe-ox, chambord-noir</v>
      </c>
    </row>
    <row r="178">
      <c r="A178" s="11" t="str">
        <f>IFERROR(__xludf.DUMMYFUNCTION("""COMPUTED_VALUE"""),"Livid men")</f>
        <v>Livid men</v>
      </c>
      <c r="B178" s="11" t="str">
        <f>IFERROR(__xludf.DUMMYFUNCTION("""COMPUTED_VALUE"""),"Shirt")</f>
        <v>Shirt</v>
      </c>
      <c r="C178" s="11" t="str">
        <f>IFERROR(__xludf.DUMMYFUNCTION("""COMPUTED_VALUE"""),"initial-celeste-ox")</f>
        <v>initial-celeste-ox</v>
      </c>
      <c r="D178" s="11" t="str">
        <f>IFERROR(__xludf.DUMMYFUNCTION("""COMPUTED_VALUE"""),"Initial Celeste Ox")</f>
        <v>Initial Celeste Ox</v>
      </c>
      <c r="E178" s="11" t="str">
        <f>IFERROR(__xludf.DUMMYFUNCTION("""COMPUTED_VALUE"""),"Made in Portugal
From our Core line comes our staple Oxford shirt, Initial. Made with a regular slim fit, which fits precisely at the shoulders, while still allowing for some ease around the body. Featuring a button-down collar, softly curved hems, a sin"&amp;"gle chest pocket and a center box pleat for increased mobility at the back yoke. 
Made from a cotton oxford fabric, developed and woven at Somelos in Portugal, with a classic look and comfortable handfeel. Finished with mother of pearl buttons, with an e"&amp;"xtra button added to the cuffs, allowing an adjustable fit arond the wrists.")</f>
        <v>Made in Portugal
From our Core line comes our staple Oxford shirt, Initial. Made with a regular slim fit, which fits precisely at the shoulders, while still allowing for some ease around the body. Featuring a button-down collar, softly curved hems, a single chest pocket and a center box pleat for increased mobility at the back yoke. 
Made from a cotton oxford fabric, developed and woven at Somelos in Portugal, with a classic look and comfortable handfeel. Finished with mother of pearl buttons, with an extra button added to the cuffs, allowing an adjustable fit arond the wrists.</v>
      </c>
      <c r="F178" s="11" t="str">
        <f>IFERROR(__xludf.DUMMYFUNCTION("""COMPUTED_VALUE"""),"Initial, our staple Oxford shirt in a regular slim fit.")</f>
        <v>Initial, our staple Oxford shirt in a regular slim fit.</v>
      </c>
      <c r="G178" s="11" t="str">
        <f>IFERROR(__xludf.DUMMYFUNCTION("""COMPUTED_VALUE"""),"- 100% cotton oxford cloth
- Woven by Somelos in Portugal
- Mother of pearl buttons
- Extra button at the cuff, allowing a tighter adjustment at the wrist
- Made at Afonso, in Portugal")</f>
        <v>- 100% cotton oxford cloth
- Woven by Somelos in Portugal
- Mother of pearl buttons
- Extra button at the cuff, allowing a tighter adjustment at the wrist
- Made at Afonso, in Portugal</v>
      </c>
      <c r="H178" s="11" t="str">
        <f>IFERROR(__xludf.DUMMYFUNCTION("""COMPUTED_VALUE"""),"initial-white-ox, initial-grey-ox, initial-green-candystripe, initial-navy-pinstripe, initial-celeste-candystripe-ox")</f>
        <v>initial-white-ox, initial-grey-ox, initial-green-candystripe, initial-navy-pinstripe, initial-celeste-candystripe-ox</v>
      </c>
      <c r="I178" s="11" t="str">
        <f>IFERROR(__xludf.DUMMYFUNCTION("""COMPUTED_VALUE"""),"barnes-japan-rinse, chambord-noir")</f>
        <v>barnes-japan-rinse, chambord-noir</v>
      </c>
    </row>
    <row r="179">
      <c r="A179" s="11" t="str">
        <f>IFERROR(__xludf.DUMMYFUNCTION("""COMPUTED_VALUE"""),"Livid men")</f>
        <v>Livid men</v>
      </c>
      <c r="B179" s="11" t="str">
        <f>IFERROR(__xludf.DUMMYFUNCTION("""COMPUTED_VALUE"""),"Shirt")</f>
        <v>Shirt</v>
      </c>
      <c r="C179" s="11" t="str">
        <f>IFERROR(__xludf.DUMMYFUNCTION("""COMPUTED_VALUE"""),"initial-green-candystripe")</f>
        <v>initial-green-candystripe</v>
      </c>
      <c r="D179" s="11" t="str">
        <f>IFERROR(__xludf.DUMMYFUNCTION("""COMPUTED_VALUE"""),"Initial Green Candystripe")</f>
        <v>Initial Green Candystripe</v>
      </c>
      <c r="E179" s="11" t="str">
        <f>IFERROR(__xludf.DUMMYFUNCTION("""COMPUTED_VALUE"""),"Made in Portugal
From our Core line comes our staple Oxford shirt, Initial. Made with a regular slim fit, which fits precisely at the shoulders, while still allowing for some ease around the body. Featuring a button-down collar, softly curved hems, a sin"&amp;"gle chest pocket and a center box pleat for increased mobility at the back yoke. 
Made from a cotton oxford fabric, developed and woven at Somelos in Portugal, with a classic look and comfortable handfeel. Finished with mother of pearl buttons, with an e"&amp;"xtra button added to the cuffs, allowing an adjustable fit arond the wrists.")</f>
        <v>Made in Portugal
From our Core line comes our staple Oxford shirt, Initial. Made with a regular slim fit, which fits precisely at the shoulders, while still allowing for some ease around the body. Featuring a button-down collar, softly curved hems, a single chest pocket and a center box pleat for increased mobility at the back yoke. 
Made from a cotton oxford fabric, developed and woven at Somelos in Portugal, with a classic look and comfortable handfeel. Finished with mother of pearl buttons, with an extra button added to the cuffs, allowing an adjustable fit arond the wrists.</v>
      </c>
      <c r="F179" s="11" t="str">
        <f>IFERROR(__xludf.DUMMYFUNCTION("""COMPUTED_VALUE"""),"Initial, our staple Oxford shirt in a regular slim fit.")</f>
        <v>Initial, our staple Oxford shirt in a regular slim fit.</v>
      </c>
      <c r="G179" s="11" t="str">
        <f>IFERROR(__xludf.DUMMYFUNCTION("""COMPUTED_VALUE"""),"- 100% cotton oxford cloth
- Woven by Somelos in Portugal
- Mother of pearl buttons
- Extra button at the cuff, allowing a tighter adjustment at the wrist
- Made at Afonso, in Portugal")</f>
        <v>- 100% cotton oxford cloth
- Woven by Somelos in Portugal
- Mother of pearl buttons
- Extra button at the cuff, allowing a tighter adjustment at the wrist
- Made at Afonso, in Portugal</v>
      </c>
      <c r="H179" s="11" t="str">
        <f>IFERROR(__xludf.DUMMYFUNCTION("""COMPUTED_VALUE"""),"initial-navy-pinstripe, initial-celeste-candystripe-ox, initial-white-ox, initial-celeste-ox, initial-grey-ox")</f>
        <v>initial-navy-pinstripe, initial-celeste-candystripe-ox, initial-white-ox, initial-celeste-ox, initial-grey-ox</v>
      </c>
      <c r="I179" s="11" t="str">
        <f>IFERROR(__xludf.DUMMYFUNCTION("""COMPUTED_VALUE"""),"barnes-japan-black, chambord-noir")</f>
        <v>barnes-japan-black, chambord-noir</v>
      </c>
    </row>
    <row r="180">
      <c r="A180" s="11" t="str">
        <f>IFERROR(__xludf.DUMMYFUNCTION("""COMPUTED_VALUE"""),"Livid men")</f>
        <v>Livid men</v>
      </c>
      <c r="B180" s="11" t="str">
        <f>IFERROR(__xludf.DUMMYFUNCTION("""COMPUTED_VALUE"""),"Shirt")</f>
        <v>Shirt</v>
      </c>
      <c r="C180" s="11" t="str">
        <f>IFERROR(__xludf.DUMMYFUNCTION("""COMPUTED_VALUE"""),"initial-grey-ox")</f>
        <v>initial-grey-ox</v>
      </c>
      <c r="D180" s="11" t="str">
        <f>IFERROR(__xludf.DUMMYFUNCTION("""COMPUTED_VALUE"""),"Initial Grey Ox")</f>
        <v>Initial Grey Ox</v>
      </c>
      <c r="E180" s="11" t="str">
        <f>IFERROR(__xludf.DUMMYFUNCTION("""COMPUTED_VALUE"""),"Made in Portugal
From our Core line comes our staple Oxford shirt, Initial. Made with a regular slim fit, which fits precisely at the shoulders, while still allowing for some ease around the body. Featuring a button-down collar, softly curved hems, a sin"&amp;"gle chest pocket and a center box pleat for increased mobility at the back yoke. 
Made from a cotton oxford fabric, developed and woven at Somelos in Portugal, with a classic look and comfortable handfeel. Finished with mother of pearl buttons, with an e"&amp;"xtra button added to the cuffs, allowing an adjustable fit arond the wrists.")</f>
        <v>Made in Portugal
From our Core line comes our staple Oxford shirt, Initial. Made with a regular slim fit, which fits precisely at the shoulders, while still allowing for some ease around the body. Featuring a button-down collar, softly curved hems, a single chest pocket and a center box pleat for increased mobility at the back yoke. 
Made from a cotton oxford fabric, developed and woven at Somelos in Portugal, with a classic look and comfortable handfeel. Finished with mother of pearl buttons, with an extra button added to the cuffs, allowing an adjustable fit arond the wrists.</v>
      </c>
      <c r="F180" s="11" t="str">
        <f>IFERROR(__xludf.DUMMYFUNCTION("""COMPUTED_VALUE"""),"Initial, our staple Oxford shirt in a regular slim fit.")</f>
        <v>Initial, our staple Oxford shirt in a regular slim fit.</v>
      </c>
      <c r="G180" s="11" t="str">
        <f>IFERROR(__xludf.DUMMYFUNCTION("""COMPUTED_VALUE"""),"- 100% cotton oxford cloth
- Woven by Somelos in Portugal
- Mother of pearl buttons
- Extra button at the cuff, allowing a tighter adjustment at the wrist
- Made at Afonso, in Portugal")</f>
        <v>- 100% cotton oxford cloth
- Woven by Somelos in Portugal
- Mother of pearl buttons
- Extra button at the cuff, allowing a tighter adjustment at the wrist
- Made at Afonso, in Portugal</v>
      </c>
      <c r="H180" s="11" t="str">
        <f>IFERROR(__xludf.DUMMYFUNCTION("""COMPUTED_VALUE"""),"initial-white-ox, initial-celeste-ox, initial-green-candystripe, initial-navy-pinstripe, initial-celeste-candystripe-ox")</f>
        <v>initial-white-ox, initial-celeste-ox, initial-green-candystripe, initial-navy-pinstripe, initial-celeste-candystripe-ox</v>
      </c>
      <c r="I180" s="11" t="str">
        <f>IFERROR(__xludf.DUMMYFUNCTION("""COMPUTED_VALUE"""),"fuller-japan-indigo-dusk, chambord-noir")</f>
        <v>fuller-japan-indigo-dusk, chambord-noir</v>
      </c>
    </row>
    <row r="181">
      <c r="A181" s="11" t="str">
        <f>IFERROR(__xludf.DUMMYFUNCTION("""COMPUTED_VALUE"""),"Livid men")</f>
        <v>Livid men</v>
      </c>
      <c r="B181" s="11" t="str">
        <f>IFERROR(__xludf.DUMMYFUNCTION("""COMPUTED_VALUE"""),"Shirt")</f>
        <v>Shirt</v>
      </c>
      <c r="C181" s="11" t="str">
        <f>IFERROR(__xludf.DUMMYFUNCTION("""COMPUTED_VALUE"""),"initial-navy-pinstripe")</f>
        <v>initial-navy-pinstripe</v>
      </c>
      <c r="D181" s="11" t="str">
        <f>IFERROR(__xludf.DUMMYFUNCTION("""COMPUTED_VALUE"""),"Initial Navy Pinstripe")</f>
        <v>Initial Navy Pinstripe</v>
      </c>
      <c r="E181" s="11" t="str">
        <f>IFERROR(__xludf.DUMMYFUNCTION("""COMPUTED_VALUE"""),"Made in Portugal
From our Core line comes our staple Oxford shirt, Initial. Made with a regular slim fit, which fits precisely at the shoulders, while still allowing for some ease around the body. Featuring a button-down collar, softly curved hems, a sin"&amp;"gle chest pocket and a center box pleat for increased mobility at the back yoke. 
Made from a cotton oxford fabric, developed and woven at Somelos in Portugal, with a classic look and comfortable handfeel. Finished with mother of pearl buttons, with an e"&amp;"xtra button added to the cuffs, allowing an adjustable fit arond the wrists.")</f>
        <v>Made in Portugal
From our Core line comes our staple Oxford shirt, Initial. Made with a regular slim fit, which fits precisely at the shoulders, while still allowing for some ease around the body. Featuring a button-down collar, softly curved hems, a single chest pocket and a center box pleat for increased mobility at the back yoke. 
Made from a cotton oxford fabric, developed and woven at Somelos in Portugal, with a classic look and comfortable handfeel. Finished with mother of pearl buttons, with an extra button added to the cuffs, allowing an adjustable fit arond the wrists.</v>
      </c>
      <c r="F181" s="11" t="str">
        <f>IFERROR(__xludf.DUMMYFUNCTION("""COMPUTED_VALUE"""),"Initial, our staple Oxford shirt in a regular slim fit.")</f>
        <v>Initial, our staple Oxford shirt in a regular slim fit.</v>
      </c>
      <c r="G181" s="11" t="str">
        <f>IFERROR(__xludf.DUMMYFUNCTION("""COMPUTED_VALUE"""),"- 100% cotton oxford cloth
- Woven by Somelos in Portugal
- Mother of pearl buttons
- Extra button at the cuff, allowing a tighter adjustment at the wrist
- Made at Afonso, in Portugal")</f>
        <v>- 100% cotton oxford cloth
- Woven by Somelos in Portugal
- Mother of pearl buttons
- Extra button at the cuff, allowing a tighter adjustment at the wrist
- Made at Afonso, in Portugal</v>
      </c>
      <c r="H181" s="11" t="str">
        <f>IFERROR(__xludf.DUMMYFUNCTION("""COMPUTED_VALUE"""),"initial-green-candystripe, initial-celeste-candystripe-ox, initial-white-ox, initial-celeste-ox, initial-grey-ox")</f>
        <v>initial-green-candystripe, initial-celeste-candystripe-ox, initial-white-ox, initial-celeste-ox, initial-grey-ox</v>
      </c>
      <c r="I181" s="11" t="str">
        <f>IFERROR(__xludf.DUMMYFUNCTION("""COMPUTED_VALUE"""),"barnes-japan-rinse, chambord-noir")</f>
        <v>barnes-japan-rinse, chambord-noir</v>
      </c>
    </row>
    <row r="182">
      <c r="A182" s="11" t="str">
        <f>IFERROR(__xludf.DUMMYFUNCTION("""COMPUTED_VALUE"""),"Livid men")</f>
        <v>Livid men</v>
      </c>
      <c r="B182" s="11" t="str">
        <f>IFERROR(__xludf.DUMMYFUNCTION("""COMPUTED_VALUE"""),"Shirt")</f>
        <v>Shirt</v>
      </c>
      <c r="C182" s="11" t="str">
        <f>IFERROR(__xludf.DUMMYFUNCTION("""COMPUTED_VALUE"""),"initial-white-ox")</f>
        <v>initial-white-ox</v>
      </c>
      <c r="D182" s="11" t="str">
        <f>IFERROR(__xludf.DUMMYFUNCTION("""COMPUTED_VALUE"""),"Initial White Ox")</f>
        <v>Initial White Ox</v>
      </c>
      <c r="E182" s="11" t="str">
        <f>IFERROR(__xludf.DUMMYFUNCTION("""COMPUTED_VALUE"""),"Made in Portugal
From our Core line comes our staple Oxford shirt, Initial. Made with a regular slim fit, which fits precisely at the shoulders, while still allowing for some ease around the body. Featuring a button-down collar, softly curved hems, a sin"&amp;"gle chest pocket and a center box pleat for increased mobility at the back yoke. 
Made from a cotton oxford fabric, developed and woven at Somelos in Portugal, with a classic look and comfortable handfeel. Finished with mother of pearl buttons, with an e"&amp;"xtra button added to the cuffs, allowing an adjustable fit arond the wrists.")</f>
        <v>Made in Portugal
From our Core line comes our staple Oxford shirt, Initial. Made with a regular slim fit, which fits precisely at the shoulders, while still allowing for some ease around the body. Featuring a button-down collar, softly curved hems, a single chest pocket and a center box pleat for increased mobility at the back yoke. 
Made from a cotton oxford fabric, developed and woven at Somelos in Portugal, with a classic look and comfortable handfeel. Finished with mother of pearl buttons, with an extra button added to the cuffs, allowing an adjustable fit arond the wrists.</v>
      </c>
      <c r="F182" s="11" t="str">
        <f>IFERROR(__xludf.DUMMYFUNCTION("""COMPUTED_VALUE"""),"Initial, our staple Oxford shirt in a regular slim fit.")</f>
        <v>Initial, our staple Oxford shirt in a regular slim fit.</v>
      </c>
      <c r="G182" s="11" t="str">
        <f>IFERROR(__xludf.DUMMYFUNCTION("""COMPUTED_VALUE"""),"- 100% cotton oxford cloth
- Woven by Somelos in Portugal
- Mother of pearl buttons
- Extra button at the cuff, allowing a tighter adjustment at the wrist
- Made at Afonso, in Portugal")</f>
        <v>- 100% cotton oxford cloth
- Woven by Somelos in Portugal
- Mother of pearl buttons
- Extra button at the cuff, allowing a tighter adjustment at the wrist
- Made at Afonso, in Portugal</v>
      </c>
      <c r="H182" s="11" t="str">
        <f>IFERROR(__xludf.DUMMYFUNCTION("""COMPUTED_VALUE"""),"initial-celeste-ox, initial-grey-ox, initial-green-candystripe, initial-navy-pinstripe, initial-celeste-candystripe-ox")</f>
        <v>initial-celeste-ox, initial-grey-ox, initial-green-candystripe, initial-navy-pinstripe, initial-celeste-candystripe-ox</v>
      </c>
      <c r="I182" s="11" t="str">
        <f>IFERROR(__xludf.DUMMYFUNCTION("""COMPUTED_VALUE"""),"fuller-japan-indigo-dusk, chambord-noir")</f>
        <v>fuller-japan-indigo-dusk, chambord-noir</v>
      </c>
    </row>
    <row r="183">
      <c r="A183" s="11" t="str">
        <f>IFERROR(__xludf.DUMMYFUNCTION("""COMPUTED_VALUE"""),"Livid men")</f>
        <v>Livid men</v>
      </c>
      <c r="B183" s="11" t="str">
        <f>IFERROR(__xludf.DUMMYFUNCTION("""COMPUTED_VALUE"""),"Jacket")</f>
        <v>Jacket</v>
      </c>
      <c r="C183" s="11" t="str">
        <f>IFERROR(__xludf.DUMMYFUNCTION("""COMPUTED_VALUE"""),"jaylin-green-twill")</f>
        <v>jaylin-green-twill</v>
      </c>
      <c r="D183" s="11" t="str">
        <f>IFERROR(__xludf.DUMMYFUNCTION("""COMPUTED_VALUE"""),"Jaylin Green Twill")</f>
        <v>Jaylin Green Twill</v>
      </c>
      <c r="E183" s="11"/>
      <c r="F183" s="11"/>
      <c r="G183" s="11"/>
      <c r="H183" s="11"/>
      <c r="I183" s="11"/>
    </row>
    <row r="184">
      <c r="A184" s="11" t="str">
        <f>IFERROR(__xludf.DUMMYFUNCTION("""COMPUTED_VALUE"""),"Livid Men")</f>
        <v>Livid Men</v>
      </c>
      <c r="B184" s="11" t="str">
        <f>IFERROR(__xludf.DUMMYFUNCTION("""COMPUTED_VALUE"""),"Jeans")</f>
        <v>Jeans</v>
      </c>
      <c r="C184" s="11" t="str">
        <f>IFERROR(__xludf.DUMMYFUNCTION("""COMPUTED_VALUE"""),"jone-japan-black")</f>
        <v>jone-japan-black</v>
      </c>
      <c r="D184" s="11" t="str">
        <f>IFERROR(__xludf.DUMMYFUNCTION("""COMPUTED_VALUE"""),"Jone Japan Black")</f>
        <v>Jone Japan Black</v>
      </c>
      <c r="E184" s="11" t="str">
        <f>IFERROR(__xludf.DUMMYFUNCTION("""COMPUTED_VALUE"""),"Made in Portugal
The Japan Black Comfort. Made from a 11,9 Oz black wideloom denim woven at the renowned Japanese fabric mill, Kuroki. Developed to have the solid textural handfeel of classic pure cotton black jeans, but with 2% stretch for added comfort"&amp;".
While all black denim will loose colour eventually, this particular denim fades in contrast after wear, evolving a beautiful personal pattern. This is due a special technique called rope dye, whereas the yarns are dipped in short intervals between oxid"&amp;"ation. This prevents the colour from completely penetrating the core of the fibres, leaving it fresh, natural and untouched. When the layers of black colour wears off the surface of the yarns, the natural coloured cotton core will appear, leaving a contra"&amp;"st fade throughout the jeans.
Made in a one-wash finish to increase softness of touch. Available in our slim fit, Jone. 
Details &amp; Features
- 11,9 Oz comfort wideloom denim from Kuroki, Japan
- One wash to increase softness
- 98% cotton / 2% polyurethan"&amp;"e
- Warp &amp; weft dyed in black
- 8 Oz ecru canvas pocketing
- Black leather patch w/ wax treatment. Made in Italy
- YKK two-prongtack, silver button and zip fly
- YKK solid copper washed-burr rivets
- Stitched with poly core cotton thread
- Made at Lisama,"&amp;" Portugal
Model is 190 cm, weight 78 kg and wears a size 31/32.
Go to our fit guide to read more about the silm leg fit, Jone.
Available sizes are 28-36 in 32” inseam and 29-40 in 34” inseam.")</f>
        <v>Made in Portugal
The Japan Black Comfort. Made from a 11,9 Oz black wideloom denim woven at the renowned Japanese fabric mill, Kuroki. Developed to have the solid textural handfeel of classic pure cotton black jeans, but with 2% stretch for added comfort.
While all black denim will loose colour eventually, this particular denim fades in contrast after wear, evolving a beautiful personal pattern. This is due a special technique called rope dye, whereas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Made in a one-wash finish to increase softness of touch. Available in our slim fit, Jone. 
Details &amp; Features
- 11,9 Oz comfort wideloom denim from Kuroki, Japan
- One wash to increase softness
- 98% cotton / 2% polyurethane
- Warp &amp; weft dyed in black
- 8 Oz ecru canvas pocketing
- Black leather patch w/ wax treatment. Made in Italy
- YKK two-prongtack, silver button and zip fly
- YKK solid copper washed-burr rivets
- Stitched with poly core cotton thread
- Made at Lisama, Portugal
Model is 190 cm, weight 78 kg and wears a size 31/32.
Go to our fit guide to read more about the silm leg fit, Jone.
Available sizes are 28-36 in 32” inseam and 29-40 in 34” inseam.</v>
      </c>
      <c r="F184" s="11" t="str">
        <f>IFERROR(__xludf.DUMMYFUNCTION("""COMPUTED_VALUE"""),"Made from black denim with comfort and stretch, developed for a classic feel and added ease. Evolves with wear, revealing a unique pattern through contrast fade.")</f>
        <v>Made from black denim with comfort and stretch, developed for a classic feel and added ease. Evolves with wear, revealing a unique pattern through contrast fade.</v>
      </c>
      <c r="G184" s="11"/>
      <c r="H184" s="11" t="str">
        <f>IFERROR(__xludf.DUMMYFUNCTION("""COMPUTED_VALUE"""),"jone-japan-indigo, jone-japan-blue-1, jone-13-oz-japan-dry-selvage, jone-japan-trouser-stone")</f>
        <v>jone-japan-indigo, jone-japan-blue-1, jone-13-oz-japan-dry-selvage, jone-japan-trouser-stone</v>
      </c>
      <c r="I184" s="11"/>
    </row>
    <row r="185">
      <c r="A185" s="11" t="str">
        <f>IFERROR(__xludf.DUMMYFUNCTION("""COMPUTED_VALUE"""),"Livid Men")</f>
        <v>Livid Men</v>
      </c>
      <c r="B185" s="11" t="str">
        <f>IFERROR(__xludf.DUMMYFUNCTION("""COMPUTED_VALUE"""),"Jeans")</f>
        <v>Jeans</v>
      </c>
      <c r="C185" s="11" t="str">
        <f>IFERROR(__xludf.DUMMYFUNCTION("""COMPUTED_VALUE"""),"jone-japan-blue-1")</f>
        <v>jone-japan-blue-1</v>
      </c>
      <c r="D185" s="11" t="str">
        <f>IFERROR(__xludf.DUMMYFUNCTION("""COMPUTED_VALUE"""),"Jone Japan Blue")</f>
        <v>Jone Japan Blue</v>
      </c>
      <c r="E185" s="11" t="str">
        <f>IFERROR(__xludf.DUMMYFUNCTION("""COMPUTED_VALUE"""),"Made in Portugal
The Japan Blue. Made from a beautiful mid-weight wideloom denim woven at the renowned Japanese fabric mill, Kuroki. This particular fabric was built by Kuroki with a main goal at hand, creating a comfortable stretch denim that maintained"&amp;" the look of a rigid (100% cotton) denim. That is also particularly why this denim is the most widely used denim-article throughout our collections, now being the fabric of choice for 10 different core-styles in our rage. A super versatile denim, beautifu"&amp;"l in all types of shades in addition to providing great comfort, stretch and recovery after wear. A safe choice for all who loves a pair of genuine fitting jeans in their wardrobe.
Made in our slim leg jeans, Jone.
Details &amp; Features
- 13 Oz comfort wid"&amp;"eloom denim from Kuroki, Japan. 
- 98% cotton / 2% polyurethane
- Warp dyed in indigo, natural coloured weft
- 8 Oz ecru canvas pocketing 
- Tanned leather patch w/ wax treatment, Made in Italy. 
- YKK two-prongtack, silver button and zip fly
- YKK solid "&amp;"copper washed-burr rivets
- Stitched with poly core cotton thread
- Made at Lisama, Portugal
Model is 183 cm and wears a size 32/32.
Go to our fit guide to read more about the Jone Slim. 
Available sizes are 27-36 in 32” inseam and 29-40 in 34” inseam.")</f>
        <v>Made in Portugal
The Japan Blue. Made from a beautiful mid-weight wideloom denim woven at the renowned Japanese fabric mill, Kuroki. This particular fabric was built by Kuroki with a main goal at hand, creating a comfortable stretch denim that maintained the look of a rigid (100% cotton) denim. That is also particularly why this denim is the most widely used denim-article throughout our collections, now being the fabric of choice for 10 different core-styles in our rage. A super versatile denim, beautiful in all types of shades in addition to providing great comfort, stretch and recovery after wear. A safe choice for all who loves a pair of genuine fitting jeans in their wardrobe.
Made in our slim leg jeans, Jone.
Details &amp; Features
- 13 Oz comfort wideloom denim from Kuroki, Japan. 
- 98% cotton / 2% polyurethane
- Warp dyed in indigo, natural coloured weft
- 8 Oz ecru canvas pocketing 
- Tanned leather patch w/ wax treatment, Made in Italy. 
- YKK two-prongtack, silver button and zip fly
- YKK solid copper washed-burr rivets
- Stitched with poly core cotton thread
- Made at Lisama, Portugal
Model is 183 cm and wears a size 32/32.
Go to our fit guide to read more about the Jone Slim. 
Available sizes are 27-36 in 32” inseam and 29-40 in 34” inseam.</v>
      </c>
      <c r="F185" s="11" t="str">
        <f>IFERROR(__xludf.DUMMYFUNCTION("""COMPUTED_VALUE"""),"The Japan Blue is made from mid-weight wideloom denim at Kuroki, aiming to create a comfortable stretch denim that looks like rigid denim. This fabric is used in 10 different styles.")</f>
        <v>The Japan Blue is made from mid-weight wideloom denim at Kuroki, aiming to create a comfortable stretch denim that looks like rigid denim. This fabric is used in 10 different styles.</v>
      </c>
      <c r="G185" s="11"/>
      <c r="H185" s="11" t="str">
        <f>IFERROR(__xludf.DUMMYFUNCTION("""COMPUTED_VALUE"""),"jone-japan-indigo, jone-japan-black, jone-13-oz-japan-dry-selvage, jone-japan-trouser-stone")</f>
        <v>jone-japan-indigo, jone-japan-black, jone-13-oz-japan-dry-selvage, jone-japan-trouser-stone</v>
      </c>
      <c r="I185" s="11"/>
    </row>
    <row r="186">
      <c r="A186" s="11" t="str">
        <f>IFERROR(__xludf.DUMMYFUNCTION("""COMPUTED_VALUE"""),"Livid Men")</f>
        <v>Livid Men</v>
      </c>
      <c r="B186" s="11" t="str">
        <f>IFERROR(__xludf.DUMMYFUNCTION("""COMPUTED_VALUE"""),"Jeans")</f>
        <v>Jeans</v>
      </c>
      <c r="C186" s="11" t="str">
        <f>IFERROR(__xludf.DUMMYFUNCTION("""COMPUTED_VALUE"""),"jone-japan-indigo")</f>
        <v>jone-japan-indigo</v>
      </c>
      <c r="D186" s="11" t="str">
        <f>IFERROR(__xludf.DUMMYFUNCTION("""COMPUTED_VALUE"""),"Jone Japan Indigo")</f>
        <v>Jone Japan Indigo</v>
      </c>
      <c r="E186" s="11" t="str">
        <f>IFERROR(__xludf.DUMMYFUNCTION("""COMPUTED_VALUE"""),"Made in Portugal
The Japan Indigo. Made from a beautiful mid-weight wideloom denim woven at the renowned Japanese fabric mill, Kuroki. This particular fabric was built by Kuroki with a main goal at hand, creating a comfortable stretch denim that maintain"&amp;"ed the look of a rigid (100% cotton) denim. That is also particularly why this denim is the most widely used denim-article throughout our collections, now being the fabric of choice for 10 different core-styles in our rage. A super versatile denim, beauti"&amp;"ful in all types of shades in addition to providing great comfort, stretch and recovery after wear. A safe choice for all who loves a pair of genuine fitting jeans in their wardrobe.
Made in our slim leg jeans, Jone.
Details &amp; Features
- 13 Oz comfort w"&amp;"ideloom denim from Kuroki, Japan. 
- 98% cotton / 2% polyurethane
- Warp dyed in indigo, natural coloured weft
- 8 Oz ecru canvas pocketing 
- Tanned leather patch w/ wax treatment, Made in Italy. 
- YKK two-prongtack, silver button and zip fly
- YKK soli"&amp;"d copper washed-burr rivets
- Stitched with poly core cotton thread
- Made at Lisama, Portugal
Model is 190 cm, weight 78 kg and wears a size 31/32.
Go to our fit guide to read more about the Jone Slim. 
Available sizes are 27-36 in 32” inseam and 29-4"&amp;"0 in 34” inseam.")</f>
        <v>Made in Portugal
The Japan Indigo. Made from a beautiful mid-weight wideloom denim woven at the renowned Japanese fabric mill, Kuroki. This particular fabric was built by Kuroki with a main goal at hand, creating a comfortable stretch denim that maintained the look of a rigid (100% cotton) denim. That is also particularly why this denim is the most widely used denim-article throughout our collections, now being the fabric of choice for 10 different core-styles in our rage. A super versatile denim, beautiful in all types of shades in addition to providing great comfort, stretch and recovery after wear. A safe choice for all who loves a pair of genuine fitting jeans in their wardrobe.
Made in our slim leg jeans, Jone.
Details &amp; Features
- 13 Oz comfort wideloom denim from Kuroki, Japan. 
- 98% cotton / 2% polyurethane
- Warp dyed in indigo, natural coloured weft
- 8 Oz ecru canvas pocketing 
- Tanned leather patch w/ wax treatment, Made in Italy. 
- YKK two-prongtack, silver button and zip fly
- YKK solid copper washed-burr rivets
- Stitched with poly core cotton thread
- Made at Lisama, Portugal
Model is 190 cm, weight 78 kg and wears a size 31/32.
Go to our fit guide to read more about the Jone Slim. 
Available sizes are 27-36 in 32” inseam and 29-40 in 34” inseam.</v>
      </c>
      <c r="F186" s="11" t="str">
        <f>IFERROR(__xludf.DUMMYFUNCTION("""COMPUTED_VALUE"""),"Made from mid-weight denim woven at Kuroki. Fabric was built with a goal, creating a stretch denim that maintained the look of a rigid denim.")</f>
        <v>Made from mid-weight denim woven at Kuroki. Fabric was built with a goal, creating a stretch denim that maintained the look of a rigid denim.</v>
      </c>
      <c r="G186" s="11"/>
      <c r="H186" s="11" t="str">
        <f>IFERROR(__xludf.DUMMYFUNCTION("""COMPUTED_VALUE"""),"jone-japan-black, jone-japan-blue-1, jone-13-oz-japan-dry-selvage, jone-japan-trouser-stone")</f>
        <v>jone-japan-black, jone-japan-blue-1, jone-13-oz-japan-dry-selvage, jone-japan-trouser-stone</v>
      </c>
      <c r="I186" s="11"/>
    </row>
    <row r="187">
      <c r="A187" s="11" t="str">
        <f>IFERROR(__xludf.DUMMYFUNCTION("""COMPUTED_VALUE"""),"Livid Men")</f>
        <v>Livid Men</v>
      </c>
      <c r="B187" s="11" t="str">
        <f>IFERROR(__xludf.DUMMYFUNCTION("""COMPUTED_VALUE"""),"Trouser")</f>
        <v>Trouser</v>
      </c>
      <c r="C187" s="11" t="str">
        <f>IFERROR(__xludf.DUMMYFUNCTION("""COMPUTED_VALUE"""),"jone-japan-trouser-navy")</f>
        <v>jone-japan-trouser-navy</v>
      </c>
      <c r="D187" s="11" t="str">
        <f>IFERROR(__xludf.DUMMYFUNCTION("""COMPUTED_VALUE"""),"Jone Trouser Japan Navy")</f>
        <v>Jone Trouser Japan Navy</v>
      </c>
      <c r="E187" s="11" t="str">
        <f>IFERROR(__xludf.DUMMYFUNCTION("""COMPUTED_VALUE"""),"Made in Portugal 
The Jone Trouser. Made from a super soft and comfortable 9,8 Oz wideloom fabric woven at the renowned Japanese mill, Kuroki. This particular fabric features a unique double weave construction where the face of the fabric is a 3x1 twill "&amp;"weave and the backside of the fabric is a 1x1 plain weave. A wardrobe staple perfect for all seasons regardless of seasonal and short-term trends.
Made in a slightly adjusted, Jone Slim.
Details &amp; Features
- Garment dye
- 9,8 Oz wideloom cloth woven by "&amp;"Kuroki, Japan
- Double weave construction
- 98% cotton / 2% polyurethane
- 5 Oz ecru canvas pocketing
- Welted rear and back pockets
- YKK zip fly with metal silver zipper
- YKK metal silver two-prongtack donut button
- Stitched with poly core cotton thre"&amp;"ad
- Made at Lisama, Portugal")</f>
        <v>Made in Portugal 
The Jone Trouser. Made from a super soft and comfortable 9,8 Oz wideloom fabric woven at the renowned Japanese mill, Kuroki. This particular fabric features a unique double weave construction where the face of the fabric is a 3x1 twill weave and the backside of the fabric is a 1x1 plain weave. A wardrobe staple perfect for all seasons regardless of seasonal and short-term trends.
Made in a slightly adjusted, Jone Slim.
Details &amp; Features
- Garment dye
- 9,8 Oz wideloom cloth woven by Kuroki, Japan
- Double weave construction
- 98% cotton / 2% polyurethane
- 5 Oz ecru canvas pocketing
- Welted rear and back pockets
- YKK zip fly with metal silver zipper
- YKK metal silver two-prongtack donut button
- Stitched with poly core cotton thread
- Made at Lisama, Portugal</v>
      </c>
      <c r="F187" s="11" t="str">
        <f>IFERROR(__xludf.DUMMYFUNCTION("""COMPUTED_VALUE"""),"Made from a super soft and comfortable fabric, perfect for all seasons. A wardrobe staple enduring beyond trends.")</f>
        <v>Made from a super soft and comfortable fabric, perfect for all seasons. A wardrobe staple enduring beyond trends.</v>
      </c>
      <c r="G187" s="11"/>
      <c r="H187" s="11"/>
      <c r="I187" s="11"/>
    </row>
    <row r="188">
      <c r="A188" s="11" t="str">
        <f>IFERROR(__xludf.DUMMYFUNCTION("""COMPUTED_VALUE"""),"Livid Men")</f>
        <v>Livid Men</v>
      </c>
      <c r="B188" s="11" t="str">
        <f>IFERROR(__xludf.DUMMYFUNCTION("""COMPUTED_VALUE"""),"Trouser")</f>
        <v>Trouser</v>
      </c>
      <c r="C188" s="11" t="str">
        <f>IFERROR(__xludf.DUMMYFUNCTION("""COMPUTED_VALUE"""),"jone-japan-trouser-olive")</f>
        <v>jone-japan-trouser-olive</v>
      </c>
      <c r="D188" s="11" t="str">
        <f>IFERROR(__xludf.DUMMYFUNCTION("""COMPUTED_VALUE"""),"Jone Trouser Japan Olive")</f>
        <v>Jone Trouser Japan Olive</v>
      </c>
      <c r="E188" s="11"/>
      <c r="F188" s="11"/>
      <c r="G188" s="11"/>
      <c r="H188" s="11"/>
      <c r="I188" s="11"/>
    </row>
    <row r="189">
      <c r="A189" s="11" t="str">
        <f>IFERROR(__xludf.DUMMYFUNCTION("""COMPUTED_VALUE"""),"Livid Men")</f>
        <v>Livid Men</v>
      </c>
      <c r="B189" s="11" t="str">
        <f>IFERROR(__xludf.DUMMYFUNCTION("""COMPUTED_VALUE"""),"Trouser")</f>
        <v>Trouser</v>
      </c>
      <c r="C189" s="11" t="str">
        <f>IFERROR(__xludf.DUMMYFUNCTION("""COMPUTED_VALUE"""),"jone-japan-trouser-stone")</f>
        <v>jone-japan-trouser-stone</v>
      </c>
      <c r="D189" s="11" t="str">
        <f>IFERROR(__xludf.DUMMYFUNCTION("""COMPUTED_VALUE"""),"Jone Trouser Japan Stone")</f>
        <v>Jone Trouser Japan Stone</v>
      </c>
      <c r="E189" s="11" t="str">
        <f>IFERROR(__xludf.DUMMYFUNCTION("""COMPUTED_VALUE"""),"Made in Portugal 
The Jone Trouser. Made from a super soft and comfortable 9,8 Oz wideloom fabric woven at the renowned Japanese mill, Kuroki. This particular fabric features a unique double weave construction where the face of the fabric is a 3x1 twill "&amp;"weave and the backside of the fabric is a 1x1 plain weave. A wardrobe staple perfect for all seasons regardless of seasonal and short-term trends.
Made in a slightly adjusted, Jone Slim.
Details &amp; Features
- Garment dye
- 9,8 Oz wideloom cloth woven by "&amp;"Kuroki, Japan
- Double weave construction
- 98% cotton / 2% polyurethane
- 5 Oz ecru canvas pocketing
- Welted rear and back pockets
- YKK zip fly with metal silver zipper
- YKK metal silver two-prongtack donut button
- Stitched with poly core cotton thre"&amp;"ad
- Made at Lisama, Portugal")</f>
        <v>Made in Portugal 
The Jone Trouser. Made from a super soft and comfortable 9,8 Oz wideloom fabric woven at the renowned Japanese mill, Kuroki. This particular fabric features a unique double weave construction where the face of the fabric is a 3x1 twill weave and the backside of the fabric is a 1x1 plain weave. A wardrobe staple perfect for all seasons regardless of seasonal and short-term trends.
Made in a slightly adjusted, Jone Slim.
Details &amp; Features
- Garment dye
- 9,8 Oz wideloom cloth woven by Kuroki, Japan
- Double weave construction
- 98% cotton / 2% polyurethane
- 5 Oz ecru canvas pocketing
- Welted rear and back pockets
- YKK zip fly with metal silver zipper
- YKK metal silver two-prongtack donut button
- Stitched with poly core cotton thread
- Made at Lisama, Portugal</v>
      </c>
      <c r="F189" s="11" t="str">
        <f>IFERROR(__xludf.DUMMYFUNCTION("""COMPUTED_VALUE"""),"Made from a soft and comfortable wideloom fabric with a unique double weave, featuring a twill weave on the front and a plain weave on the back.")</f>
        <v>Made from a soft and comfortable wideloom fabric with a unique double weave, featuring a twill weave on the front and a plain weave on the back.</v>
      </c>
      <c r="G189" s="11"/>
      <c r="H189" s="11" t="str">
        <f>IFERROR(__xludf.DUMMYFUNCTION("""COMPUTED_VALUE"""),"jone-japan-indigo, jone-japan-black, jone-japan-blue-1, jone-13-oz-japan-dry-selvage")</f>
        <v>jone-japan-indigo, jone-japan-black, jone-japan-blue-1, jone-13-oz-japan-dry-selvage</v>
      </c>
      <c r="I189" s="11"/>
    </row>
    <row r="190">
      <c r="A190" s="11" t="str">
        <f>IFERROR(__xludf.DUMMYFUNCTION("""COMPUTED_VALUE"""),"Livid Men")</f>
        <v>Livid Men</v>
      </c>
      <c r="B190" s="11" t="str">
        <f>IFERROR(__xludf.DUMMYFUNCTION("""COMPUTED_VALUE"""),"Jeans")</f>
        <v>Jeans</v>
      </c>
      <c r="C190" s="11" t="str">
        <f>IFERROR(__xludf.DUMMYFUNCTION("""COMPUTED_VALUE"""),"kai-japan-black")</f>
        <v>kai-japan-black</v>
      </c>
      <c r="D190" s="11" t="str">
        <f>IFERROR(__xludf.DUMMYFUNCTION("""COMPUTED_VALUE"""),"Kai Japan Black")</f>
        <v>Kai Japan Black</v>
      </c>
      <c r="E190" s="11" t="str">
        <f>IFERROR(__xludf.DUMMYFUNCTION("""COMPUTED_VALUE"""),"Made in Portugal
Introducing our new relaxed tapered fit, Kai! High rised, fitting precicely and narrow in the waist, and curved into the lower back. Fans of our Barnes wide will appreciate the spacious thigh, before it taperes down to a slimmer leg open"&amp;"ing. The result is a fit that meets the needs of many. On slimmer and average legs, Kai fits precicely in the waist, with a relaxed tapered fit, but Kai is also perfect for the athletic build that needs more room in the thigh and seat with a high and narr"&amp;"ow waistband. On the latter body type, Kai will follow the leg naturally from the waist all the down.
Kai Japan Black is made from a 13 Oz 100% cotton, black wideloom denim woven by the renowned Japanese fabric mill, Kuroki. While all black denim will lo"&amp;"se colour eventually, this particular denim fades in contrast after wear, evolving a beautiful personal pattern. This is due a special technique called rope dye, whereas the yarns are dipped in short intervals between oxidation. This prevents the colour f"&amp;"rom completely penetrating the core of the fibres, leaving it fresh, natural and untouched. When the layers of black colour wears off the surface of the yarns, the natural coloured cotton core will appear, leaving a contrast fade throughout the jeans.
Ma"&amp;"de in a one-wash finish to increase softness of touch.
Available sizes are 28-36 in 32” inseam and 31-40 in 34” inseam.")</f>
        <v>Made in Portugal
Introducing our new relaxed tapered fit, Kai! High rised, fitting precicely and narrow in the waist, and curved into the lower back. Fans of our Barnes wide will appreciate the spacious thigh, before it taperes down to a slimmer leg opening. The result is a fit that meets the needs of many. On slimmer and average legs, Kai fits precicely in the waist, with a relaxed tapered fit, but Kai is also perfect for the athletic build that needs more room in the thigh and seat with a high and narrow waistband. On the latter body type, Kai will follow the leg naturally from the waist all the down.
Kai Japan Black is made from a 13 Oz 100% cotton, black wideloom denim woven by the renowned Japanese fabric mill, Kuroki. While all black denim will lose colour eventually, this particular denim fades in contrast after wear, evolving a beautiful personal pattern. This is due a special technique called rope dye, whereas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Made in a one-wash finish to increase softness of touch.
Available sizes are 28-36 in 32” inseam and 31-40 in 34” inseam.</v>
      </c>
      <c r="F190" s="11" t="str">
        <f>IFERROR(__xludf.DUMMYFUNCTION("""COMPUTED_VALUE"""),"Introducing Kai, our new relaxed tapered fit. High-rise, fitting precisely in the waist, and curved into the lower back. Perfect for many, with a spacious thigh and slimmer leg opening. Ideal for both slimmer and athletic builds.")</f>
        <v>Introducing Kai, our new relaxed tapered fit. High-rise, fitting precisely in the waist, and curved into the lower back. Perfect for many, with a spacious thigh and slimmer leg opening. Ideal for both slimmer and athletic builds.</v>
      </c>
      <c r="G190" s="11" t="str">
        <f>IFERROR(__xludf.DUMMYFUNCTION("""COMPUTED_VALUE"""),"- 13 Oz wideloom denim from Kuroki, Japan
- One wash to increase softness
- 100% Sanforized cotton
- Warp &amp; Weft sulphur dyed black
- 8 Oz 5 Oz ecru canvas pocketing
- Black leather patch w/ wax treatment, Made in Italy.
- YKK two-prongtack, silver button"&amp;" and zip fly
- YKK solid copper washed-burr rivets
- Stitched with poly core cotton thread
- Made at Lisama, Portugal")</f>
        <v>- 13 Oz wideloom denim from Kuroki, Japan
- One wash to increase softness
- 100% Sanforized cotton
- Warp &amp; Weft sulphur dyed black
- 8 Oz 5 Oz ecru canvas pocketing
- Black leather patch w/ wax treatment, Made in Italy.
- YKK two-prongtack, silver button and zip fly
- YKK solid copper washed-burr rivets
- Stitched with poly core cotton thread
- Made at Lisama, Portugal</v>
      </c>
      <c r="H190" s="11" t="str">
        <f>IFERROR(__xludf.DUMMYFUNCTION("""COMPUTED_VALUE"""),"kai-japan-shadow, kai-japan-dawn, kai-japan-new-blue")</f>
        <v>kai-japan-shadow, kai-japan-dawn, kai-japan-new-blue</v>
      </c>
      <c r="I190" s="11"/>
    </row>
    <row r="191">
      <c r="A191" s="11" t="str">
        <f>IFERROR(__xludf.DUMMYFUNCTION("""COMPUTED_VALUE"""),"Livid Men")</f>
        <v>Livid Men</v>
      </c>
      <c r="B191" s="11" t="str">
        <f>IFERROR(__xludf.DUMMYFUNCTION("""COMPUTED_VALUE"""),"Jeans")</f>
        <v>Jeans</v>
      </c>
      <c r="C191" s="11" t="str">
        <f>IFERROR(__xludf.DUMMYFUNCTION("""COMPUTED_VALUE"""),"kai-japan-dawn")</f>
        <v>kai-japan-dawn</v>
      </c>
      <c r="D191" s="11" t="str">
        <f>IFERROR(__xludf.DUMMYFUNCTION("""COMPUTED_VALUE"""),"Kai Japan Dawn")</f>
        <v>Kai Japan Dawn</v>
      </c>
      <c r="E191" s="11" t="str">
        <f>IFERROR(__xludf.DUMMYFUNCTION("""COMPUTED_VALUE"""),"Made in Portugal
Introducing our new relaxed tapered fit, Kai! High rised, fitting precicely and narrow in the waist, and curved into the lower back. Fans of our Barnes wide will
appreciate the spacious thigh, before it taperes down to a slimmer leg open"&amp;"ing. The result is a fit that meets the needs of many. On slimmer
and average legs, Kai fits precicely in the waist, with a relaxed tapered fit, but Kai is also perfect for the athletic build that needs more room in the thigh and seat with a high and narr"&amp;"ow waistband. On the latter body type, Kai will follow the leg naturally from the waist all the down.
The Japan Dawn. Our mid-blue wash made in a solid 13 Oz 100% cotton denim from the renowned Japanese denim mill Kuroki. Soft to the touch, the Japan Daw"&amp;"n reveals an incredible depth of colour and wonderful texture, due to the long-fibred indigo rope-dyed yarns of the fabric. Not too light, and not too dark, the Japan Dawn strikes the perfect balance for your everyday mid-blue needs. A definite essential."&amp;"
Available sizes are 28-36 in 32” inseam and 31-40 in 34” inseam.")</f>
        <v>Made in Portugal
Introducing our new relaxed tapered fit, Kai! High rised, fitting precicely and narrow in the waist, and curved into the lower back. Fans of our Barnes wide will
appreciate the spacious thigh, before it taperes down to a slimmer leg opening. The result is a fit that meets the needs of many. On slimmer
and average legs, Kai fits precicely in the waist, with a relaxed tapered fit, but Kai is also perfect for the athletic build that needs more room in the thigh and seat with a high and narrow waistband. On the latter body type, Kai will follow the leg naturally from the waist all the down.
The Japan Dawn. Our mid-blue wash made in a solid 13 Oz 100% cotton denim from the renowned Japanese denim mill Kuroki. Soft to the touch, the Japan Dawn reveals an incredible depth of colour and wonderful texture, due to the long-fibred indigo rope-dyed yarns of the fabric. Not too light, and not too dark, the Japan Dawn strikes the perfect balance for your everyday mid-blue needs. A definite essential.
Available sizes are 28-36 in 32” inseam and 31-40 in 34” inseam.</v>
      </c>
      <c r="F191" s="11" t="str">
        <f>IFERROR(__xludf.DUMMYFUNCTION("""COMPUTED_VALUE"""),"High rised, fitting narrow in the waist and curved into the lower back. Spacious thigh before tapering down to a slimmer leg opening. Perfect for many needs.")</f>
        <v>High rised, fitting narrow in the waist and curved into the lower back. Spacious thigh before tapering down to a slimmer leg opening. Perfect for many needs.</v>
      </c>
      <c r="G191" s="11" t="str">
        <f>IFERROR(__xludf.DUMMYFUNCTION("""COMPUTED_VALUE"""),"- Mid-blue washed rope-dyed indigo denim
- 13 Oz wideloom denim from Kuroki, Japan
- 100% Sanforized cotton
- Warp dyed in indigo, natural coloured weft
- 8 Oz ecru canvas pocketing
- Tanned leather patch w/ wax treatment, Made in Italy.
- YKK two-prongta"&amp;"ck, silver button fly
- YKK solid copper washed-burr rivets
- Stitched with poly core cotton thread
- Made at Lisama, Portugal")</f>
        <v>- Mid-blue washed rope-dyed indigo denim
- 13 Oz wideloom denim from Kuroki, Japan
- 100% Sanforized cotton
- Warp dyed in indigo, natural coloured weft
- 8 Oz ecru canvas pocketing
- Tanned leather patch w/ wax treatment, Made in Italy.
- YKK two-prongtack, silver button fly
- YKK solid copper washed-burr rivets
- Stitched with poly core cotton thread
- Made at Lisama, Portugal</v>
      </c>
      <c r="H191" s="11" t="str">
        <f>IFERROR(__xludf.DUMMYFUNCTION("""COMPUTED_VALUE"""),"kai-japan-black, kai-japan-shadow, kai-japan-new-blue")</f>
        <v>kai-japan-black, kai-japan-shadow, kai-japan-new-blue</v>
      </c>
      <c r="I191" s="11"/>
    </row>
    <row r="192">
      <c r="A192" s="11" t="str">
        <f>IFERROR(__xludf.DUMMYFUNCTION("""COMPUTED_VALUE"""),"Livid Men")</f>
        <v>Livid Men</v>
      </c>
      <c r="B192" s="11" t="str">
        <f>IFERROR(__xludf.DUMMYFUNCTION("""COMPUTED_VALUE"""),"Jeans")</f>
        <v>Jeans</v>
      </c>
      <c r="C192" s="11" t="str">
        <f>IFERROR(__xludf.DUMMYFUNCTION("""COMPUTED_VALUE"""),"kai-japan-fade")</f>
        <v>kai-japan-fade</v>
      </c>
      <c r="D192" s="11" t="str">
        <f>IFERROR(__xludf.DUMMYFUNCTION("""COMPUTED_VALUE"""),"Kai Japan Fade")</f>
        <v>Kai Japan Fade</v>
      </c>
      <c r="E192" s="11" t="str">
        <f>IFERROR(__xludf.DUMMYFUNCTION("""COMPUTED_VALUE"""),"Made in Portugal
Kai, our relaxed tapered fit. High rised, fitting precicely and narrow in the waist, and curved into the lower back. Fans of our Barnes wide will appreciate the spacious thigh, before it taperes down to a slimmer leg opening. The result "&amp;"is a fit that meets the needs of many. On slimmer and average legs, Kai fits precicely in the waist, with a relaxed tapered fit, but Kai is also perfect for the athletic build that needs more room in the thigh and seat with a high and narrow waistband. On"&amp;" the latter body type, Kai will follow the leg naturally from the waist all the down.
The Japan Fade. Our light wash made in a solid 13 Oz 100% cotton denim from the renowned Japanese denim mill Kuroki. Soft to the touch, the Japan Fade has the light loo"&amp;"k of well worn in denim, with a wonderful depth of texture due to the long-fibred indigo rope-dyed yarns of the fabric. A definite essential.
Details &amp; Features
- Light washed rope-dyed indigo denim
- 13 Oz wideloom denim from Kuroki, Japan
- 100% Sanfor"&amp;"ized cotton
- Warp dyed in indigo, natural coloured weft
- 8 Oz ecru canvas pocketing
- Tanned leather patch w/ wax treatment, Made in Italy.
- YKK two-prongtack, silver button fly
- YKK solid copper washed-burr rivets
- Stitched with poly core cotton thr"&amp;"ead
- Made at Lisama, Portugal
Model is 183 cm and wears a size 32/32.
Available sizes are 28-36 in 32” inseam and 30-40 in 34” inseam.")</f>
        <v>Made in Portugal
Kai, our relaxed tapered fit. High rised, fitting precicely and narrow in the waist, and curved into the lower back. Fans of our Barnes wide will appreciate the spacious thigh, before it taperes down to a slimmer leg opening. The result is a fit that meets the needs of many. On slimmer and average legs, Kai fits precicely in the waist, with a relaxed tapered fit, but Kai is also perfect for the athletic build that needs more room in the thigh and seat with a high and narrow waistband. On the latter body type, Kai will follow the leg naturally from the waist all the down.
The Japan Fade. Our light wash made in a solid 13 Oz 100% cotton denim from the renowned Japanese denim mill Kuroki. Soft to the touch, the Japan Fade has the light look of well worn in denim, with a wonderful depth of texture due to the long-fibred indigo rope-dyed yarns of the fabric. A definite essential.
Details &amp; Features
- Light washed rope-dyed indigo denim
- 13 Oz wideloom denim from Kuroki, Japan
- 100% Sanforized cotton
- Warp dyed in indigo, natural coloured weft
- 8 Oz ecru canvas pocketing
- Tanned leather patch w/ wax treatment, Made in Italy.
- YKK two-prongtack, silver button fly
- YKK solid copper washed-burr rivets
- Stitched with poly core cotton thread
- Made at Lisama, Portugal
Model is 183 cm and wears a size 32/32.
Available sizes are 28-36 in 32” inseam and 30-40 in 34” inseam.</v>
      </c>
      <c r="F192" s="11" t="str">
        <f>IFERROR(__xludf.DUMMYFUNCTION("""COMPUTED_VALUE"""),"Kai, our relaxed tapered fit, is high-rised and narrow in the waist, curving into the lower back. Fans will appreciate the spacious thigh before it tapers down to a slimmer leg opening.")</f>
        <v>Kai, our relaxed tapered fit, is high-rised and narrow in the waist, curving into the lower back. Fans will appreciate the spacious thigh before it tapers down to a slimmer leg opening.</v>
      </c>
      <c r="G192" s="11"/>
      <c r="H192" s="11" t="str">
        <f>IFERROR(__xludf.DUMMYFUNCTION("""COMPUTED_VALUE"""),"kai-japan-dawn, kai-japan-new-blue, kai-japan-shadow, kai-japan-black, kai-15-5-oz-japan-dry-selvage")</f>
        <v>kai-japan-dawn, kai-japan-new-blue, kai-japan-shadow, kai-japan-black, kai-15-5-oz-japan-dry-selvage</v>
      </c>
      <c r="I192" s="11"/>
    </row>
    <row r="193">
      <c r="A193" s="11" t="str">
        <f>IFERROR(__xludf.DUMMYFUNCTION("""COMPUTED_VALUE"""),"Livid Men")</f>
        <v>Livid Men</v>
      </c>
      <c r="B193" s="11" t="str">
        <f>IFERROR(__xludf.DUMMYFUNCTION("""COMPUTED_VALUE"""),"Jeans")</f>
        <v>Jeans</v>
      </c>
      <c r="C193" s="11" t="str">
        <f>IFERROR(__xludf.DUMMYFUNCTION("""COMPUTED_VALUE"""),"kai-japan-new-blue")</f>
        <v>kai-japan-new-blue</v>
      </c>
      <c r="D193" s="11" t="str">
        <f>IFERROR(__xludf.DUMMYFUNCTION("""COMPUTED_VALUE"""),"Kai Japan New Blue")</f>
        <v>Kai Japan New Blue</v>
      </c>
      <c r="E193" s="11" t="str">
        <f>IFERROR(__xludf.DUMMYFUNCTION("""COMPUTED_VALUE"""),"Made in Portugal
Kai. High rised, fitting precicely and narrow in the waist, and curved into the lower back. Fans of our Barnes wide will appreciate the spacious thigh, before it taperes down to a slimmer leg opening. 
The result is a fit that meets the"&amp;" needs of many. On slimmer and average legs, Kai fits precicely in the waist, with a relaxed tapered fit, but Kai is also perfect for the athletic build that needs more room in the thigh and seat with a high and narrow waistband. On the latter body type, "&amp;"Kai will follow the leg naturally from the waist all the down.
In our worn-in blue wash, Japan New Blue. Made in a solid 13 Oz 100% cotton denim from the renowned Japanese denim mill Kuroki. Soft to the touch, the New Blue reveals an incredible depth of "&amp;"colour and wonderful texture, due to the long-fibred indigo rope-dyed yarns of the fabric. Washed with subtle whiskering an fadings to give that perfect light mid-blue worn-in look. A definite essential.")</f>
        <v>Made in Portugal
Kai. High rised, fitting precicely and narrow in the waist, and curved into the lower back. Fans of our Barnes wide will appreciate the spacious thigh, before it taperes down to a slimmer leg opening. 
The result is a fit that meets the needs of many. On slimmer and average legs, Kai fits precicely in the waist, with a relaxed tapered fit, but Kai is also perfect for the athletic build that needs more room in the thigh and seat with a high and narrow waistband. On the latter body type, Kai will follow the leg naturally from the waist all the down.
In our worn-in blue wash, Japan New Blue. Made in a solid 13 Oz 100% cotton denim from the renowned Japanese denim mill Kuroki. Soft to the touch, the New Blue reveals an incredible depth of colour and wonderful texture, due to the long-fibred indigo rope-dyed yarns of the fabric. Washed with subtle whiskering an fadings to give that perfect light mid-blue worn-in look. A definite essential.</v>
      </c>
      <c r="F193" s="11" t="str">
        <f>IFERROR(__xludf.DUMMYFUNCTION("""COMPUTED_VALUE"""),"Kai, our relaxed tapered fit. In our worn-in blue wash, Japan New Blue.")</f>
        <v>Kai, our relaxed tapered fit. In our worn-in blue wash, Japan New Blue.</v>
      </c>
      <c r="G193" s="11" t="str">
        <f>IFERROR(__xludf.DUMMYFUNCTION("""COMPUTED_VALUE"""),"- Light blue washed rope-dyed indigo denim
- 13 Oz wideloom denim from Kuroki, Japan
- 100% Sanforized cotton
- Warp dyed in indigo, natural coloured weft
- 8 Oz ecru canvas pocketing
- Tanned leather patch w/ wax treatment, Made in Italy.
- YKK two-prong"&amp;" silver button fly
- YKK solid copper rivets
- Stitched with durable poly core cotton thread
- Made at Lisama, Portugal")</f>
        <v>- Light blue washed rope-dyed indigo denim
- 13 Oz wideloom denim from Kuroki, Japan
- 100% Sanforized cotton
- Warp dyed in indigo, natural coloured weft
- 8 Oz ecru canvas pocketing
- Tanned leather patch w/ wax treatment, Made in Italy.
- YKK two-prong silver button fly
- YKK solid copper rivets
- Stitched with durable poly core cotton thread
- Made at Lisama, Portugal</v>
      </c>
      <c r="H193" s="11" t="str">
        <f>IFERROR(__xludf.DUMMYFUNCTION("""COMPUTED_VALUE"""),"kai-japan-black, kai-japan-shadow, kai-japan-dawn")</f>
        <v>kai-japan-black, kai-japan-shadow, kai-japan-dawn</v>
      </c>
      <c r="I193" s="11"/>
    </row>
    <row r="194">
      <c r="A194" s="11" t="str">
        <f>IFERROR(__xludf.DUMMYFUNCTION("""COMPUTED_VALUE"""),"Livid men")</f>
        <v>Livid men</v>
      </c>
      <c r="B194" s="11" t="str">
        <f>IFERROR(__xludf.DUMMYFUNCTION("""COMPUTED_VALUE"""),"Jeans")</f>
        <v>Jeans</v>
      </c>
      <c r="C194" s="11" t="str">
        <f>IFERROR(__xludf.DUMMYFUNCTION("""COMPUTED_VALUE"""),"kai-japan-shadow")</f>
        <v>kai-japan-shadow</v>
      </c>
      <c r="D194" s="11" t="str">
        <f>IFERROR(__xludf.DUMMYFUNCTION("""COMPUTED_VALUE"""),"Kai Japan Shadow")</f>
        <v>Kai Japan Shadow</v>
      </c>
      <c r="E194" s="11" t="str">
        <f>IFERROR(__xludf.DUMMYFUNCTION("""COMPUTED_VALUE"""),"Made in Portugal
Kai, our relaxed tapered fit. High rised, fitting precicely and narrow in the waist, and curved into the lower back. Fans of our Barnes wide will appreciate the spacious thigh, before it taperes down to a slimmer leg opening. The result "&amp;"is a fit that meets the needs of many. On slimmer and average legs, Kai fits precicely in the waist, with a relaxed tapered fit, but Kai is also perfect for the athletic build that needs more room in the thigh and seat with a high and narrow waistband. On"&amp;" the latter body type, Kai will follow the leg naturally from the waist all the down.
Kai Japan Shadow is made from a 13 Oz 100% cotton, black wideloom denim woven by the renowned Japanese fabric mill, Kuroki. Washed down to a lived-in look. The Japan Sh"&amp;"adow achieves a subtle depth and texture to the greying black, thanks to the special dyeing technique called rope dye, where the yarns are dipped in short intervals between oxidation. This prevents the colour from completely penetrating the core of the fi"&amp;"bres, leaving it fresh, natural and untouched. When the layers of black colour wears off the surface of the yarns, the natural coloured cotton core will appear, leaving a contrast fade throughout the jeans.")</f>
        <v>Made in Portugal
Kai, our relaxed tapered fit. High rised, fitting precicely and narrow in the waist, and curved into the lower back. Fans of our Barnes wide will appreciate the spacious thigh, before it taperes down to a slimmer leg opening. The result is a fit that meets the needs of many. On slimmer and average legs, Kai fits precicely in the waist, with a relaxed tapered fit, but Kai is also perfect for the athletic build that needs more room in the thigh and seat with a high and narrow waistband. On the latter body type, Kai will follow the leg naturally from the waist all the down.
Kai Japan Shadow is made from a 13 Oz 100% cotton, black wideloom denim woven by the renowned Japanese fabric mill, Kuroki. Washed down to a lived-in look. The Japan Shadow achieves a subtle depth and texture to the greying black, thanks to the special dyeing technique called rope dye, where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v>
      </c>
      <c r="F194" s="11" t="str">
        <f>IFERROR(__xludf.DUMMYFUNCTION("""COMPUTED_VALUE"""),"Kai, our relaxed tapered fit. In our washed black finish, Japan Shadow.")</f>
        <v>Kai, our relaxed tapered fit. In our washed black finish, Japan Shadow.</v>
      </c>
      <c r="G194" s="11" t="str">
        <f>IFERROR(__xludf.DUMMYFUNCTION("""COMPUTED_VALUE"""),"- 13 Oz wideloom denim from Kuroki, Japan
- 100% Sanforized cotton
- Warp &amp; Weft sulphur dyed black
- 8 Oz 5 Oz ecru canvas pocketing
- Black leather patch w/ wax treatment, Made in Italy.
- YKK two-prong silver button fly
- YKK solid copper washed-burr r"&amp;"ivets
- Stitched with poly core cotton thread
- Made at Lisama, Portugal")</f>
        <v>- 13 Oz wideloom denim from Kuroki, Japan
- 100% Sanforized cotton
- Warp &amp; Weft sulphur dyed black
- 8 Oz 5 Oz ecru canvas pocketing
- Black leather patch w/ wax treatment, Made in Italy.
- YKK two-prong silver button fly
- YKK solid copper washed-burr rivets
- Stitched with poly core cotton thread
- Made at Lisama, Portugal</v>
      </c>
      <c r="H194" s="11" t="str">
        <f>IFERROR(__xludf.DUMMYFUNCTION("""COMPUTED_VALUE"""),"kai-japan-dawn, kai-japan-new-blue, kai-japan-fade, kai-japan-black")</f>
        <v>kai-japan-dawn, kai-japan-new-blue, kai-japan-fade, kai-japan-black</v>
      </c>
      <c r="I194" s="11" t="str">
        <f>IFERROR(__xludf.DUMMYFUNCTION("""COMPUTED_VALUE"""),"star-master-white")</f>
        <v>star-master-white</v>
      </c>
    </row>
    <row r="195">
      <c r="A195" s="11" t="str">
        <f>IFERROR(__xludf.DUMMYFUNCTION("""COMPUTED_VALUE"""),"Livid men")</f>
        <v>Livid men</v>
      </c>
      <c r="B195" s="11" t="str">
        <f>IFERROR(__xludf.DUMMYFUNCTION("""COMPUTED_VALUE"""),"Shirt")</f>
        <v>Shirt</v>
      </c>
      <c r="C195" s="11" t="str">
        <f>IFERROR(__xludf.DUMMYFUNCTION("""COMPUTED_VALUE"""),"kalum-japan-slate")</f>
        <v>kalum-japan-slate</v>
      </c>
      <c r="D195" s="11" t="str">
        <f>IFERROR(__xludf.DUMMYFUNCTION("""COMPUTED_VALUE"""),"Kalum Japan Slate")</f>
        <v>Kalum Japan Slate</v>
      </c>
      <c r="E195" s="11"/>
      <c r="F195" s="11"/>
      <c r="G195" s="11"/>
      <c r="H195" s="11"/>
      <c r="I195" s="11"/>
    </row>
    <row r="196">
      <c r="A196" s="11" t="str">
        <f>IFERROR(__xludf.DUMMYFUNCTION("""COMPUTED_VALUE"""),"Livid men")</f>
        <v>Livid men</v>
      </c>
      <c r="B196" s="11" t="str">
        <f>IFERROR(__xludf.DUMMYFUNCTION("""COMPUTED_VALUE"""),"Jersey")</f>
        <v>Jersey</v>
      </c>
      <c r="C196" s="11" t="str">
        <f>IFERROR(__xludf.DUMMYFUNCTION("""COMPUTED_VALUE"""),"kavon-mizzi-moss")</f>
        <v>kavon-mizzi-moss</v>
      </c>
      <c r="D196" s="11" t="str">
        <f>IFERROR(__xludf.DUMMYFUNCTION("""COMPUTED_VALUE"""),"Kavon Mizzi Moss")</f>
        <v>Kavon Mizzi Moss</v>
      </c>
      <c r="E196" s="11"/>
      <c r="F196" s="11"/>
      <c r="G196" s="11"/>
      <c r="H196" s="11"/>
      <c r="I196" s="11"/>
    </row>
    <row r="197">
      <c r="A197" s="11" t="str">
        <f>IFERROR(__xludf.DUMMYFUNCTION("""COMPUTED_VALUE"""),"Livid men")</f>
        <v>Livid men</v>
      </c>
      <c r="B197" s="11" t="str">
        <f>IFERROR(__xludf.DUMMYFUNCTION("""COMPUTED_VALUE"""),"T-Shirt")</f>
        <v>T-Shirt</v>
      </c>
      <c r="C197" s="11" t="str">
        <f>IFERROR(__xludf.DUMMYFUNCTION("""COMPUTED_VALUE"""),"kavon-mysterioso-violet-stripe")</f>
        <v>kavon-mysterioso-violet-stripe</v>
      </c>
      <c r="D197" s="11" t="str">
        <f>IFERROR(__xludf.DUMMYFUNCTION("""COMPUTED_VALUE"""),"Kavon Mysterioso Violet Stripe")</f>
        <v>Kavon Mysterioso Violet Stripe</v>
      </c>
      <c r="E197" s="11" t="str">
        <f>IFERROR(__xludf.DUMMYFUNCTION("""COMPUTED_VALUE"""),"Made in Portugal
Kavon features a wider, shorter body for a loose box-fit, but sits more dialed in at the shoulders and upper chest compared to an ovesized fit. Made with long straight sleeves.
Made in our signature 6.5 Oz heavyweight 100% cotton jersey"&amp;" exclusively made for Livid in Portugal, with a knitted stripe design.")</f>
        <v>Made in Portugal
Kavon features a wider, shorter body for a loose box-fit, but sits more dialed in at the shoulders and upper chest compared to an ovesized fit. Made with long straight sleeves.
Made in our signature 6.5 Oz heavyweight 100% cotton jersey exclusively made for Livid in Portugal, with a knitted stripe design.</v>
      </c>
      <c r="F197" s="11" t="str">
        <f>IFERROR(__xludf.DUMMYFUNCTION("""COMPUTED_VALUE"""),"Our box-fit longsleeve, Kavon.")</f>
        <v>Our box-fit longsleeve, Kavon.</v>
      </c>
      <c r="G197" s="11" t="str">
        <f>IFERROR(__xludf.DUMMYFUNCTION("""COMPUTED_VALUE"""),"- 100% cotton
- 220 gsm pre-shrunk jersey, knitted by Etevimol in Portugal
- Livid embroidery at chest
- Fine rib collar
- Sewn with durable poly core cotton thread
- Made at Texgoios in Portugal")</f>
        <v>- 100% cotton
- 220 gsm pre-shrunk jersey, knitted by Etevimol in Portugal
- Livid embroidery at chest
- Fine rib collar
- Sewn with durable poly core cotton thread
- Made at Texgoios in Portugal</v>
      </c>
      <c r="H197" s="11" t="str">
        <f>IFERROR(__xludf.DUMMYFUNCTION("""COMPUTED_VALUE"""),"kavon-shadow")</f>
        <v>kavon-shadow</v>
      </c>
      <c r="I197" s="11" t="str">
        <f>IFERROR(__xludf.DUMMYFUNCTION("""COMPUTED_VALUE"""),"keri-japan-black")</f>
        <v>keri-japan-black</v>
      </c>
    </row>
    <row r="198">
      <c r="A198" s="11" t="str">
        <f>IFERROR(__xludf.DUMMYFUNCTION("""COMPUTED_VALUE"""),"Livid men")</f>
        <v>Livid men</v>
      </c>
      <c r="B198" s="11" t="str">
        <f>IFERROR(__xludf.DUMMYFUNCTION("""COMPUTED_VALUE"""),"T-Shirt")</f>
        <v>T-Shirt</v>
      </c>
      <c r="C198" s="11" t="str">
        <f>IFERROR(__xludf.DUMMYFUNCTION("""COMPUTED_VALUE"""),"kavon-shadow")</f>
        <v>kavon-shadow</v>
      </c>
      <c r="D198" s="11" t="str">
        <f>IFERROR(__xludf.DUMMYFUNCTION("""COMPUTED_VALUE"""),"Kavon Shadow")</f>
        <v>Kavon Shadow</v>
      </c>
      <c r="E198" s="11" t="str">
        <f>IFERROR(__xludf.DUMMYFUNCTION("""COMPUTED_VALUE"""),"Made in Portugal
Kavon features a wider, shorter body for a loose box-fit, but sits more dialed in at the shoulders and upper chest compared to an ovesized fit. Made with long straight sleeves.
Made in our signature 6.5 Oz heavyweight 100% cotton jersey"&amp;" exclusively made for Livid in Portugal.")</f>
        <v>Made in Portugal
Kavon features a wider, shorter body for a loose box-fit, but sits more dialed in at the shoulders and upper chest compared to an ovesized fit. Made with long straight sleeves.
Made in our signature 6.5 Oz heavyweight 100% cotton jersey exclusively made for Livid in Portugal.</v>
      </c>
      <c r="F198" s="11" t="str">
        <f>IFERROR(__xludf.DUMMYFUNCTION("""COMPUTED_VALUE"""),"Our box-fit longsleeve, Kavon.")</f>
        <v>Our box-fit longsleeve, Kavon.</v>
      </c>
      <c r="G198" s="11" t="str">
        <f>IFERROR(__xludf.DUMMYFUNCTION("""COMPUTED_VALUE"""),"- 100% cotton
- 220 gsm pre-shrunk jersey, knitted by Etevimol in Portugal
- Livid embroidery at chest
- Fine rib collar
- Sewn with durable poly core cotton thread
- Made at Texgoios in Portugal")</f>
        <v>- 100% cotton
- 220 gsm pre-shrunk jersey, knitted by Etevimol in Portugal
- Livid embroidery at chest
- Fine rib collar
- Sewn with durable poly core cotton thread
- Made at Texgoios in Portugal</v>
      </c>
      <c r="H198" s="11" t="str">
        <f>IFERROR(__xludf.DUMMYFUNCTION("""COMPUTED_VALUE"""),"kavon-mysterioso-violet-stripe")</f>
        <v>kavon-mysterioso-violet-stripe</v>
      </c>
      <c r="I198" s="11" t="str">
        <f>IFERROR(__xludf.DUMMYFUNCTION("""COMPUTED_VALUE"""),"burley-japan-era")</f>
        <v>burley-japan-era</v>
      </c>
    </row>
    <row r="199">
      <c r="A199" s="11" t="str">
        <f>IFERROR(__xludf.DUMMYFUNCTION("""COMPUTED_VALUE"""),"Livid men")</f>
        <v>Livid men</v>
      </c>
      <c r="B199" s="11" t="str">
        <f>IFERROR(__xludf.DUMMYFUNCTION("""COMPUTED_VALUE"""),"Jersey")</f>
        <v>Jersey</v>
      </c>
      <c r="C199" s="11" t="str">
        <f>IFERROR(__xludf.DUMMYFUNCTION("""COMPUTED_VALUE"""),"kavon-string-fadeout")</f>
        <v>kavon-string-fadeout</v>
      </c>
      <c r="D199" s="11" t="str">
        <f>IFERROR(__xludf.DUMMYFUNCTION("""COMPUTED_VALUE"""),"Kavon String Fadeout")</f>
        <v>Kavon String Fadeout</v>
      </c>
      <c r="E199" s="11"/>
      <c r="F199" s="11"/>
      <c r="G199" s="11"/>
      <c r="H199" s="11"/>
      <c r="I199" s="11"/>
    </row>
    <row r="200">
      <c r="A200" s="11" t="str">
        <f>IFERROR(__xludf.DUMMYFUNCTION("""COMPUTED_VALUE"""),"Livid men")</f>
        <v>Livid men</v>
      </c>
      <c r="B200" s="11" t="str">
        <f>IFERROR(__xludf.DUMMYFUNCTION("""COMPUTED_VALUE"""),"Jersey")</f>
        <v>Jersey</v>
      </c>
      <c r="C200" s="11" t="str">
        <f>IFERROR(__xludf.DUMMYFUNCTION("""COMPUTED_VALUE"""),"kavon-white")</f>
        <v>kavon-white</v>
      </c>
      <c r="D200" s="11" t="str">
        <f>IFERROR(__xludf.DUMMYFUNCTION("""COMPUTED_VALUE"""),"Kavon White")</f>
        <v>Kavon White</v>
      </c>
      <c r="E200" s="11"/>
      <c r="F200" s="11"/>
      <c r="G200" s="11"/>
      <c r="H200" s="11"/>
      <c r="I200" s="11"/>
    </row>
    <row r="201">
      <c r="A201" s="11" t="str">
        <f>IFERROR(__xludf.DUMMYFUNCTION("""COMPUTED_VALUE"""),"Livid men")</f>
        <v>Livid men</v>
      </c>
      <c r="B201" s="11" t="str">
        <f>IFERROR(__xludf.DUMMYFUNCTION("""COMPUTED_VALUE"""),"Leather Jacket")</f>
        <v>Leather Jacket</v>
      </c>
      <c r="C201" s="11" t="str">
        <f>IFERROR(__xludf.DUMMYFUNCTION("""COMPUTED_VALUE"""),"kayden-black")</f>
        <v>kayden-black</v>
      </c>
      <c r="D201" s="11" t="str">
        <f>IFERROR(__xludf.DUMMYFUNCTION("""COMPUTED_VALUE"""),"Kayden Black")</f>
        <v>Kayden Black</v>
      </c>
      <c r="E201" s="11" t="str">
        <f>IFERROR(__xludf.DUMMYFUNCTION("""COMPUTED_VALUE"""),"Made in Portugal
Kayden features a high collar and a generous fit allowing for heavy layering. The long sleeves can be worn long, or folded to a cuff. Finished with a full-length two-way metal zipper and hand warmer pockets at the hip. 
Made in a soft a"&amp;"nd supple deep black sheep shearling. This particular shearling is lightweight and soft, giving an elegant drape to the coat. 
Kayden is produced by our longtime partner Octa in Portugal. A small leather workshop with only four employees cutting and sewi"&amp;"ng the garments.
Designed to be unisex, the size XS/S is tuned in the shoulders and sleeves to fit smaller women's sizes.")</f>
        <v>Made in Portugal
Kayden features a high collar and a generous fit allowing for heavy layering. The long sleeves can be worn long, or folded to a cuff. Finished with a full-length two-way metal zipper and hand warmer pockets at the hip. 
Made in a soft and supple deep black sheep shearling. This particular shearling is lightweight and soft, giving an elegant drape to the coat. 
Kayden is produced by our longtime partner Octa in Portugal. A small leather workshop with only four employees cutting and sewing the garments.
Designed to be unisex, the size XS/S is tuned in the shoulders and sleeves to fit smaller women's sizes.</v>
      </c>
      <c r="F201" s="11" t="str">
        <f>IFERROR(__xludf.DUMMYFUNCTION("""COMPUTED_VALUE"""),"Kayden, our black shearling coat.")</f>
        <v>Kayden, our black shearling coat.</v>
      </c>
      <c r="G201" s="11" t="str">
        <f>IFERROR(__xludf.DUMMYFUNCTION("""COMPUTED_VALUE"""),"- Black Sheep Shearling, tanned in Portugal
- Full-length 2-way zipper, made by YKK in Portugal
- Hand-warmer pockets at hip
- Produced by Octa, Portugal")</f>
        <v>- Black Sheep Shearling, tanned in Portugal
- Full-length 2-way zipper, made by YKK in Portugal
- Hand-warmer pockets at hip
- Produced by Octa, Portugal</v>
      </c>
      <c r="H201" s="11"/>
      <c r="I201" s="11"/>
    </row>
    <row r="202">
      <c r="A202" s="11" t="str">
        <f>IFERROR(__xludf.DUMMYFUNCTION("""COMPUTED_VALUE"""),"Livid men")</f>
        <v>Livid men</v>
      </c>
      <c r="B202" s="11" t="str">
        <f>IFERROR(__xludf.DUMMYFUNCTION("""COMPUTED_VALUE"""),"Shirt")</f>
        <v>Shirt</v>
      </c>
      <c r="C202" s="11" t="str">
        <f>IFERROR(__xludf.DUMMYFUNCTION("""COMPUTED_VALUE"""),"keen-black-fine-silk")</f>
        <v>keen-black-fine-silk</v>
      </c>
      <c r="D202" s="11" t="str">
        <f>IFERROR(__xludf.DUMMYFUNCTION("""COMPUTED_VALUE"""),"Keen Black Fine Silk")</f>
        <v>Keen Black Fine Silk</v>
      </c>
      <c r="E202" s="11" t="str">
        <f>IFERROR(__xludf.DUMMYFUNCTION("""COMPUTED_VALUE"""),"Made in China
Our box-fit shirt, Keen. Made in a fine silk fabric exhibiting flowy drape and movement.
Garment dyed, giving the silk fabric a deep black, but softer colour than a yarn dye. Designed with a generous straight cut and intended for normal la"&amp;"yering. Featuring a box pleat at the back yoke, and a french placket with natural Mother of Pearl buttons.")</f>
        <v>Made in China
Our box-fit shirt, Keen. Made in a fine silk fabric exhibiting flowy drape and movement.
Garment dyed, giving the silk fabric a deep black, but softer colour than a yarn dye. Designed with a generous straight cut and intended for normal layering. Featuring a box pleat at the back yoke, and a french placket with natural Mother of Pearl buttons.</v>
      </c>
      <c r="F202" s="11" t="str">
        <f>IFERROR(__xludf.DUMMYFUNCTION("""COMPUTED_VALUE"""),"Our box-fit shirt Keen, in fine silk.")</f>
        <v>Our box-fit shirt Keen, in fine silk.</v>
      </c>
      <c r="G202" s="11" t="str">
        <f>IFERROR(__xludf.DUMMYFUNCTION("""COMPUTED_VALUE"""),"- 100% fine silk
- Woven by Jianxin Silk in China
- Real mother of pearl buttons
- Garment dyed
- Stitched with durable poly-core cotton thread
- Made at Yinmao in China")</f>
        <v>- 100% fine silk
- Woven by Jianxin Silk in China
- Real mother of pearl buttons
- Garment dyed
- Stitched with durable poly-core cotton thread
- Made at Yinmao in China</v>
      </c>
      <c r="H202" s="11" t="str">
        <f>IFERROR(__xludf.DUMMYFUNCTION("""COMPUTED_VALUE"""),"keen-grisalle-fine-silk, keen-oak-fine-silk")</f>
        <v>keen-grisalle-fine-silk, keen-oak-fine-silk</v>
      </c>
      <c r="I202" s="11" t="str">
        <f>IFERROR(__xludf.DUMMYFUNCTION("""COMPUTED_VALUE"""),"beth-japan-gravel, adonis-lis-noir")</f>
        <v>beth-japan-gravel, adonis-lis-noir</v>
      </c>
    </row>
    <row r="203">
      <c r="A203" s="11" t="str">
        <f>IFERROR(__xludf.DUMMYFUNCTION("""COMPUTED_VALUE"""),"Livid men")</f>
        <v>Livid men</v>
      </c>
      <c r="B203" s="11" t="str">
        <f>IFERROR(__xludf.DUMMYFUNCTION("""COMPUTED_VALUE"""),"Shirt")</f>
        <v>Shirt</v>
      </c>
      <c r="C203" s="11" t="str">
        <f>IFERROR(__xludf.DUMMYFUNCTION("""COMPUTED_VALUE"""),"keen-green-seersucker")</f>
        <v>keen-green-seersucker</v>
      </c>
      <c r="D203" s="11" t="str">
        <f>IFERROR(__xludf.DUMMYFUNCTION("""COMPUTED_VALUE"""),"Keen Green Seersucker")</f>
        <v>Keen Green Seersucker</v>
      </c>
      <c r="E203" s="11"/>
      <c r="F203" s="11"/>
      <c r="G203" s="11"/>
      <c r="H203" s="11"/>
      <c r="I203" s="11"/>
    </row>
    <row r="204">
      <c r="A204" s="11" t="str">
        <f>IFERROR(__xludf.DUMMYFUNCTION("""COMPUTED_VALUE"""),"Livid men")</f>
        <v>Livid men</v>
      </c>
      <c r="B204" s="11" t="str">
        <f>IFERROR(__xludf.DUMMYFUNCTION("""COMPUTED_VALUE"""),"Shirt")</f>
        <v>Shirt</v>
      </c>
      <c r="C204" s="11" t="str">
        <f>IFERROR(__xludf.DUMMYFUNCTION("""COMPUTED_VALUE"""),"keen-grisalle-fine-silk")</f>
        <v>keen-grisalle-fine-silk</v>
      </c>
      <c r="D204" s="11" t="str">
        <f>IFERROR(__xludf.DUMMYFUNCTION("""COMPUTED_VALUE"""),"Keen Grisalle Fine Silk")</f>
        <v>Keen Grisalle Fine Silk</v>
      </c>
      <c r="E204" s="11" t="str">
        <f>IFERROR(__xludf.DUMMYFUNCTION("""COMPUTED_VALUE"""),"Made in China
Our box-fit shirt, Keen. Made in a fine silk fabric exhibiting flowy drape and movement.
Garment dyed and washed down, giving the silk fabric a softer colour with a subtle variation and depth. Designed with a generous straight cut and inte"&amp;"nded for normal layering. Featuring a box pleat at the back yoke, and a french placket with natural Mother of Pearl buttons.")</f>
        <v>Made in China
Our box-fit shirt, Keen. Made in a fine silk fabric exhibiting flowy drape and movement.
Garment dyed and washed down, giving the silk fabric a softer colour with a subtle variation and depth. Designed with a generous straight cut and intended for normal layering. Featuring a box pleat at the back yoke, and a french placket with natural Mother of Pearl buttons.</v>
      </c>
      <c r="F204" s="11" t="str">
        <f>IFERROR(__xludf.DUMMYFUNCTION("""COMPUTED_VALUE"""),"Our box-fit shirt Keen, in fine silk.")</f>
        <v>Our box-fit shirt Keen, in fine silk.</v>
      </c>
      <c r="G204" s="11" t="str">
        <f>IFERROR(__xludf.DUMMYFUNCTION("""COMPUTED_VALUE"""),"- 100% fine silk
- Woven by Jianxin Silk in China
- Real mother of pearl buttons
- Garment dyed
- Stitched with durable poly-core cotton thread
- Made at Yinmao in China")</f>
        <v>- 100% fine silk
- Woven by Jianxin Silk in China
- Real mother of pearl buttons
- Garment dyed
- Stitched with durable poly-core cotton thread
- Made at Yinmao in China</v>
      </c>
      <c r="H204" s="11" t="str">
        <f>IFERROR(__xludf.DUMMYFUNCTION("""COMPUTED_VALUE"""),"keen-oak-fine-silk, keen-black-fine-silk")</f>
        <v>keen-oak-fine-silk, keen-black-fine-silk</v>
      </c>
      <c r="I204" s="11" t="str">
        <f>IFERROR(__xludf.DUMMYFUNCTION("""COMPUTED_VALUE"""),"keri-japan-black, adonis-lis-noir")</f>
        <v>keri-japan-black, adonis-lis-noir</v>
      </c>
    </row>
    <row r="205">
      <c r="A205" s="11" t="str">
        <f>IFERROR(__xludf.DUMMYFUNCTION("""COMPUTED_VALUE"""),"Livid men")</f>
        <v>Livid men</v>
      </c>
      <c r="B205" s="11" t="str">
        <f>IFERROR(__xludf.DUMMYFUNCTION("""COMPUTED_VALUE"""),"Shirt")</f>
        <v>Shirt</v>
      </c>
      <c r="C205" s="11" t="str">
        <f>IFERROR(__xludf.DUMMYFUNCTION("""COMPUTED_VALUE"""),"keen-oak-fine-silk")</f>
        <v>keen-oak-fine-silk</v>
      </c>
      <c r="D205" s="11" t="str">
        <f>IFERROR(__xludf.DUMMYFUNCTION("""COMPUTED_VALUE"""),"Keen Oak Fine Silk")</f>
        <v>Keen Oak Fine Silk</v>
      </c>
      <c r="E205" s="11" t="str">
        <f>IFERROR(__xludf.DUMMYFUNCTION("""COMPUTED_VALUE"""),"Made in China
Our box-fit shirt, Keen. Made in a fine silk fabric exhibiting flowy drape and movement.
Garment dyed and washed down, giving the silk fabric a softer colour with a subtle variation and depth. Designed with a generous straight cut and inte"&amp;"nded for normal layering. Featuring a box pleat at the back yoke, and a french placket with natural Mother of Pearl buttons.")</f>
        <v>Made in China
Our box-fit shirt, Keen. Made in a fine silk fabric exhibiting flowy drape and movement.
Garment dyed and washed down, giving the silk fabric a softer colour with a subtle variation and depth. Designed with a generous straight cut and intended for normal layering. Featuring a box pleat at the back yoke, and a french placket with natural Mother of Pearl buttons.</v>
      </c>
      <c r="F205" s="11" t="str">
        <f>IFERROR(__xludf.DUMMYFUNCTION("""COMPUTED_VALUE"""),"Our box-fit shirt Keen, in fine silk.")</f>
        <v>Our box-fit shirt Keen, in fine silk.</v>
      </c>
      <c r="G205" s="11" t="str">
        <f>IFERROR(__xludf.DUMMYFUNCTION("""COMPUTED_VALUE"""),"- 100% fine silk
- Woven by Jianxin Silk in China
- Real mother of pearl buttons
- Garment dyed
- Stitched with durable poly-core cotton thread
- Made at Yinmao in China")</f>
        <v>- 100% fine silk
- Woven by Jianxin Silk in China
- Real mother of pearl buttons
- Garment dyed
- Stitched with durable poly-core cotton thread
- Made at Yinmao in China</v>
      </c>
      <c r="H205" s="11" t="str">
        <f>IFERROR(__xludf.DUMMYFUNCTION("""COMPUTED_VALUE"""),"keen-grisalle-fine-silk, keen-black-fine-silk")</f>
        <v>keen-grisalle-fine-silk, keen-black-fine-silk</v>
      </c>
      <c r="I205" s="11" t="str">
        <f>IFERROR(__xludf.DUMMYFUNCTION("""COMPUTED_VALUE"""),"beth-japan-gravel, adonis-lis-noir, lerke-ivory")</f>
        <v>beth-japan-gravel, adonis-lis-noir, lerke-ivory</v>
      </c>
    </row>
    <row r="206">
      <c r="A206" s="11" t="str">
        <f>IFERROR(__xludf.DUMMYFUNCTION("""COMPUTED_VALUE"""),"Livid Men")</f>
        <v>Livid Men</v>
      </c>
      <c r="B206" s="11" t="str">
        <f>IFERROR(__xludf.DUMMYFUNCTION("""COMPUTED_VALUE"""),"Shirt")</f>
        <v>Shirt</v>
      </c>
      <c r="C206" s="11" t="str">
        <f>IFERROR(__xludf.DUMMYFUNCTION("""COMPUTED_VALUE"""),"keen-raw-black-noil-silk")</f>
        <v>keen-raw-black-noil-silk</v>
      </c>
      <c r="D206" s="11" t="str">
        <f>IFERROR(__xludf.DUMMYFUNCTION("""COMPUTED_VALUE"""),"Keen Black Noil Silk")</f>
        <v>Keen Black Noil Silk</v>
      </c>
      <c r="E206" s="11" t="str">
        <f>IFERROR(__xludf.DUMMYFUNCTION("""COMPUTED_VALUE"""),"Made in China
Our box-fit shirt, Keen. Made in a beautiful and soft pure noil silk fabric which combines an organic texture with elegant drape and movement.
Noil silk is produced with the shorter silk fibres that are left over from production of other s"&amp;"ilk fabrics. Spun together these differing fibre lengths give the silk yarn a rougher texture, and a matte finish compared to the sheen from continuous silk fibres. Stronger than cotton, noil silk features a heavy fluid drape and has excellent temperature"&amp;" regulating properties, breathing and keeping you cool and dry in hot weather and warm in cold climates.
Designed with a generous straight cut and intended for normal layering. Featuring a box pleat at the back yoke, and a french placket with natural Mot"&amp;"her of Pearl buttons.")</f>
        <v>Made in China
Our box-fit shirt, Keen. Made in a beautiful and soft pure noil silk fabric which combines an organic texture with elegant drape and movement.
Noil silk is produced with the shorter silk fibres that are left over from production of other silk fabrics. Spun together these differing fibre lengths give the silk yarn a rougher texture, and a matte finish compared to the sheen from continuous silk fibres. Stronger than cotton, noil silk features a heavy fluid drape and has excellent temperature regulating properties, breathing and keeping you cool and dry in hot weather and warm in cold climates.
Designed with a generous straight cut and intended for normal layering. Featuring a box pleat at the back yoke, and a french placket with natural Mother of Pearl buttons.</v>
      </c>
      <c r="F206" s="11" t="str">
        <f>IFERROR(__xludf.DUMMYFUNCTION("""COMPUTED_VALUE"""),"Our box-fit shirt Keen, in a textured noil silk.")</f>
        <v>Our box-fit shirt Keen, in a textured noil silk.</v>
      </c>
      <c r="G206" s="11" t="str">
        <f>IFERROR(__xludf.DUMMYFUNCTION("""COMPUTED_VALUE"""),"Details
- 100% noil silk
- Spun and woven by Jianxin Silk in China
- Real mother of pearl buttons made by Louropel in Italy
- Stitched with high quality poly core cotton thread
- Made at Yinmao in China
- Garment dyed")</f>
        <v>Details
- 100% noil silk
- Spun and woven by Jianxin Silk in China
- Real mother of pearl buttons made by Louropel in Italy
- Stitched with high quality poly core cotton thread
- Made at Yinmao in China
- Garment dyed</v>
      </c>
      <c r="H206" s="11" t="str">
        <f>IFERROR(__xludf.DUMMYFUNCTION("""COMPUTED_VALUE"""),"keen-stone-noil-silk, keen-navy-loose, keen-green-loose, keen-raw-brown-stripe-pop, keen-raw-blue-check-pop")</f>
        <v>keen-stone-noil-silk, keen-navy-loose, keen-green-loose, keen-raw-brown-stripe-pop, keen-raw-blue-check-pop</v>
      </c>
      <c r="I206" s="11" t="str">
        <f>IFERROR(__xludf.DUMMYFUNCTION("""COMPUTED_VALUE"""),"beth-low-japan-dive")</f>
        <v>beth-low-japan-dive</v>
      </c>
    </row>
    <row r="207">
      <c r="A207" s="11" t="str">
        <f>IFERROR(__xludf.DUMMYFUNCTION("""COMPUTED_VALUE"""),"Livid men")</f>
        <v>Livid men</v>
      </c>
      <c r="B207" s="11" t="str">
        <f>IFERROR(__xludf.DUMMYFUNCTION("""COMPUTED_VALUE"""),"Shirt")</f>
        <v>Shirt</v>
      </c>
      <c r="C207" s="11" t="str">
        <f>IFERROR(__xludf.DUMMYFUNCTION("""COMPUTED_VALUE"""),"keen-red-seersucker")</f>
        <v>keen-red-seersucker</v>
      </c>
      <c r="D207" s="11" t="str">
        <f>IFERROR(__xludf.DUMMYFUNCTION("""COMPUTED_VALUE"""),"Keen Red Seersucker")</f>
        <v>Keen Red Seersucker</v>
      </c>
      <c r="E207" s="11"/>
      <c r="F207" s="11"/>
      <c r="G207" s="11"/>
      <c r="H207" s="11"/>
      <c r="I207" s="11"/>
    </row>
    <row r="208">
      <c r="A208" s="11" t="str">
        <f>IFERROR(__xludf.DUMMYFUNCTION("""COMPUTED_VALUE"""),"Livid Men")</f>
        <v>Livid Men</v>
      </c>
      <c r="B208" s="11" t="str">
        <f>IFERROR(__xludf.DUMMYFUNCTION("""COMPUTED_VALUE"""),"Shirt")</f>
        <v>Shirt</v>
      </c>
      <c r="C208" s="11" t="str">
        <f>IFERROR(__xludf.DUMMYFUNCTION("""COMPUTED_VALUE"""),"keen-stone-noil-silk")</f>
        <v>keen-stone-noil-silk</v>
      </c>
      <c r="D208" s="11" t="str">
        <f>IFERROR(__xludf.DUMMYFUNCTION("""COMPUTED_VALUE"""),"Keen Stone Noil Silk")</f>
        <v>Keen Stone Noil Silk</v>
      </c>
      <c r="E208" s="11" t="str">
        <f>IFERROR(__xludf.DUMMYFUNCTION("""COMPUTED_VALUE"""),"Made in China
Our box-fit shirt, Keen. Made in a beautiful and soft pure noil silk fabric which combines an organic texture with elegant drape and movement.
Noil silk is produced with the shorter silk fibres that are left over from production of other s"&amp;"ilk fabrics. Spun together these differing fibre lengths give the silk yarn a rougher texture, and a matte finish compared to the sheen from continuous silk fibres. Stronger than cotton, noil silk features a heavy fluid drape and has excellent temperature"&amp;" regulating properties, breathing and keeping you cool and dry in hot weather and warm in cold climates.
Designed with a generous straight cut and intended for normal layering. Featuring a box pleat at the back yoke, and a french placket with natural Mot"&amp;"her of Pearl buttons.")</f>
        <v>Made in China
Our box-fit shirt, Keen. Made in a beautiful and soft pure noil silk fabric which combines an organic texture with elegant drape and movement.
Noil silk is produced with the shorter silk fibres that are left over from production of other silk fabrics. Spun together these differing fibre lengths give the silk yarn a rougher texture, and a matte finish compared to the sheen from continuous silk fibres. Stronger than cotton, noil silk features a heavy fluid drape and has excellent temperature regulating properties, breathing and keeping you cool and dry in hot weather and warm in cold climates.
Designed with a generous straight cut and intended for normal layering. Featuring a box pleat at the back yoke, and a french placket with natural Mother of Pearl buttons.</v>
      </c>
      <c r="F208" s="11" t="str">
        <f>IFERROR(__xludf.DUMMYFUNCTION("""COMPUTED_VALUE"""),"Our box-fit shirt Keen, in a textured noil silk.")</f>
        <v>Our box-fit shirt Keen, in a textured noil silk.</v>
      </c>
      <c r="G208" s="11"/>
      <c r="H208" s="11" t="str">
        <f>IFERROR(__xludf.DUMMYFUNCTION("""COMPUTED_VALUE"""),"keen-black-fine-silk, keen-grisalle-fine-silk, keen-oak-fine-silk")</f>
        <v>keen-black-fine-silk, keen-grisalle-fine-silk, keen-oak-fine-silk</v>
      </c>
      <c r="I208" s="11" t="str">
        <f>IFERROR(__xludf.DUMMYFUNCTION("""COMPUTED_VALUE"""),"barnes-japan-black")</f>
        <v>barnes-japan-black</v>
      </c>
    </row>
    <row r="209">
      <c r="A209" s="11" t="str">
        <f>IFERROR(__xludf.DUMMYFUNCTION("""COMPUTED_VALUE"""),"Livid men")</f>
        <v>Livid men</v>
      </c>
      <c r="B209" s="11" t="str">
        <f>IFERROR(__xludf.DUMMYFUNCTION("""COMPUTED_VALUE"""),"Shirt")</f>
        <v>Shirt</v>
      </c>
      <c r="C209" s="11" t="str">
        <f>IFERROR(__xludf.DUMMYFUNCTION("""COMPUTED_VALUE"""),"keen-tee-shirt-string-loose")</f>
        <v>keen-tee-shirt-string-loose</v>
      </c>
      <c r="D209" s="11" t="str">
        <f>IFERROR(__xludf.DUMMYFUNCTION("""COMPUTED_VALUE"""),"Keen Tee Shirt String Loose")</f>
        <v>Keen Tee Shirt String Loose</v>
      </c>
      <c r="E209" s="11"/>
      <c r="F209" s="11"/>
      <c r="G209" s="11"/>
      <c r="H209" s="11"/>
      <c r="I209" s="11"/>
    </row>
    <row r="210">
      <c r="A210" s="11" t="str">
        <f>IFERROR(__xludf.DUMMYFUNCTION("""COMPUTED_VALUE"""),"Livid men")</f>
        <v>Livid men</v>
      </c>
      <c r="B210" s="11" t="str">
        <f>IFERROR(__xludf.DUMMYFUNCTION("""COMPUTED_VALUE"""),"Shirt")</f>
        <v>Shirt</v>
      </c>
      <c r="C210" s="11" t="str">
        <f>IFERROR(__xludf.DUMMYFUNCTION("""COMPUTED_VALUE"""),"keen-tee-shirt-white-loose")</f>
        <v>keen-tee-shirt-white-loose</v>
      </c>
      <c r="D210" s="11" t="str">
        <f>IFERROR(__xludf.DUMMYFUNCTION("""COMPUTED_VALUE"""),"Keen Tee Shirt White Loose")</f>
        <v>Keen Tee Shirt White Loose</v>
      </c>
      <c r="E210" s="11"/>
      <c r="F210" s="11"/>
      <c r="G210" s="11"/>
      <c r="H210" s="11"/>
      <c r="I210" s="11"/>
    </row>
    <row r="211">
      <c r="A211" s="11" t="str">
        <f>IFERROR(__xludf.DUMMYFUNCTION("""COMPUTED_VALUE"""),"Livid Men")</f>
        <v>Livid Men</v>
      </c>
      <c r="B211" s="11" t="str">
        <f>IFERROR(__xludf.DUMMYFUNCTION("""COMPUTED_VALUE"""),"T-Shirt")</f>
        <v>T-Shirt</v>
      </c>
      <c r="C211" s="11" t="str">
        <f>IFERROR(__xludf.DUMMYFUNCTION("""COMPUTED_VALUE"""),"keller-reverse-shadow-washout")</f>
        <v>keller-reverse-shadow-washout</v>
      </c>
      <c r="D211" s="11" t="str">
        <f>IFERROR(__xludf.DUMMYFUNCTION("""COMPUTED_VALUE"""),"Keller Reverse Shadow Washout")</f>
        <v>Keller Reverse Shadow Washout</v>
      </c>
      <c r="E211" s="11" t="str">
        <f>IFERROR(__xludf.DUMMYFUNCTION("""COMPUTED_VALUE"""),"Made in Portugal
This colourway is cold pigment doubledye, a special dying technique resulting in an uneven weathered look, where every shirt is unique.
Keller features a wider, shorter body for a loose box-fit, but sits more dailed in at the shoulders "&amp;"and upper chest compared to an ovesized tee. Made in our signature 6.5 Oz heavyweight 100% cotton jersey exclusively made for Livid in Portugal.
Details &amp; Features
- 100% cotton
- 220 gsm pre-shrunk jersey, knitted by Etevimol in Portugal
- Livid embroid"&amp;"ery at chest
- Fine rib collar
- Sewn with durable poly core cotton thread
- Made at Texgoios in Portugal")</f>
        <v>Made in Portugal
This colourway is cold pigment doubledye, a special dying technique resulting in an uneven weathered look, where every shirt is unique.
Keller features a wider, shorter body for a loose box-fit, but sits more dailed in at the shoulders and upper chest compared to an ovesized tee. Made in our signature 6.5 Oz heavyweight 100% cotton jersey exclusively made for Livid in Portugal.
Details &amp; Features
- 100% cotton
- 220 gsm pre-shrunk jersey, knitted by Etevimol in Portugal
- Livid embroidery at chest
- Fine rib collar
- Sewn with durable poly core cotton thread
- Made at Texgoios in Portugal</v>
      </c>
      <c r="F211" s="11" t="str">
        <f>IFERROR(__xludf.DUMMYFUNCTION("""COMPUTED_VALUE"""),"Our box-fit tee Keller in a seasonal cold pigment overdye.")</f>
        <v>Our box-fit tee Keller in a seasonal cold pigment overdye.</v>
      </c>
      <c r="G211" s="11"/>
      <c r="H211" s="11" t="str">
        <f>IFERROR(__xludf.DUMMYFUNCTION("""COMPUTED_VALUE"""),"keller-reverse-washout-blue, keller-moonstripe")</f>
        <v>keller-reverse-washout-blue, keller-moonstripe</v>
      </c>
      <c r="I211" s="11"/>
    </row>
    <row r="212">
      <c r="A212" s="11" t="str">
        <f>IFERROR(__xludf.DUMMYFUNCTION("""COMPUTED_VALUE"""),"Livid Men")</f>
        <v>Livid Men</v>
      </c>
      <c r="B212" s="11" t="str">
        <f>IFERROR(__xludf.DUMMYFUNCTION("""COMPUTED_VALUE"""),"T-Shirt")</f>
        <v>T-Shirt</v>
      </c>
      <c r="C212" s="11" t="str">
        <f>IFERROR(__xludf.DUMMYFUNCTION("""COMPUTED_VALUE"""),"keller-reverse-washout-blue")</f>
        <v>keller-reverse-washout-blue</v>
      </c>
      <c r="D212" s="11" t="str">
        <f>IFERROR(__xludf.DUMMYFUNCTION("""COMPUTED_VALUE"""),"Keller Reverse Washout Blue")</f>
        <v>Keller Reverse Washout Blue</v>
      </c>
      <c r="E212" s="11" t="str">
        <f>IFERROR(__xludf.DUMMYFUNCTION("""COMPUTED_VALUE"""),"Made in Portugal
This colourway is cold pigment doubledye, a special dying technique resulting in an uneven weathered look, where every shirt is unique.
Keller features a wider, shorter body for a loose box-fit, but sits more dailed in at the shoulders "&amp;"and upper chest compared to an ovesized tee. Made in our signature 6.5 Oz heavyweight 100% cotton jersey exclusively made for Livid in Portugal.
Details &amp; Features
- 100% cotton
- 220 gsm pre-shrunk jersey, knitted by Etevimol in Portugal
- Livid embroid"&amp;"ery at chest
- Fine rib collar
- Sewn with durable poly core cotton thread
- Made at Texgoios in Portugal")</f>
        <v>Made in Portugal
This colourway is cold pigment doubledye, a special dying technique resulting in an uneven weathered look, where every shirt is unique.
Keller features a wider, shorter body for a loose box-fit, but sits more dailed in at the shoulders and upper chest compared to an ovesized tee. Made in our signature 6.5 Oz heavyweight 100% cotton jersey exclusively made for Livid in Portugal.
Details &amp; Features
- 100% cotton
- 220 gsm pre-shrunk jersey, knitted by Etevimol in Portugal
- Livid embroidery at chest
- Fine rib collar
- Sewn with durable poly core cotton thread
- Made at Texgoios in Portugal</v>
      </c>
      <c r="F212" s="11" t="str">
        <f>IFERROR(__xludf.DUMMYFUNCTION("""COMPUTED_VALUE"""),"Our box-fit tee Keller in a seasonal cold pigment overdye.")</f>
        <v>Our box-fit tee Keller in a seasonal cold pigment overdye.</v>
      </c>
      <c r="G212" s="11"/>
      <c r="H212" s="11" t="str">
        <f>IFERROR(__xludf.DUMMYFUNCTION("""COMPUTED_VALUE"""),"keller-reverse-shadow-washout, keller-moonstripe")</f>
        <v>keller-reverse-shadow-washout, keller-moonstripe</v>
      </c>
      <c r="I212" s="11" t="str">
        <f>IFERROR(__xludf.DUMMYFUNCTION("""COMPUTED_VALUE"""),"keri-japan-black")</f>
        <v>keri-japan-black</v>
      </c>
    </row>
    <row r="213">
      <c r="A213" s="11" t="str">
        <f>IFERROR(__xludf.DUMMYFUNCTION("""COMPUTED_VALUE"""),"Livid men")</f>
        <v>Livid men</v>
      </c>
      <c r="B213" s="11" t="str">
        <f>IFERROR(__xludf.DUMMYFUNCTION("""COMPUTED_VALUE"""),"T-Shirt")</f>
        <v>T-Shirt</v>
      </c>
      <c r="C213" s="11" t="str">
        <f>IFERROR(__xludf.DUMMYFUNCTION("""COMPUTED_VALUE"""),"keller-white")</f>
        <v>keller-white</v>
      </c>
      <c r="D213" s="11" t="str">
        <f>IFERROR(__xludf.DUMMYFUNCTION("""COMPUTED_VALUE"""),"Keller White")</f>
        <v>Keller White</v>
      </c>
      <c r="E213" s="11" t="str">
        <f>IFERROR(__xludf.DUMMYFUNCTION("""COMPUTED_VALUE"""),"Made in Portugal
Keller features a wider, shorter body for a loose box-fit, but sits more dialed in at the shoulders and upper chest compared to an ovesized tee.
Made in our signature 6.5 Oz heavyweight 100% cotton jersey exclusively made for Livid in P"&amp;"ortugal.")</f>
        <v>Made in Portugal
Keller features a wider, shorter body for a loose box-fit, but sits more dialed in at the shoulders and upper chest compared to an ovesized tee.
Made in our signature 6.5 Oz heavyweight 100% cotton jersey exclusively made for Livid in Portugal.</v>
      </c>
      <c r="F213" s="11" t="str">
        <f>IFERROR(__xludf.DUMMYFUNCTION("""COMPUTED_VALUE"""),"Our box-fit tee Keller.")</f>
        <v>Our box-fit tee Keller.</v>
      </c>
      <c r="G213" s="11" t="str">
        <f>IFERROR(__xludf.DUMMYFUNCTION("""COMPUTED_VALUE"""),"- 100% cotton
- 220 gsm pre-shrunk jersey, knitted by Etevimol in Portugal
- Livid embroidery at chest
- Fine rib collar
- Sewn with durable poly core cotton thread
- Made at Texgoios in Portugal")</f>
        <v>- 100% cotton
- 220 gsm pre-shrunk jersey, knitted by Etevimol in Portugal
- Livid embroidery at chest
- Fine rib collar
- Sewn with durable poly core cotton thread
- Made at Texgoios in Portugal</v>
      </c>
      <c r="H213" s="11"/>
      <c r="I213" s="11" t="str">
        <f>IFERROR(__xludf.DUMMYFUNCTION("""COMPUTED_VALUE"""),"burley-japan-era")</f>
        <v>burley-japan-era</v>
      </c>
    </row>
    <row r="214">
      <c r="A214" s="11" t="str">
        <f>IFERROR(__xludf.DUMMYFUNCTION("""COMPUTED_VALUE"""),"Livid men")</f>
        <v>Livid men</v>
      </c>
      <c r="B214" s="11" t="str">
        <f>IFERROR(__xludf.DUMMYFUNCTION("""COMPUTED_VALUE"""),"Jacket")</f>
        <v>Jacket</v>
      </c>
      <c r="C214" s="11" t="str">
        <f>IFERROR(__xludf.DUMMYFUNCTION("""COMPUTED_VALUE"""),"kelvin-black")</f>
        <v>kelvin-black</v>
      </c>
      <c r="D214" s="11" t="str">
        <f>IFERROR(__xludf.DUMMYFUNCTION("""COMPUTED_VALUE"""),"Kelvin Black")</f>
        <v>Kelvin Black</v>
      </c>
      <c r="E214" s="11"/>
      <c r="F214" s="11"/>
      <c r="G214" s="11"/>
      <c r="H214" s="11"/>
      <c r="I214" s="11"/>
    </row>
    <row r="215">
      <c r="A215" s="11" t="str">
        <f>IFERROR(__xludf.DUMMYFUNCTION("""COMPUTED_VALUE"""),"Livid men")</f>
        <v>Livid men</v>
      </c>
      <c r="B215" s="11" t="str">
        <f>IFERROR(__xludf.DUMMYFUNCTION("""COMPUTED_VALUE"""),"Knitwear")</f>
        <v>Knitwear</v>
      </c>
      <c r="C215" s="11" t="str">
        <f>IFERROR(__xludf.DUMMYFUNCTION("""COMPUTED_VALUE"""),"kevin-grey")</f>
        <v>kevin-grey</v>
      </c>
      <c r="D215" s="11" t="str">
        <f>IFERROR(__xludf.DUMMYFUNCTION("""COMPUTED_VALUE"""),"Kevin Grey")</f>
        <v>Kevin Grey</v>
      </c>
      <c r="E215" s="11" t="str">
        <f>IFERROR(__xludf.DUMMYFUNCTION("""COMPUTED_VALUE"""),"Made in China 
Made in pure merino wool, boiled to acheive a perfect balance between warmth, breathabilty and softness. The weight of the boiled merino wool gives the Kevin quarter-zip sweater a soft and heavy drape.
Designed with dropped shoulders, a s"&amp;"traight boxy fit, with a ribbed hem that hangs straight, with splits at the sides. Finished with a ribbed collar with a quarter-zip.")</f>
        <v>Made in China 
Made in pure merino wool, boiled to acheive a perfect balance between warmth, breathabilty and softness. The weight of the boiled merino wool gives the Kevin quarter-zip sweater a soft and heavy drape.
Designed with dropped shoulders, a straight boxy fit, with a ribbed hem that hangs straight, with splits at the sides. Finished with a ribbed collar with a quarter-zip.</v>
      </c>
      <c r="F215" s="11" t="str">
        <f>IFERROR(__xludf.DUMMYFUNCTION("""COMPUTED_VALUE"""),"Kevin, our collared boiled merino quarter-zip.")</f>
        <v>Kevin, our collared boiled merino quarter-zip.</v>
      </c>
      <c r="G215" s="11" t="str">
        <f>IFERROR(__xludf.DUMMYFUNCTION("""COMPUTED_VALUE"""),"- 100% merino wool, boiled
- Merino wool yarn spun in Italy by Tollegno 1900
- Warm, breathable and hardwearing
- YKK silver zipper
- Knitted by Goldfine in China")</f>
        <v>- 100% merino wool, boiled
- Merino wool yarn spun in Italy by Tollegno 1900
- Warm, breathable and hardwearing
- YKK silver zipper
- Knitted by Goldfine in China</v>
      </c>
      <c r="H215" s="11" t="str">
        <f>IFERROR(__xludf.DUMMYFUNCTION("""COMPUTED_VALUE"""),"kevin-navy")</f>
        <v>kevin-navy</v>
      </c>
      <c r="I215" s="11" t="str">
        <f>IFERROR(__xludf.DUMMYFUNCTION("""COMPUTED_VALUE"""),"barnes-japan-black, star-master-beige-transparent")</f>
        <v>barnes-japan-black, star-master-beige-transparent</v>
      </c>
    </row>
    <row r="216">
      <c r="A216" s="11" t="str">
        <f>IFERROR(__xludf.DUMMYFUNCTION("""COMPUTED_VALUE"""),"Livid men")</f>
        <v>Livid men</v>
      </c>
      <c r="B216" s="11" t="str">
        <f>IFERROR(__xludf.DUMMYFUNCTION("""COMPUTED_VALUE"""),"Knitwear")</f>
        <v>Knitwear</v>
      </c>
      <c r="C216" s="11" t="str">
        <f>IFERROR(__xludf.DUMMYFUNCTION("""COMPUTED_VALUE"""),"kevin-navy")</f>
        <v>kevin-navy</v>
      </c>
      <c r="D216" s="11" t="str">
        <f>IFERROR(__xludf.DUMMYFUNCTION("""COMPUTED_VALUE"""),"Kevin Navy")</f>
        <v>Kevin Navy</v>
      </c>
      <c r="E216" s="11" t="str">
        <f>IFERROR(__xludf.DUMMYFUNCTION("""COMPUTED_VALUE"""),"Made in China 
Made in pure merino wool, boiled to acheive a perfect balance between warmth, breathabilty and softness. The weight of the boiled merino wool gives the Kevin quarter-zip sweater a soft and heavy drape.
Designed with dropped shoulders, a s"&amp;"traight boxy fit, with a ribbed hem that hangs straight, with splits at the sides. Finished with a ribbed collar with a quarter-zip.")</f>
        <v>Made in China 
Made in pure merino wool, boiled to acheive a perfect balance between warmth, breathabilty and softness. The weight of the boiled merino wool gives the Kevin quarter-zip sweater a soft and heavy drape.
Designed with dropped shoulders, a straight boxy fit, with a ribbed hem that hangs straight, with splits at the sides. Finished with a ribbed collar with a quarter-zip.</v>
      </c>
      <c r="F216" s="11" t="str">
        <f>IFERROR(__xludf.DUMMYFUNCTION("""COMPUTED_VALUE"""),"Kevin, our collared boiled merino quarter-zip.")</f>
        <v>Kevin, our collared boiled merino quarter-zip.</v>
      </c>
      <c r="G216" s="11" t="str">
        <f>IFERROR(__xludf.DUMMYFUNCTION("""COMPUTED_VALUE"""),"- 100% merino wool, boiled
- Merino wool yarn spun in Italy by Tollegno 1900
- Warm, breathable and hardwearing
- YKK silver zipper
- Knitted by Goldfine in China")</f>
        <v>- 100% merino wool, boiled
- Merino wool yarn spun in Italy by Tollegno 1900
- Warm, breathable and hardwearing
- YKK silver zipper
- Knitted by Goldfine in China</v>
      </c>
      <c r="H216" s="11" t="str">
        <f>IFERROR(__xludf.DUMMYFUNCTION("""COMPUTED_VALUE"""),"kevin-grey")</f>
        <v>kevin-grey</v>
      </c>
      <c r="I216" s="11" t="str">
        <f>IFERROR(__xludf.DUMMYFUNCTION("""COMPUTED_VALUE"""),"fuller-japan-black-dusk, chambord-noir")</f>
        <v>fuller-japan-black-dusk, chambord-noir</v>
      </c>
    </row>
    <row r="217">
      <c r="A217" s="11" t="str">
        <f>IFERROR(__xludf.DUMMYFUNCTION("""COMPUTED_VALUE"""),"Livid men")</f>
        <v>Livid men</v>
      </c>
      <c r="B217" s="11" t="str">
        <f>IFERROR(__xludf.DUMMYFUNCTION("""COMPUTED_VALUE"""),"Knitwear")</f>
        <v>Knitwear</v>
      </c>
      <c r="C217" s="11" t="str">
        <f>IFERROR(__xludf.DUMMYFUNCTION("""COMPUTED_VALUE"""),"kilmer-black-fluff")</f>
        <v>kilmer-black-fluff</v>
      </c>
      <c r="D217" s="11" t="str">
        <f>IFERROR(__xludf.DUMMYFUNCTION("""COMPUTED_VALUE"""),"Kilmer Black Fluff")</f>
        <v>Kilmer Black Fluff</v>
      </c>
      <c r="E217" s="11" t="str">
        <f>IFERROR(__xludf.DUMMYFUNCTION("""COMPUTED_VALUE"""),"Made in China 
Boldly proportioned sweater, knitted in a super soft brushed alpaca yarn. Constructed with wide sleeves, dropped shoulders and a boxy body.
Knitted in a super soft brushed alpaca yarn. The alpaca fibers in this yarn are spun around a nylo"&amp;"n core for durability, with a touch of spandex to keep its shape over time.")</f>
        <v>Made in China 
Boldly proportioned sweater, knitted in a super soft brushed alpaca yarn. Constructed with wide sleeves, dropped shoulders and a boxy body.
Knitted in a super soft brushed alpaca yarn. The alpaca fibers in this yarn are spun around a nylon core for durability, with a touch of spandex to keep its shape over time.</v>
      </c>
      <c r="F217" s="11" t="str">
        <f>IFERROR(__xludf.DUMMYFUNCTION("""COMPUTED_VALUE"""),"Kilmer, our brushed alpaca sweater.")</f>
        <v>Kilmer, our brushed alpaca sweater.</v>
      </c>
      <c r="G217" s="11" t="str">
        <f>IFERROR(__xludf.DUMMYFUNCTION("""COMPUTED_VALUE"""),"- 79% Alpaca, 19% Nylon, 2% Spandex
- Alpaca yarn spun by QCYarn, China
- Soft, elastic and super resistant.
- Knitted by Springair in China")</f>
        <v>- 79% Alpaca, 19% Nylon, 2% Spandex
- Alpaca yarn spun by QCYarn, China
- Soft, elastic and super resistant.
- Knitted by Springair in China</v>
      </c>
      <c r="H217" s="11"/>
      <c r="I217" s="11" t="str">
        <f>IFERROR(__xludf.DUMMYFUNCTION("""COMPUTED_VALUE"""),"beth-low-japan-dive")</f>
        <v>beth-low-japan-dive</v>
      </c>
    </row>
    <row r="218">
      <c r="A218" s="11" t="str">
        <f>IFERROR(__xludf.DUMMYFUNCTION("""COMPUTED_VALUE"""),"Livid men")</f>
        <v>Livid men</v>
      </c>
      <c r="B218" s="11" t="str">
        <f>IFERROR(__xludf.DUMMYFUNCTION("""COMPUTED_VALUE"""),"Shirt")</f>
        <v>Shirt</v>
      </c>
      <c r="C218" s="11" t="str">
        <f>IFERROR(__xludf.DUMMYFUNCTION("""COMPUTED_VALUE"""),"lais-grey-seersucker")</f>
        <v>lais-grey-seersucker</v>
      </c>
      <c r="D218" s="11" t="str">
        <f>IFERROR(__xludf.DUMMYFUNCTION("""COMPUTED_VALUE"""),"Lais Grey Seersucker")</f>
        <v>Lais Grey Seersucker</v>
      </c>
      <c r="E218" s="11"/>
      <c r="F218" s="11"/>
      <c r="G218" s="11"/>
      <c r="H218" s="11"/>
      <c r="I218" s="11"/>
    </row>
    <row r="219">
      <c r="A219" s="11" t="str">
        <f>IFERROR(__xludf.DUMMYFUNCTION("""COMPUTED_VALUE"""),"Livid men")</f>
        <v>Livid men</v>
      </c>
      <c r="B219" s="11" t="str">
        <f>IFERROR(__xludf.DUMMYFUNCTION("""COMPUTED_VALUE"""),"Shirt")</f>
        <v>Shirt</v>
      </c>
      <c r="C219" s="11" t="str">
        <f>IFERROR(__xludf.DUMMYFUNCTION("""COMPUTED_VALUE"""),"lefty-black-lattice")</f>
        <v>lefty-black-lattice</v>
      </c>
      <c r="D219" s="11" t="str">
        <f>IFERROR(__xludf.DUMMYFUNCTION("""COMPUTED_VALUE"""),"Lefty Black Lattice")</f>
        <v>Lefty Black Lattice</v>
      </c>
      <c r="E219" s="11" t="str">
        <f>IFERROR(__xludf.DUMMYFUNCTION("""COMPUTED_VALUE"""),"Made in Portugal
Designed with slightly wide shoulders, a straight fit and straight cut hem that ends perfectly at the hips. Lefty can be layered as an overshirt, or worn as a hefty shirt on its own.
Made in a highly textured waffle weave fabric woven b"&amp;"y Somelos in Portugal exclusively for Livid. The weave gives this fabric a noticable thickness, while still keeping light. A great layering piece across seasons.")</f>
        <v>Made in Portugal
Designed with slightly wide shoulders, a straight fit and straight cut hem that ends perfectly at the hips. Lefty can be layered as an overshirt, or worn as a hefty shirt on its own.
Made in a highly textured waffle weave fabric woven by Somelos in Portugal exclusively for Livid. The weave gives this fabric a noticable thickness, while still keeping light. A great layering piece across seasons.</v>
      </c>
      <c r="F219" s="11" t="str">
        <f>IFERROR(__xludf.DUMMYFUNCTION("""COMPUTED_VALUE"""),"Lefty, our straight hemmed overshirt, in a textured waffle weave fabric.")</f>
        <v>Lefty, our straight hemmed overshirt, in a textured waffle weave fabric.</v>
      </c>
      <c r="G219" s="11" t="str">
        <f>IFERROR(__xludf.DUMMYFUNCTION("""COMPUTED_VALUE"""),"- 100% cotton waffle weave
- Woven by Somelos in Portugal exclusively for Livid
- Mother of Pearl buttons
- Stitched with durable poly-core cotton thread
- Made at Stork in Portugal")</f>
        <v>- 100% cotton waffle weave
- Woven by Somelos in Portugal exclusively for Livid
- Mother of Pearl buttons
- Stitched with durable poly-core cotton thread
- Made at Stork in Portugal</v>
      </c>
      <c r="H219" s="11" t="str">
        <f>IFERROR(__xludf.DUMMYFUNCTION("""COMPUTED_VALUE"""),"lefty-brown-check")</f>
        <v>lefty-brown-check</v>
      </c>
      <c r="I219" s="11" t="str">
        <f>IFERROR(__xludf.DUMMYFUNCTION("""COMPUTED_VALUE"""),"keri-japan-black, adonis-lis-noir")</f>
        <v>keri-japan-black, adonis-lis-noir</v>
      </c>
    </row>
    <row r="220">
      <c r="A220" s="11" t="str">
        <f>IFERROR(__xludf.DUMMYFUNCTION("""COMPUTED_VALUE"""),"Livid men")</f>
        <v>Livid men</v>
      </c>
      <c r="B220" s="11" t="str">
        <f>IFERROR(__xludf.DUMMYFUNCTION("""COMPUTED_VALUE"""),"Shirt")</f>
        <v>Shirt</v>
      </c>
      <c r="C220" s="11" t="str">
        <f>IFERROR(__xludf.DUMMYFUNCTION("""COMPUTED_VALUE"""),"lefty-brown-check")</f>
        <v>lefty-brown-check</v>
      </c>
      <c r="D220" s="11" t="str">
        <f>IFERROR(__xludf.DUMMYFUNCTION("""COMPUTED_VALUE"""),"Lefty Brown Check")</f>
        <v>Lefty Brown Check</v>
      </c>
      <c r="E220" s="11" t="str">
        <f>IFERROR(__xludf.DUMMYFUNCTION("""COMPUTED_VALUE"""),"Made in Portugal
Designed with slightly wide shoulders, a straight fit and straight cut hem that ends perfectly at the hips. Lefty can be layered as an overshirt, or worn as a shirt on its own.
Made in a soft flannel fabric designed by Livid and woven e"&amp;"xclusively at Somelos in Portugal. This particular fabric is made from cotton, with 22% Lyocell, giving it a beautiful texture, soft handfeel and a fluid drape.")</f>
        <v>Made in Portugal
Designed with slightly wide shoulders, a straight fit and straight cut hem that ends perfectly at the hips. Lefty can be layered as an overshirt, or worn as a shirt on its own.
Made in a soft flannel fabric designed by Livid and woven exclusively at Somelos in Portugal. This particular fabric is made from cotton, with 22% Lyocell, giving it a beautiful texture, soft handfeel and a fluid drape.</v>
      </c>
      <c r="F220" s="11" t="str">
        <f>IFERROR(__xludf.DUMMYFUNCTION("""COMPUTED_VALUE"""),"Lefty, our straight hemmed shirt, in a soft check flanell.")</f>
        <v>Lefty, our straight hemmed shirt, in a soft check flanell.</v>
      </c>
      <c r="G220" s="11" t="str">
        <f>IFERROR(__xludf.DUMMYFUNCTION("""COMPUTED_VALUE"""),"- 78% Cotton, 2% Lyocell
- Woven by Somelos in Portugal exclusively for Livid
- Mother of Pearl buttons
- Stitched with durable poly-core cotton thread
- Made at Stork in Portugal")</f>
        <v>- 78% Cotton, 2% Lyocell
- Woven by Somelos in Portugal exclusively for Livid
- Mother of Pearl buttons
- Stitched with durable poly-core cotton thread
- Made at Stork in Portugal</v>
      </c>
      <c r="H220" s="11" t="str">
        <f>IFERROR(__xludf.DUMMYFUNCTION("""COMPUTED_VALUE"""),"lefty-black-lattice")</f>
        <v>lefty-black-lattice</v>
      </c>
      <c r="I220" s="11" t="str">
        <f>IFERROR(__xludf.DUMMYFUNCTION("""COMPUTED_VALUE"""),"keri-japan-sandbox, tuck-black-1, adonis-lis-noir")</f>
        <v>keri-japan-sandbox, tuck-black-1, adonis-lis-noir</v>
      </c>
    </row>
    <row r="221">
      <c r="A221" s="11" t="str">
        <f>IFERROR(__xludf.DUMMYFUNCTION("""COMPUTED_VALUE"""),"Livid Men")</f>
        <v>Livid Men</v>
      </c>
      <c r="B221" s="11" t="str">
        <f>IFERROR(__xludf.DUMMYFUNCTION("""COMPUTED_VALUE"""),"Jacket")</f>
        <v>Jacket</v>
      </c>
      <c r="C221" s="11" t="str">
        <f>IFERROR(__xludf.DUMMYFUNCTION("""COMPUTED_VALUE"""),"les-dawn")</f>
        <v>les-dawn</v>
      </c>
      <c r="D221" s="11" t="str">
        <f>IFERROR(__xludf.DUMMYFUNCTION("""COMPUTED_VALUE"""),"Les Dawn")</f>
        <v>Les Dawn</v>
      </c>
      <c r="E221" s="11" t="str">
        <f>IFERROR(__xludf.DUMMYFUNCTION("""COMPUTED_VALUE"""),"Made in Portugal
Our chore coat Les. Made in a 13 Oz denim woven in Italy by the renowned mill Candiani, for a fully European made jacket. Washed to a mid-blue wash, exhibiting the beautiful texture of the denim weave.")</f>
        <v>Made in Portugal
Our chore coat Les. Made in a 13 Oz denim woven in Italy by the renowned mill Candiani, for a fully European made jacket. Washed to a mid-blue wash, exhibiting the beautiful texture of the denim weave.</v>
      </c>
      <c r="F221" s="11" t="str">
        <f>IFERROR(__xludf.DUMMYFUNCTION("""COMPUTED_VALUE"""),"Our chore coat Les. Made in a 13 Oz denim washed to our mid blue Dawn.")</f>
        <v>Our chore coat Les. Made in a 13 Oz denim washed to our mid blue Dawn.</v>
      </c>
      <c r="G221" s="11"/>
      <c r="H221" s="11" t="str">
        <f>IFERROR(__xludf.DUMMYFUNCTION("""COMPUTED_VALUE"""),"les-japan-milk")</f>
        <v>les-japan-milk</v>
      </c>
      <c r="I221" s="11" t="str">
        <f>IFERROR(__xludf.DUMMYFUNCTION("""COMPUTED_VALUE"""),"hayes-black")</f>
        <v>hayes-black</v>
      </c>
    </row>
    <row r="222">
      <c r="A222" s="11" t="str">
        <f>IFERROR(__xludf.DUMMYFUNCTION("""COMPUTED_VALUE"""),"Livid men")</f>
        <v>Livid men</v>
      </c>
      <c r="B222" s="11" t="str">
        <f>IFERROR(__xludf.DUMMYFUNCTION("""COMPUTED_VALUE"""),"Jeans")</f>
        <v>Jeans</v>
      </c>
      <c r="C222" s="11" t="str">
        <f>IFERROR(__xludf.DUMMYFUNCTION("""COMPUTED_VALUE"""),"miko-japan-black-dusk")</f>
        <v>miko-japan-black-dusk</v>
      </c>
      <c r="D222" s="11" t="str">
        <f>IFERROR(__xludf.DUMMYFUNCTION("""COMPUTED_VALUE"""),"Miko Japan Black Dusk")</f>
        <v>Miko Japan Black Dusk</v>
      </c>
      <c r="E222" s="11" t="str">
        <f>IFERROR(__xludf.DUMMYFUNCTION("""COMPUTED_VALUE"""),"Made in Portugal
Introducing Miko. Mid-rise, with a straight fit at the waist, a flat front and a slim tapered leg. A great fit for those who seek a slimmer silhouette.
In our slightly broken-in Japan Black Dusk wash. Made in a solid 13 Oz 100% cotton d"&amp;"enim from the renowned Japanese denim mill Kuroki. Soft to the touch, the Japan Black Dusk is deep black with subtle fading at the the seams.")</f>
        <v>Made in Portugal
Introducing Miko. Mid-rise, with a straight fit at the waist, a flat front and a slim tapered leg. A great fit for those who seek a slimmer silhouette.
In our slightly broken-in Japan Black Dusk wash. Made in a solid 13 Oz 100% cotton denim from the renowned Japanese denim mill Kuroki. Soft to the touch, the Japan Black Dusk is deep black with subtle fading at the the seams.</v>
      </c>
      <c r="F222" s="11" t="str">
        <f>IFERROR(__xludf.DUMMYFUNCTION("""COMPUTED_VALUE"""),"Our slim tapered, Miko, in a slightly washed black.")</f>
        <v>Our slim tapered, Miko, in a slightly washed black.</v>
      </c>
      <c r="G222" s="11" t="str">
        <f>IFERROR(__xludf.DUMMYFUNCTION("""COMPUTED_VALUE"""),"- 13 Oz wideloom denim from Kuroki, Japan
- 100% Sanforized cotton
- Warp &amp; Weft sulphur dyed black
- 8 Oz 5 Oz ecru canvas pocketing
- Black leather patch w/ wax treatment, Made in Italy.
- YKK two-prong, silver button and zip fly
- YKK solid copper wash"&amp;"ed-burr rivets
- Stitched with durable poly core cotton thread
- Made at Lisama, Portugal")</f>
        <v>- 13 Oz wideloom denim from Kuroki, Japan
- 100% Sanforized cotton
- Warp &amp; Weft sulphur dyed black
- 8 Oz 5 Oz ecru canvas pocketing
- Black leather patch w/ wax treatment, Made in Italy.
- YKK two-prong, silver button and zip fly
- YKK solid copper washed-burr rivets
- Stitched with durable poly core cotton thread
- Made at Lisama, Portugal</v>
      </c>
      <c r="H222" s="11" t="str">
        <f>IFERROR(__xludf.DUMMYFUNCTION("""COMPUTED_VALUE"""),"miko-japan-indigo-dusk, miko-japan-new-blue")</f>
        <v>miko-japan-indigo-dusk, miko-japan-new-blue</v>
      </c>
      <c r="I222" s="11"/>
    </row>
    <row r="223">
      <c r="A223" s="11" t="str">
        <f>IFERROR(__xludf.DUMMYFUNCTION("""COMPUTED_VALUE"""),"Livid men")</f>
        <v>Livid men</v>
      </c>
      <c r="B223" s="11" t="str">
        <f>IFERROR(__xludf.DUMMYFUNCTION("""COMPUTED_VALUE"""),"Jeans")</f>
        <v>Jeans</v>
      </c>
      <c r="C223" s="11" t="str">
        <f>IFERROR(__xludf.DUMMYFUNCTION("""COMPUTED_VALUE"""),"miko-japan-indigo-dusk")</f>
        <v>miko-japan-indigo-dusk</v>
      </c>
      <c r="D223" s="11" t="str">
        <f>IFERROR(__xludf.DUMMYFUNCTION("""COMPUTED_VALUE"""),"Miko Japan Indigo Dusk")</f>
        <v>Miko Japan Indigo Dusk</v>
      </c>
      <c r="E223" s="11" t="str">
        <f>IFERROR(__xludf.DUMMYFUNCTION("""COMPUTED_VALUE"""),"Made in Portugal
Introducing Miko. Mid-rise, with a straight fit at the waist, a flat front and a slim tapered leg. A great fit for those who seek a slimmer silhouette.
In our deep blue wash, Japan Indigo Dusk. Made with a 13 Oz. 100% cotton, indigo wid"&amp;"eloom denim woven by the renowned Japanese denim mill, Kuroki. Washed to a deep shade of indigo with subtle wear patterns for a natural look.")</f>
        <v>Made in Portugal
Introducing Miko. Mid-rise, with a straight fit at the waist, a flat front and a slim tapered leg. A great fit for those who seek a slimmer silhouette.
In our deep blue wash, Japan Indigo Dusk. Made with a 13 Oz. 100% cotton, indigo wideloom denim woven by the renowned Japanese denim mill, Kuroki. Washed to a deep shade of indigo with subtle wear patterns for a natural look.</v>
      </c>
      <c r="F223" s="11" t="str">
        <f>IFERROR(__xludf.DUMMYFUNCTION("""COMPUTED_VALUE"""),"Our slim tapered, Miko, in a deep blue wash.")</f>
        <v>Our slim tapered, Miko, in a deep blue wash.</v>
      </c>
      <c r="G223" s="11" t="str">
        <f>IFERROR(__xludf.DUMMYFUNCTION("""COMPUTED_VALUE"""),"- Deep blue washed rope-dyed indigo denim
- 13 Oz wideloom denim from Kuroki, Japan
- 100% Sanforized cotton
- Warp dyed in indigo, natural coloured weft
- 8 Oz ecru canvas pocketing
- Tanned leather patch w/ wax treatment, Made in Italy.
- YKK two-prong "&amp;"silver button fly
- YKK solid copper washed-burr rivets
- Stitched with poly-core cotton thread
- Made at Lisama, Portugal")</f>
        <v>- Deep blue washed rope-dyed indigo denim
- 13 Oz wideloom denim from Kuroki, Japan
- 100% Sanforized cotton
- Warp dyed in indigo, natural coloured weft
- 8 Oz ecru canvas pocketing
- Tanned leather patch w/ wax treatment, Made in Italy.
- YKK two-prong silver button fly
- YKK solid copper washed-burr rivets
- Stitched with poly-core cotton thread
- Made at Lisama, Portugal</v>
      </c>
      <c r="H223" s="11" t="str">
        <f>IFERROR(__xludf.DUMMYFUNCTION("""COMPUTED_VALUE"""),"miko-japan-new-blue, miko-japan-black-dusk")</f>
        <v>miko-japan-new-blue, miko-japan-black-dusk</v>
      </c>
      <c r="I223" s="11"/>
    </row>
    <row r="224">
      <c r="A224" s="11" t="str">
        <f>IFERROR(__xludf.DUMMYFUNCTION("""COMPUTED_VALUE"""),"Livid men")</f>
        <v>Livid men</v>
      </c>
      <c r="B224" s="11" t="str">
        <f>IFERROR(__xludf.DUMMYFUNCTION("""COMPUTED_VALUE"""),"Jeans")</f>
        <v>Jeans</v>
      </c>
      <c r="C224" s="11" t="str">
        <f>IFERROR(__xludf.DUMMYFUNCTION("""COMPUTED_VALUE"""),"miko-japan-new-blue")</f>
        <v>miko-japan-new-blue</v>
      </c>
      <c r="D224" s="11" t="str">
        <f>IFERROR(__xludf.DUMMYFUNCTION("""COMPUTED_VALUE"""),"Miko Japan New Blue")</f>
        <v>Miko Japan New Blue</v>
      </c>
      <c r="E224" s="11" t="str">
        <f>IFERROR(__xludf.DUMMYFUNCTION("""COMPUTED_VALUE"""),"Made in Portugal
Introducing Miko. Mid-rise, with a straight fit at the waist, a flat front and a slim tapered leg. A great fit for those who seek a slimmer silhouette.
In our mid-blue wash, Japan New Blue. Made with a 13 Oz. 100% cotton, indigo wideloo"&amp;"m denim woven by the renowned Japanese denim mill, Kuroki. Washed to a light shade of indigo with subtle wear patterns for a classic vintage look.")</f>
        <v>Made in Portugal
Introducing Miko. Mid-rise, with a straight fit at the waist, a flat front and a slim tapered leg. A great fit for those who seek a slimmer silhouette.
In our mid-blue wash, Japan New Blue. Made with a 13 Oz. 100% cotton, indigo wideloom denim woven by the renowned Japanese denim mill, Kuroki. Washed to a light shade of indigo with subtle wear patterns for a classic vintage look.</v>
      </c>
      <c r="F224" s="11" t="str">
        <f>IFERROR(__xludf.DUMMYFUNCTION("""COMPUTED_VALUE"""),"Our slim tapered, Miko, in a vintage mid-blue wash.")</f>
        <v>Our slim tapered, Miko, in a vintage mid-blue wash.</v>
      </c>
      <c r="G224" s="11" t="str">
        <f>IFERROR(__xludf.DUMMYFUNCTION("""COMPUTED_VALUE"""),"- Light blue washed rope-dyed indigo denim
- 13 Oz wideloom denim from Kuroki, Japan
- 100% Sanforized cotton
- Warp dyed in indigo, natural coloured weft
- 8 Oz ecru canvas pocketing
- Tanned leather patch w/ wax treatment, Made in Italy.
- YKK two-prong"&amp;" silver button fly
- YKK solid copper washed-burr rivets
- Stitched with durable poly-core cotton thread
- Made at Lisama, Portugal")</f>
        <v>- Light blue washed rope-dyed indigo denim
- 13 Oz wideloom denim from Kuroki, Japan
- 100% Sanforized cotton
- Warp dyed in indigo, natural coloured weft
- 8 Oz ecru canvas pocketing
- Tanned leather patch w/ wax treatment, Made in Italy.
- YKK two-prong silver button fly
- YKK solid copper washed-burr rivets
- Stitched with durable poly-core cotton thread
- Made at Lisama, Portugal</v>
      </c>
      <c r="H224" s="11" t="str">
        <f>IFERROR(__xludf.DUMMYFUNCTION("""COMPUTED_VALUE"""),"miko-japan-indigo-dusk, miko-japan-black-dusk")</f>
        <v>miko-japan-indigo-dusk, miko-japan-black-dusk</v>
      </c>
      <c r="I224" s="11"/>
    </row>
    <row r="225">
      <c r="A225" s="11" t="str">
        <f>IFERROR(__xludf.DUMMYFUNCTION("""COMPUTED_VALUE"""),"Livid Men")</f>
        <v>Livid Men</v>
      </c>
      <c r="B225" s="11" t="str">
        <f>IFERROR(__xludf.DUMMYFUNCTION("""COMPUTED_VALUE"""),"Jacket")</f>
        <v>Jacket</v>
      </c>
      <c r="C225" s="11" t="str">
        <f>IFERROR(__xludf.DUMMYFUNCTION("""COMPUTED_VALUE"""),"moore-shadow")</f>
        <v>moore-shadow</v>
      </c>
      <c r="D225" s="11" t="str">
        <f>IFERROR(__xludf.DUMMYFUNCTION("""COMPUTED_VALUE"""),"Moore Shadow")</f>
        <v>Moore Shadow</v>
      </c>
      <c r="E225" s="11" t="str">
        <f>IFERROR(__xludf.DUMMYFUNCTION("""COMPUTED_VALUE"""),"Made in Portugal
Our trucker jacket Moore, made in a 13 Oz black denim woven at the renowned Italian mill Candiani, for a fully European made jacket. Washed to our structural faded black wash Shadow. Pair with our Kai, Burley or Faye Japan Shadow jeans f"&amp;"or a double denim set.
The Moore is a regular fit jacket, designed for normal layering. Featuring a centre front closure with custom silver YKK two-prong tack donut buttons, a single square chest patch pocket, hidden handwarmer pockets in the outseams, t"&amp;"wo large interior pockets and long sleeves ending in button cuffs.")</f>
        <v>Made in Portugal
Our trucker jacket Moore, made in a 13 Oz black denim woven at the renowned Italian mill Candiani, for a fully European made jacket. Washed to our structural faded black wash Shadow. Pair with our Kai, Burley or Faye Japan Shadow jeans for a double denim set.
The Moore is a regular fit jacket, designed for normal layering. Featuring a centre front closure with custom silver YKK two-prong tack donut buttons, a single square chest patch pocket, hidden handwarmer pockets in the outseams, two large interior pockets and long sleeves ending in button cuffs.</v>
      </c>
      <c r="F225" s="11" t="str">
        <f>IFERROR(__xludf.DUMMYFUNCTION("""COMPUTED_VALUE"""),"Our trucker jacket Moore made in a 13 Oz black denim, with a perfect short and snug fit.")</f>
        <v>Our trucker jacket Moore made in a 13 Oz black denim, with a perfect short and snug fit.</v>
      </c>
      <c r="G225" s="11" t="str">
        <f>IFERROR(__xludf.DUMMYFUNCTION("""COMPUTED_VALUE"""),"- Washed rope-dyed black denim
- 13 Oz wideloom denim from Candiani, Italy
- 100% Sanforized cotton
- Custom silver two-prongtack donut buttons made by YKK in Portugal
- Stitched with durable poly core cotton thread
- Made at Lisama, Portugal")</f>
        <v>- Washed rope-dyed black denim
- 13 Oz wideloom denim from Candiani, Italy
- 100% Sanforized cotton
- Custom silver two-prongtack donut buttons made by YKK in Portugal
- Stitched with durable poly core cotton thread
- Made at Lisama, Portugal</v>
      </c>
      <c r="H225" s="11"/>
      <c r="I225" s="11" t="str">
        <f>IFERROR(__xludf.DUMMYFUNCTION("""COMPUTED_VALUE"""),"tarmac-canvas-dune-ginger, burley-japan-off-white, nile-cashmere-natural")</f>
        <v>tarmac-canvas-dune-ginger, burley-japan-off-white, nile-cashmere-natural</v>
      </c>
    </row>
    <row r="226">
      <c r="A226" s="11" t="str">
        <f>IFERROR(__xludf.DUMMYFUNCTION("""COMPUTED_VALUE"""),"Livid men")</f>
        <v>Livid men</v>
      </c>
      <c r="B226" s="11" t="str">
        <f>IFERROR(__xludf.DUMMYFUNCTION("""COMPUTED_VALUE"""),"Longsleeve")</f>
        <v>Longsleeve</v>
      </c>
      <c r="C226" s="11" t="str">
        <f>IFERROR(__xludf.DUMMYFUNCTION("""COMPUTED_VALUE"""),"needle-flint")</f>
        <v>needle-flint</v>
      </c>
      <c r="D226" s="11" t="str">
        <f>IFERROR(__xludf.DUMMYFUNCTION("""COMPUTED_VALUE"""),"Needle Flint")</f>
        <v>Needle Flint</v>
      </c>
      <c r="E226" s="11" t="str">
        <f>IFERROR(__xludf.DUMMYFUNCTION("""COMPUTED_VALUE"""),"Made in Portugal
Needle, our relaxed longsleeve, made with dropped shoulders, a relaxed body, slits at the bottom hem, and a slightly longer back. Made in our signature 6.5 Oz. jersey.")</f>
        <v>Made in Portugal
Needle, our relaxed longsleeve, made with dropped shoulders, a relaxed body, slits at the bottom hem, and a slightly longer back. Made in our signature 6.5 Oz. jersey.</v>
      </c>
      <c r="F226" s="11" t="str">
        <f>IFERROR(__xludf.DUMMYFUNCTION("""COMPUTED_VALUE"""),"Our relaxed fit longsleeve, Needle, in a seasonal colour.")</f>
        <v>Our relaxed fit longsleeve, Needle, in a seasonal colour.</v>
      </c>
      <c r="G226" s="11" t="str">
        <f>IFERROR(__xludf.DUMMYFUNCTION("""COMPUTED_VALUE"""),"- 100%cotton
- 220 gsm pre-shrunk jersey
- Knitted by Etevimol in Portugal
- Livid embroidery on chest
- Fine rib collar
- Sewn with durable poly-core cotton thread
- Made at Texgoios in Portugal")</f>
        <v>- 100%cotton
- 220 gsm pre-shrunk jersey
- Knitted by Etevimol in Portugal
- Livid embroidery on chest
- Fine rib collar
- Sewn with durable poly-core cotton thread
- Made at Texgoios in Portugal</v>
      </c>
      <c r="H226" s="11" t="str">
        <f>IFERROR(__xludf.DUMMYFUNCTION("""COMPUTED_VALUE"""),"needle-otter-ministripe")</f>
        <v>needle-otter-ministripe</v>
      </c>
      <c r="I226" s="11" t="str">
        <f>IFERROR(__xludf.DUMMYFUNCTION("""COMPUTED_VALUE"""),"keri-japan-black")</f>
        <v>keri-japan-black</v>
      </c>
    </row>
    <row r="227">
      <c r="A227" s="11" t="str">
        <f>IFERROR(__xludf.DUMMYFUNCTION("""COMPUTED_VALUE"""),"Livid men")</f>
        <v>Livid men</v>
      </c>
      <c r="B227" s="11" t="str">
        <f>IFERROR(__xludf.DUMMYFUNCTION("""COMPUTED_VALUE"""),"T-Shirt")</f>
        <v>T-Shirt</v>
      </c>
      <c r="C227" s="11" t="str">
        <f>IFERROR(__xludf.DUMMYFUNCTION("""COMPUTED_VALUE"""),"needle-mud-stripe")</f>
        <v>needle-mud-stripe</v>
      </c>
      <c r="D227" s="11" t="str">
        <f>IFERROR(__xludf.DUMMYFUNCTION("""COMPUTED_VALUE"""),"Needle Mud Stripe")</f>
        <v>Needle Mud Stripe</v>
      </c>
      <c r="E227" s="11"/>
      <c r="F227" s="11"/>
      <c r="G227" s="11"/>
      <c r="H227" s="11"/>
      <c r="I227" s="11"/>
    </row>
    <row r="228">
      <c r="A228" s="11" t="str">
        <f>IFERROR(__xludf.DUMMYFUNCTION("""COMPUTED_VALUE"""),"Livid men")</f>
        <v>Livid men</v>
      </c>
      <c r="B228" s="11" t="str">
        <f>IFERROR(__xludf.DUMMYFUNCTION("""COMPUTED_VALUE"""),"Longsleeve")</f>
        <v>Longsleeve</v>
      </c>
      <c r="C228" s="11" t="str">
        <f>IFERROR(__xludf.DUMMYFUNCTION("""COMPUTED_VALUE"""),"needle-otter-ministripe")</f>
        <v>needle-otter-ministripe</v>
      </c>
      <c r="D228" s="11" t="str">
        <f>IFERROR(__xludf.DUMMYFUNCTION("""COMPUTED_VALUE"""),"Needle Otter Ministripe")</f>
        <v>Needle Otter Ministripe</v>
      </c>
      <c r="E228" s="11" t="str">
        <f>IFERROR(__xludf.DUMMYFUNCTION("""COMPUTED_VALUE"""),"Made in Portugal
Needle, our relaxed longsleeve, made with dropped shoulders, a relaxed body, slits at the bottom hem, and a slightly longer back. Made in our signature 6.5 Oz. jersey. Knitted in a stripe design, and then overdyed.")</f>
        <v>Made in Portugal
Needle, our relaxed longsleeve, made with dropped shoulders, a relaxed body, slits at the bottom hem, and a slightly longer back. Made in our signature 6.5 Oz. jersey. Knitted in a stripe design, and then overdyed.</v>
      </c>
      <c r="F228" s="11" t="str">
        <f>IFERROR(__xludf.DUMMYFUNCTION("""COMPUTED_VALUE"""),"Our relaxed fit longsleeve, Needle, in a seasonal stripe design.")</f>
        <v>Our relaxed fit longsleeve, Needle, in a seasonal stripe design.</v>
      </c>
      <c r="G228" s="11" t="str">
        <f>IFERROR(__xludf.DUMMYFUNCTION("""COMPUTED_VALUE"""),"- 100%cotton
- 220 gsm pre-shrunk jersey
- Knitted by Etevimol in Portugal
- Livid embroidery on chest
- Fine rib collar
- Sewn with durable poly-core cotton thread
- Made at Texgoios in Portugal")</f>
        <v>- 100%cotton
- 220 gsm pre-shrunk jersey
- Knitted by Etevimol in Portugal
- Livid embroidery on chest
- Fine rib collar
- Sewn with durable poly-core cotton thread
- Made at Texgoios in Portugal</v>
      </c>
      <c r="H228" s="11" t="str">
        <f>IFERROR(__xludf.DUMMYFUNCTION("""COMPUTED_VALUE"""),"needle-flint")</f>
        <v>needle-flint</v>
      </c>
      <c r="I228" s="11" t="str">
        <f>IFERROR(__xludf.DUMMYFUNCTION("""COMPUTED_VALUE"""),"barnes-japan-black")</f>
        <v>barnes-japan-black</v>
      </c>
    </row>
    <row r="229">
      <c r="A229" s="11" t="str">
        <f>IFERROR(__xludf.DUMMYFUNCTION("""COMPUTED_VALUE"""),"Livid Men")</f>
        <v>Livid Men</v>
      </c>
      <c r="B229" s="11" t="str">
        <f>IFERROR(__xludf.DUMMYFUNCTION("""COMPUTED_VALUE"""),"T-Shirt")</f>
        <v>T-Shirt</v>
      </c>
      <c r="C229" s="11" t="str">
        <f>IFERROR(__xludf.DUMMYFUNCTION("""COMPUTED_VALUE"""),"nelson-black")</f>
        <v>nelson-black</v>
      </c>
      <c r="D229" s="11" t="str">
        <f>IFERROR(__xludf.DUMMYFUNCTION("""COMPUTED_VALUE"""),"Nelson Black")</f>
        <v>Nelson Black</v>
      </c>
      <c r="E229" s="11" t="str">
        <f>IFERROR(__xludf.DUMMYFUNCTION("""COMPUTED_VALUE"""),"Made in Portugal 
From our All Seasons line comes our relaxed fit tee, Nelson. Made from a pre-shrunk 6.5 Oz heavyweight 100% cotton jersey exclusively made for Livid in Portugal. This particular fabric has been used in our Richmond t-shirts for a decade"&amp;" and has become very popular due to its durability and comfortable hand feel.
Featuring dropped shoulders, a wider body for a relaxed fit, and a slightly shorter length than our basic tee Richmond. A wardrobe staple that works in any occasion regardless "&amp;"of seasonal trends.")</f>
        <v>Made in Portugal 
From our All Seasons line comes our relaxed fit tee, Nelson. Made from a pre-shrunk 6.5 Oz heavyweight 100% cotton jersey exclusively made for Livid in Portugal. This particular fabric has been used in our Richmond t-shirts for a decade and has become very popular due to its durability and comfortable hand feel.
Featuring dropped shoulders, a wider body for a relaxed fit, and a slightly shorter length than our basic tee Richmond. A wardrobe staple that works in any occasion regardless of seasonal trends.</v>
      </c>
      <c r="F229" s="11" t="str">
        <f>IFERROR(__xludf.DUMMYFUNCTION("""COMPUTED_VALUE"""),"Our relaxed fit tee, Nelson.")</f>
        <v>Our relaxed fit tee, Nelson.</v>
      </c>
      <c r="G229" s="11" t="str">
        <f>IFERROR(__xludf.DUMMYFUNCTION("""COMPUTED_VALUE"""),"- 100% cotton
- 220 gsm pre-shrunk jersey
- Livid embroidery on chest
- Fine rib collar
- Sewn with durable poly core cotton thread
- Jersey knitted by Etevimol in Portugal
- Made at Texgoios in Portugal")</f>
        <v>- 100% cotton
- 220 gsm pre-shrunk jersey
- Livid embroidery on chest
- Fine rib collar
- Sewn with durable poly core cotton thread
- Jersey knitted by Etevimol in Portugal
- Made at Texgoios in Portugal</v>
      </c>
      <c r="H229" s="11" t="str">
        <f>IFERROR(__xludf.DUMMYFUNCTION("""COMPUTED_VALUE"""),"nelson-black, nelson-charcoal-melange, nelson-grey-melange, nelson-green, nelson-white, nelson-bleek-eclipse, nelson-brown-multistripe")</f>
        <v>nelson-black, nelson-charcoal-melange, nelson-grey-melange, nelson-green, nelson-white, nelson-bleek-eclipse, nelson-brown-multistripe</v>
      </c>
      <c r="I229" s="11" t="str">
        <f>IFERROR(__xludf.DUMMYFUNCTION("""COMPUTED_VALUE"""),"fuller-japan-indigo-dusk, chambord-noir")</f>
        <v>fuller-japan-indigo-dusk, chambord-noir</v>
      </c>
    </row>
    <row r="230">
      <c r="A230" s="11" t="str">
        <f>IFERROR(__xludf.DUMMYFUNCTION("""COMPUTED_VALUE"""),"Livid men")</f>
        <v>Livid men</v>
      </c>
      <c r="B230" s="11" t="str">
        <f>IFERROR(__xludf.DUMMYFUNCTION("""COMPUTED_VALUE"""),"T-Shirt")</f>
        <v>T-Shirt</v>
      </c>
      <c r="C230" s="11" t="str">
        <f>IFERROR(__xludf.DUMMYFUNCTION("""COMPUTED_VALUE"""),"nelson-black-fadeout")</f>
        <v>nelson-black-fadeout</v>
      </c>
      <c r="D230" s="11" t="str">
        <f>IFERROR(__xludf.DUMMYFUNCTION("""COMPUTED_VALUE"""),"Nelson Black Fadeout")</f>
        <v>Nelson Black Fadeout</v>
      </c>
      <c r="E230" s="11"/>
      <c r="F230" s="11"/>
      <c r="G230" s="11"/>
      <c r="H230" s="11"/>
      <c r="I230" s="11"/>
    </row>
    <row r="231">
      <c r="A231" s="11" t="str">
        <f>IFERROR(__xludf.DUMMYFUNCTION("""COMPUTED_VALUE"""),"Livid men")</f>
        <v>Livid men</v>
      </c>
      <c r="B231" s="11" t="str">
        <f>IFERROR(__xludf.DUMMYFUNCTION("""COMPUTED_VALUE"""),"T-Shirt")</f>
        <v>T-Shirt</v>
      </c>
      <c r="C231" s="11" t="str">
        <f>IFERROR(__xludf.DUMMYFUNCTION("""COMPUTED_VALUE"""),"nelson-bleek-eclipse")</f>
        <v>nelson-bleek-eclipse</v>
      </c>
      <c r="D231" s="11" t="str">
        <f>IFERROR(__xludf.DUMMYFUNCTION("""COMPUTED_VALUE"""),"Nelson Bleek Eclipse")</f>
        <v>Nelson Bleek Eclipse</v>
      </c>
      <c r="E231" s="11" t="str">
        <f>IFERROR(__xludf.DUMMYFUNCTION("""COMPUTED_VALUE"""),"Made in Portugal 
From our Core line comes our relaxed fit tee, Nelson. Made from a pre-shrunk 6.5 Oz heavyweight 100% cotton jersey exclusively made for Livid in Portugal. This particular fabric has been used in our Richmond t-shirts for more than a dec"&amp;"ade and has become very popular due to its durability and comfortable hand feel.
Featuring dropped shoulders, a wider body for a relaxed fit, and a slightly shorter length than our basic tee Richmond.")</f>
        <v>Made in Portugal 
From our Core line comes our relaxed fit tee, Nelson. Made from a pre-shrunk 6.5 Oz heavyweight 100% cotton jersey exclusively made for Livid in Portugal. This particular fabric has been used in our Richmond t-shirts for more than a decade and has become very popular due to its durability and comfortable hand feel.
Featuring dropped shoulders, a wider body for a relaxed fit, and a slightly shorter length than our basic tee Richmond.</v>
      </c>
      <c r="F231" s="11" t="str">
        <f>IFERROR(__xludf.DUMMYFUNCTION("""COMPUTED_VALUE"""),"Our relaxed fit tee, Nelson.")</f>
        <v>Our relaxed fit tee, Nelson.</v>
      </c>
      <c r="G231" s="11" t="str">
        <f>IFERROR(__xludf.DUMMYFUNCTION("""COMPUTED_VALUE"""),"- 100% cotton
- 220 gsm pre-shrunk jersey
- Livid embroidery on chest
- Fine rib collar
- Sewn with durable poly core cotton thread
- Jersey knitted by Etevimol in Portugal
- Made at Texgoios in Portugal")</f>
        <v>- 100% cotton
- 220 gsm pre-shrunk jersey
- Livid embroidery on chest
- Fine rib collar
- Sewn with durable poly core cotton thread
- Jersey knitted by Etevimol in Portugal
- Made at Texgoios in Portugal</v>
      </c>
      <c r="H231" s="11" t="str">
        <f>IFERROR(__xludf.DUMMYFUNCTION("""COMPUTED_VALUE"""),"nelson-charcoal-melange, nelson-green, nelson-brown-multistripe")</f>
        <v>nelson-charcoal-melange, nelson-green, nelson-brown-multistripe</v>
      </c>
      <c r="I231" s="11" t="str">
        <f>IFERROR(__xludf.DUMMYFUNCTION("""COMPUTED_VALUE"""),"fuller-japan-black-dusk, chambord-noir")</f>
        <v>fuller-japan-black-dusk, chambord-noir</v>
      </c>
    </row>
    <row r="232">
      <c r="A232" s="11" t="str">
        <f>IFERROR(__xludf.DUMMYFUNCTION("""COMPUTED_VALUE"""),"Livid men")</f>
        <v>Livid men</v>
      </c>
      <c r="B232" s="11" t="str">
        <f>IFERROR(__xludf.DUMMYFUNCTION("""COMPUTED_VALUE"""),"T-Shirt")</f>
        <v>T-Shirt</v>
      </c>
      <c r="C232" s="11" t="str">
        <f>IFERROR(__xludf.DUMMYFUNCTION("""COMPUTED_VALUE"""),"nelson-brown-multistripe")</f>
        <v>nelson-brown-multistripe</v>
      </c>
      <c r="D232" s="11" t="str">
        <f>IFERROR(__xludf.DUMMYFUNCTION("""COMPUTED_VALUE"""),"Nelson Brown Multistripe")</f>
        <v>Nelson Brown Multistripe</v>
      </c>
      <c r="E232" s="11" t="str">
        <f>IFERROR(__xludf.DUMMYFUNCTION("""COMPUTED_VALUE"""),"Made in Portugal
Our relaxed fit tee, Nelson. Made from a pre-shrunk 6.5 Oz heavyweight 100% cotton jersey exclusively made for Livid in Portugal, with a knitted stripe design. This particular fabric has been used in our Richmond t-shirts for more than a"&amp;" decade and has become very popular due to its durability and comfortable hand feel.
Featuring dropped shoulders, a wider body for a relaxed fit, and a slightly shorter length than our basic tee Richmond.")</f>
        <v>Made in Portugal
Our relaxed fit tee, Nelson. Made from a pre-shrunk 6.5 Oz heavyweight 100% cotton jersey exclusively made for Livid in Portugal, with a knitted stripe design. This particular fabric has been used in our Richmond t-shirts for more than a decade and has become very popular due to its durability and comfortable hand feel.
Featuring dropped shoulders, a wider body for a relaxed fit, and a slightly shorter length than our basic tee Richmond.</v>
      </c>
      <c r="F232" s="11" t="str">
        <f>IFERROR(__xludf.DUMMYFUNCTION("""COMPUTED_VALUE"""),"Our relaxed fit tee Nelson, made in a seasonal knitted stripe design.")</f>
        <v>Our relaxed fit tee Nelson, made in a seasonal knitted stripe design.</v>
      </c>
      <c r="G232" s="11" t="str">
        <f>IFERROR(__xludf.DUMMYFUNCTION("""COMPUTED_VALUE"""),"- 100% cotton
- 220 gsm pre-shrunk jersey
- Livid embroidery on chest
- Fine rib collar
- Sewn with durable poly core cotton thread
- Jersey knitted by Etevimol in Portugal
- Made at Texgoios in Portugal")</f>
        <v>- 100% cotton
- 220 gsm pre-shrunk jersey
- Livid embroidery on chest
- Fine rib collar
- Sewn with durable poly core cotton thread
- Jersey knitted by Etevimol in Portugal
- Made at Texgoios in Portugal</v>
      </c>
      <c r="H232" s="11" t="str">
        <f>IFERROR(__xludf.DUMMYFUNCTION("""COMPUTED_VALUE"""),"nelson-bleek-eclipse, nelson-charcoal-melange, nelson-green")</f>
        <v>nelson-bleek-eclipse, nelson-charcoal-melange, nelson-green</v>
      </c>
      <c r="I232" s="11" t="str">
        <f>IFERROR(__xludf.DUMMYFUNCTION("""COMPUTED_VALUE"""),"barnes-japan-black")</f>
        <v>barnes-japan-black</v>
      </c>
    </row>
    <row r="233">
      <c r="A233" s="11" t="str">
        <f>IFERROR(__xludf.DUMMYFUNCTION("""COMPUTED_VALUE"""),"Livid Men")</f>
        <v>Livid Men</v>
      </c>
      <c r="B233" s="11" t="str">
        <f>IFERROR(__xludf.DUMMYFUNCTION("""COMPUTED_VALUE"""),"T-Shirt")</f>
        <v>T-Shirt</v>
      </c>
      <c r="C233" s="11" t="str">
        <f>IFERROR(__xludf.DUMMYFUNCTION("""COMPUTED_VALUE"""),"nelson-charcoal-1")</f>
        <v>nelson-charcoal-1</v>
      </c>
      <c r="D233" s="11" t="str">
        <f>IFERROR(__xludf.DUMMYFUNCTION("""COMPUTED_VALUE"""),"Nelson Charcoal")</f>
        <v>Nelson Charcoal</v>
      </c>
      <c r="E233" s="11" t="str">
        <f>IFERROR(__xludf.DUMMYFUNCTION("""COMPUTED_VALUE"""),"Made in Portugal
Our relaxed fit tee Nelson, dyed in a seasonal colour: Charcoal
Made from a pre-shrunk 6.5 Oz heavy 100% cotton jersey exclusively made for Livid in Portugal. This particular fabric has been used in our Nelson and Richmond t-shirts for "&amp;"many years and has become very popular due to its durability and comfortable hand feel.
Featuring dropped shoulders, a wider body, and a slightly shorter length than our basic tee Richmond. Relaxed, but not oversized. A wardrobe staple piece that works i"&amp;"n any occasion regardless of seasonal trends.
Details &amp; Features
- 100% cotton
- 220 gsm pre-shrunk jersey
- Livid embroidery on chest
- Fine rib collar
- Sewn with durable poly core cotton thread
- Knitted by Etevimol in Portugal
- Made at Texgoios in P"&amp;"ortugal")</f>
        <v>Made in Portugal
Our relaxed fit tee Nelson, dyed in a seasonal colour: Charcoal
Made from a pre-shrunk 6.5 Oz heavy 100% cotton jersey exclusively made for Livid in Portugal. This particular fabric has been used in our Nelson and Richmond t-shirts for many years and has become very popular due to its durability and comfortable hand feel.
Featuring dropped shoulders, a wider body, and a slightly shorter length than our basic tee Richmond. Relaxed, but not oversized. A wardrobe staple piece that works in any occasion regardless of seasonal trends.
Details &amp; Features
- 100% cotton
- 220 gsm pre-shrunk jersey
- Livid embroidery on chest
- Fine rib collar
- Sewn with durable poly core cotton thread
- Knitted by Etevimol in Portugal
- Made at Texgoios in Portugal</v>
      </c>
      <c r="F233" s="11" t="str">
        <f>IFERROR(__xludf.DUMMYFUNCTION("""COMPUTED_VALUE"""),"Our relaxed fit tee Nelson, in a seasonal colourway.")</f>
        <v>Our relaxed fit tee Nelson, in a seasonal colourway.</v>
      </c>
      <c r="G233" s="11"/>
      <c r="H233" s="11" t="str">
        <f>IFERROR(__xludf.DUMMYFUNCTION("""COMPUTED_VALUE"""),"nelson-black, nelson-white, nelson-grey-melange, nelson-light-grey, nelson-black-indigo, nelson-multistripe, nelson-bonnet-overdye, nelson-putty-overdye-1, nelson-string")</f>
        <v>nelson-black, nelson-white, nelson-grey-melange, nelson-light-grey, nelson-black-indigo, nelson-multistripe, nelson-bonnet-overdye, nelson-putty-overdye-1, nelson-string</v>
      </c>
      <c r="I233" s="11" t="str">
        <f>IFERROR(__xludf.DUMMYFUNCTION("""COMPUTED_VALUE"""),"hayes-black, dunn-shadow")</f>
        <v>hayes-black, dunn-shadow</v>
      </c>
    </row>
    <row r="234">
      <c r="A234" s="11" t="str">
        <f>IFERROR(__xludf.DUMMYFUNCTION("""COMPUTED_VALUE"""),"Livid men")</f>
        <v>Livid men</v>
      </c>
      <c r="B234" s="11" t="str">
        <f>IFERROR(__xludf.DUMMYFUNCTION("""COMPUTED_VALUE"""),"T-Shirt")</f>
        <v>T-Shirt</v>
      </c>
      <c r="C234" s="11" t="str">
        <f>IFERROR(__xludf.DUMMYFUNCTION("""COMPUTED_VALUE"""),"nelson-charcoal-melange")</f>
        <v>nelson-charcoal-melange</v>
      </c>
      <c r="D234" s="11" t="str">
        <f>IFERROR(__xludf.DUMMYFUNCTION("""COMPUTED_VALUE"""),"Nelson Charcoal Melange")</f>
        <v>Nelson Charcoal Melange</v>
      </c>
      <c r="E234" s="11" t="str">
        <f>IFERROR(__xludf.DUMMYFUNCTION("""COMPUTED_VALUE"""),"Made in Portugal 
From our Core line comes our relaxed fit tee, Nelson. Made from a pre-shrunk 6.5 Oz heavyweight 100% cotton jersey exclusively made for Livid in Portugal. This particular fabric has been used in our Richmond t-shirts for more than a dec"&amp;"ade and has become very popular due to its durability and comfortable hand feel.
Featuring dropped shoulders, a wider body for a relaxed fit, and a slightly shorter length than our basic tee Richmond.")</f>
        <v>Made in Portugal 
From our Core line comes our relaxed fit tee, Nelson. Made from a pre-shrunk 6.5 Oz heavyweight 100% cotton jersey exclusively made for Livid in Portugal. This particular fabric has been used in our Richmond t-shirts for more than a decade and has become very popular due to its durability and comfortable hand feel.
Featuring dropped shoulders, a wider body for a relaxed fit, and a slightly shorter length than our basic tee Richmond.</v>
      </c>
      <c r="F234" s="11" t="str">
        <f>IFERROR(__xludf.DUMMYFUNCTION("""COMPUTED_VALUE"""),"Our relaxed fit tee, Nelson.")</f>
        <v>Our relaxed fit tee, Nelson.</v>
      </c>
      <c r="G234" s="11" t="str">
        <f>IFERROR(__xludf.DUMMYFUNCTION("""COMPUTED_VALUE"""),"- 100% cotton
- 220 gsm pre-shrunk jersey
- Livid embroidery on chest
- Fine rib collar
- Sewn with durable poly core cotton thread
- Jersey knitted by Etevimol in Portugal
- Made at Texgoios in Portugal")</f>
        <v>- 100% cotton
- 220 gsm pre-shrunk jersey
- Livid embroidery on chest
- Fine rib collar
- Sewn with durable poly core cotton thread
- Jersey knitted by Etevimol in Portugal
- Made at Texgoios in Portugal</v>
      </c>
      <c r="H234" s="11" t="str">
        <f>IFERROR(__xludf.DUMMYFUNCTION("""COMPUTED_VALUE"""),"nelson-green, nelson-bleek-eclipse, nelson-brown-multistripe")</f>
        <v>nelson-green, nelson-bleek-eclipse, nelson-brown-multistripe</v>
      </c>
      <c r="I234" s="11"/>
    </row>
    <row r="235">
      <c r="A235" s="11" t="str">
        <f>IFERROR(__xludf.DUMMYFUNCTION("""COMPUTED_VALUE"""),"Livid men")</f>
        <v>Livid men</v>
      </c>
      <c r="B235" s="11" t="str">
        <f>IFERROR(__xludf.DUMMYFUNCTION("""COMPUTED_VALUE"""),"T-Shirt")</f>
        <v>T-Shirt</v>
      </c>
      <c r="C235" s="11" t="str">
        <f>IFERROR(__xludf.DUMMYFUNCTION("""COMPUTED_VALUE"""),"nelson-fog-fadeout")</f>
        <v>nelson-fog-fadeout</v>
      </c>
      <c r="D235" s="11" t="str">
        <f>IFERROR(__xludf.DUMMYFUNCTION("""COMPUTED_VALUE"""),"Nelson Fog Fadeout")</f>
        <v>Nelson Fog Fadeout</v>
      </c>
      <c r="E235" s="11"/>
      <c r="F235" s="11"/>
      <c r="G235" s="11"/>
      <c r="H235" s="11"/>
      <c r="I235" s="11"/>
    </row>
    <row r="236">
      <c r="A236" s="11" t="str">
        <f>IFERROR(__xludf.DUMMYFUNCTION("""COMPUTED_VALUE"""),"Livid men")</f>
        <v>Livid men</v>
      </c>
      <c r="B236" s="11" t="str">
        <f>IFERROR(__xludf.DUMMYFUNCTION("""COMPUTED_VALUE"""),"T-Shirt")</f>
        <v>T-Shirt</v>
      </c>
      <c r="C236" s="11" t="str">
        <f>IFERROR(__xludf.DUMMYFUNCTION("""COMPUTED_VALUE"""),"nelson-green")</f>
        <v>nelson-green</v>
      </c>
      <c r="D236" s="11" t="str">
        <f>IFERROR(__xludf.DUMMYFUNCTION("""COMPUTED_VALUE"""),"Nelson Green")</f>
        <v>Nelson Green</v>
      </c>
      <c r="E236" s="11" t="str">
        <f>IFERROR(__xludf.DUMMYFUNCTION("""COMPUTED_VALUE"""),"Made in Portugal 
From our Core line comes our relaxed fit tee, Nelson. Made from a pre-shrunk 6.5 Oz heavyweight 100% cotton jersey exclusively made for Livid in Portugal. This particular fabric has been used in our Richmond t-shirts for more than a dec"&amp;"ade and has become very popular due to its durability and comfortable hand feel.
Featuring dropped shoulders, a wider body for a relaxed fit, and a slightly shorter length than our basic tee Richmond.")</f>
        <v>Made in Portugal 
From our Core line comes our relaxed fit tee, Nelson. Made from a pre-shrunk 6.5 Oz heavyweight 100% cotton jersey exclusively made for Livid in Portugal. This particular fabric has been used in our Richmond t-shirts for more than a decade and has become very popular due to its durability and comfortable hand feel.
Featuring dropped shoulders, a wider body for a relaxed fit, and a slightly shorter length than our basic tee Richmond.</v>
      </c>
      <c r="F236" s="11" t="str">
        <f>IFERROR(__xludf.DUMMYFUNCTION("""COMPUTED_VALUE"""),"Our relaxed fit tee, Nelson.")</f>
        <v>Our relaxed fit tee, Nelson.</v>
      </c>
      <c r="G236" s="11" t="str">
        <f>IFERROR(__xludf.DUMMYFUNCTION("""COMPUTED_VALUE"""),"- 100% cotton
- 220 gsm pre-shrunk jersey
- Livid embroidery on chest
- Fine rib collar
- Sewn with durable poly core cotton thread
- Jersey knitted by Etevimol in Portugal
- Made at Texgoios in Portugal")</f>
        <v>- 100% cotton
- 220 gsm pre-shrunk jersey
- Livid embroidery on chest
- Fine rib collar
- Sewn with durable poly core cotton thread
- Jersey knitted by Etevimol in Portugal
- Made at Texgoios in Portugal</v>
      </c>
      <c r="H236" s="11" t="str">
        <f>IFERROR(__xludf.DUMMYFUNCTION("""COMPUTED_VALUE"""),"nelson-charcoal-melange, nelson-bleek-eclipse, nelson-brown-multistripe")</f>
        <v>nelson-charcoal-melange, nelson-bleek-eclipse, nelson-brown-multistripe</v>
      </c>
      <c r="I236" s="11" t="str">
        <f>IFERROR(__xludf.DUMMYFUNCTION("""COMPUTED_VALUE"""),"nelson-charcoal-melange, barnes-japan-rinse")</f>
        <v>nelson-charcoal-melange, barnes-japan-rinse</v>
      </c>
    </row>
    <row r="237">
      <c r="A237" s="11" t="str">
        <f>IFERROR(__xludf.DUMMYFUNCTION("""COMPUTED_VALUE"""),"Livid men")</f>
        <v>Livid men</v>
      </c>
      <c r="B237" s="11" t="str">
        <f>IFERROR(__xludf.DUMMYFUNCTION("""COMPUTED_VALUE"""),"T-Shirt")</f>
        <v>T-Shirt</v>
      </c>
      <c r="C237" s="11" t="str">
        <f>IFERROR(__xludf.DUMMYFUNCTION("""COMPUTED_VALUE"""),"nelson-green-stripe")</f>
        <v>nelson-green-stripe</v>
      </c>
      <c r="D237" s="11" t="str">
        <f>IFERROR(__xludf.DUMMYFUNCTION("""COMPUTED_VALUE"""),"Nelson Green Stripe")</f>
        <v>Nelson Green Stripe</v>
      </c>
      <c r="E237" s="11"/>
      <c r="F237" s="11"/>
      <c r="G237" s="11"/>
      <c r="H237" s="11"/>
      <c r="I237" s="11"/>
    </row>
    <row r="238">
      <c r="A238" s="11" t="str">
        <f>IFERROR(__xludf.DUMMYFUNCTION("""COMPUTED_VALUE"""),"Livid Men")</f>
        <v>Livid Men</v>
      </c>
      <c r="B238" s="11" t="str">
        <f>IFERROR(__xludf.DUMMYFUNCTION("""COMPUTED_VALUE"""),"T-Shirt")</f>
        <v>T-Shirt</v>
      </c>
      <c r="C238" s="11" t="str">
        <f>IFERROR(__xludf.DUMMYFUNCTION("""COMPUTED_VALUE"""),"nelson-grey-melange")</f>
        <v>nelson-grey-melange</v>
      </c>
      <c r="D238" s="11" t="str">
        <f>IFERROR(__xludf.DUMMYFUNCTION("""COMPUTED_VALUE"""),"Nelson Grey Melange")</f>
        <v>Nelson Grey Melange</v>
      </c>
      <c r="E238" s="11" t="str">
        <f>IFERROR(__xludf.DUMMYFUNCTION("""COMPUTED_VALUE"""),"Made in Portugal 
From our All Seasons line comes our relaxed fit tee, Nelson. Made from a pre-shrunk 6.5 Oz heavyweight 100% cotton jersey exclusively made for Livid in Portugal. This particular fabric has been used in our Richmond t-shirts for a decade"&amp;" and has become very popular due to its durability and comfortable hand feel.
Featuring dropped shoulders, a wider body for a relaxed fit, and a slightly shorter length than our basic tee Richmond. A wardrobe staple that works in any occasion regardless "&amp;"of seasonal trends.")</f>
        <v>Made in Portugal 
From our All Seasons line comes our relaxed fit tee, Nelson. Made from a pre-shrunk 6.5 Oz heavyweight 100% cotton jersey exclusively made for Livid in Portugal. This particular fabric has been used in our Richmond t-shirts for a decade and has become very popular due to its durability and comfortable hand feel.
Featuring dropped shoulders, a wider body for a relaxed fit, and a slightly shorter length than our basic tee Richmond. A wardrobe staple that works in any occasion regardless of seasonal trends.</v>
      </c>
      <c r="F238" s="11" t="str">
        <f>IFERROR(__xludf.DUMMYFUNCTION("""COMPUTED_VALUE"""),"Our relaxed fit tee, Nelson.")</f>
        <v>Our relaxed fit tee, Nelson.</v>
      </c>
      <c r="G238" s="11" t="str">
        <f>IFERROR(__xludf.DUMMYFUNCTION("""COMPUTED_VALUE"""),"- 100% noil silk
- Spun and woven by Jianxin Silk in China
- Real mother of pearl buttons made by Louropel in Italy
- Stitched with high quality poly core cotton thread
- Made at Yinmao in China
- Garment dyed")</f>
        <v>- 100% noil silk
- Spun and woven by Jianxin Silk in China
- Real mother of pearl buttons made by Louropel in Italy
- Stitched with high quality poly core cotton thread
- Made at Yinmao in China
- Garment dyed</v>
      </c>
      <c r="H238" s="11" t="str">
        <f>IFERROR(__xludf.DUMMYFUNCTION("""COMPUTED_VALUE"""),"nelson-black, nelson-charcoal-melange, nelson-grey-melange, nelson-green, nelson-white, nelson-bleek-eclipse, nelson-brown-multistripe")</f>
        <v>nelson-black, nelson-charcoal-melange, nelson-grey-melange, nelson-green, nelson-white, nelson-bleek-eclipse, nelson-brown-multistripe</v>
      </c>
      <c r="I238" s="11" t="str">
        <f>IFERROR(__xludf.DUMMYFUNCTION("""COMPUTED_VALUE"""),"fuller-japan-black-dusk, star-master-beige-transparent")</f>
        <v>fuller-japan-black-dusk, star-master-beige-transparent</v>
      </c>
    </row>
    <row r="239">
      <c r="A239" s="11" t="str">
        <f>IFERROR(__xludf.DUMMYFUNCTION("""COMPUTED_VALUE"""),"Livid men")</f>
        <v>Livid men</v>
      </c>
      <c r="B239" s="11" t="str">
        <f>IFERROR(__xludf.DUMMYFUNCTION("""COMPUTED_VALUE"""),"T-Shirt")</f>
        <v>T-Shirt</v>
      </c>
      <c r="C239" s="11" t="str">
        <f>IFERROR(__xludf.DUMMYFUNCTION("""COMPUTED_VALUE"""),"nelson-mud")</f>
        <v>nelson-mud</v>
      </c>
      <c r="D239" s="11" t="str">
        <f>IFERROR(__xludf.DUMMYFUNCTION("""COMPUTED_VALUE"""),"Nelson Mud")</f>
        <v>Nelson Mud</v>
      </c>
      <c r="E239" s="11"/>
      <c r="F239" s="11"/>
      <c r="G239" s="11"/>
      <c r="H239" s="11"/>
      <c r="I239" s="11"/>
    </row>
    <row r="240">
      <c r="A240" s="11" t="str">
        <f>IFERROR(__xludf.DUMMYFUNCTION("""COMPUTED_VALUE"""),"Livid Men")</f>
        <v>Livid Men</v>
      </c>
      <c r="B240" s="11" t="str">
        <f>IFERROR(__xludf.DUMMYFUNCTION("""COMPUTED_VALUE"""),"T-Shirt")</f>
        <v>T-Shirt</v>
      </c>
      <c r="C240" s="11" t="str">
        <f>IFERROR(__xludf.DUMMYFUNCTION("""COMPUTED_VALUE"""),"nelson-putty-overdye-1")</f>
        <v>nelson-putty-overdye-1</v>
      </c>
      <c r="D240" s="11" t="str">
        <f>IFERROR(__xludf.DUMMYFUNCTION("""COMPUTED_VALUE"""),"Nelson Putty Overdye")</f>
        <v>Nelson Putty Overdye</v>
      </c>
      <c r="E240" s="11" t="str">
        <f>IFERROR(__xludf.DUMMYFUNCTION("""COMPUTED_VALUE"""),"Made in Portugal
This colourway is cold pigment doubledye, a special dying technique resulting in an uneven weathered look, where every shirt is unique.
Featuring dropped shoulders, a wider body for a relaxed fit, and a slightly shorter length than our "&amp;"basic tee Richmond. Made in our signature 6.5 Oz heavyweight 100% cotton jersey exclusively made for Livid in Portugal.
Details &amp; Features
- 100% cotton
- 220 gsm pre-shrunk jersey, knitted by Etevimol in Portugal
- Livid embroidery at chest
- Fine rib c"&amp;"ollar
- Sewn with durable poly core cotton thread
- Made at Texgoios in Portugal")</f>
        <v>Made in Portugal
This colourway is cold pigment doubledye, a special dying technique resulting in an uneven weathered look, where every shirt is unique.
Featuring dropped shoulders, a wider body for a relaxed fit, and a slightly shorter length than our basic tee Richmond. Made in our signature 6.5 Oz heavyweight 100% cotton jersey exclusively made for Livid in Portugal.
Details &amp; Features
- 100% cotton
- 220 gsm pre-shrunk jersey, knitted by Etevimol in Portugal
- Livid embroidery at chest
- Fine rib collar
- Sewn with durable poly core cotton thread
- Made at Texgoios in Portugal</v>
      </c>
      <c r="F240" s="11" t="str">
        <f>IFERROR(__xludf.DUMMYFUNCTION("""COMPUTED_VALUE"""),"Our relaxed fit Nelson tee in a seasonal cold pigment overdye.")</f>
        <v>Our relaxed fit Nelson tee in a seasonal cold pigment overdye.</v>
      </c>
      <c r="G240" s="11"/>
      <c r="H240" s="11" t="str">
        <f>IFERROR(__xludf.DUMMYFUNCTION("""COMPUTED_VALUE"""),"nelson-black, nelson-white, nelson-grey-melange, nelson-light-grey, nelson-black-indigo, nelson-multistripe, nelson-charcoal-1, nelson-bonnet-overdye, nelson-string")</f>
        <v>nelson-black, nelson-white, nelson-grey-melange, nelson-light-grey, nelson-black-indigo, nelson-multistripe, nelson-charcoal-1, nelson-bonnet-overdye, nelson-string</v>
      </c>
      <c r="I240" s="11"/>
    </row>
    <row r="241">
      <c r="A241" s="11" t="str">
        <f>IFERROR(__xludf.DUMMYFUNCTION("""COMPUTED_VALUE"""),"Livid Men")</f>
        <v>Livid Men</v>
      </c>
      <c r="B241" s="11" t="str">
        <f>IFERROR(__xludf.DUMMYFUNCTION("""COMPUTED_VALUE"""),"T-Shirt")</f>
        <v>T-Shirt</v>
      </c>
      <c r="C241" s="11" t="str">
        <f>IFERROR(__xludf.DUMMYFUNCTION("""COMPUTED_VALUE"""),"nelson-white")</f>
        <v>nelson-white</v>
      </c>
      <c r="D241" s="11" t="str">
        <f>IFERROR(__xludf.DUMMYFUNCTION("""COMPUTED_VALUE"""),"Nelson White")</f>
        <v>Nelson White</v>
      </c>
      <c r="E241" s="11" t="str">
        <f>IFERROR(__xludf.DUMMYFUNCTION("""COMPUTED_VALUE"""),"Made in Portugal 
From our All Seasons line comes our relaxed fit tee, Nelson. Made from a pre-shrunk 6.5 Oz heavyweight 100% cotton jersey exclusively made for Livid in Portugal. This particular fabric has been used in our Richmond t-shirts for a decade"&amp;" and has become very popular due to its durability and comfortable hand feel.
Featuring dropped shoulders, a wider body for a relaxed fit, and a slightly shorter length than our basic tee Richmond. A wardrobe staple that works in any occasion regardless "&amp;"of seasonal trends.")</f>
        <v>Made in Portugal 
From our All Seasons line comes our relaxed fit tee, Nelson. Made from a pre-shrunk 6.5 Oz heavyweight 100% cotton jersey exclusively made for Livid in Portugal. This particular fabric has been used in our Richmond t-shirts for a decade and has become very popular due to its durability and comfortable hand feel.
Featuring dropped shoulders, a wider body for a relaxed fit, and a slightly shorter length than our basic tee Richmond. A wardrobe staple that works in any occasion regardless of seasonal trends.</v>
      </c>
      <c r="F241" s="11" t="str">
        <f>IFERROR(__xludf.DUMMYFUNCTION("""COMPUTED_VALUE"""),"From our All Seasons collection comes Nelson, our maxi-fit tee made from a pre-shrunk, heavy 100% organic cotton jersey. Designed for durability and comfort in our box fit.")</f>
        <v>From our All Seasons collection comes Nelson, our maxi-fit tee made from a pre-shrunk, heavy 100% organic cotton jersey. Designed for durability and comfort in our box fit.</v>
      </c>
      <c r="G241" s="11" t="str">
        <f>IFERROR(__xludf.DUMMYFUNCTION("""COMPUTED_VALUE"""),"- 100% cotton
- 220 gsm pre-shrunk jersey
- Livid embroidery on chest
- Fine rib collar
- Sewn with durable poly core cotton thread
- Jersey knitted by Etevimol in Portugal
- Made at Texgoios in Portugal")</f>
        <v>- 100% cotton
- 220 gsm pre-shrunk jersey
- Livid embroidery on chest
- Fine rib collar
- Sewn with durable poly core cotton thread
- Jersey knitted by Etevimol in Portugal
- Made at Texgoios in Portugal</v>
      </c>
      <c r="H241" s="11" t="str">
        <f>IFERROR(__xludf.DUMMYFUNCTION("""COMPUTED_VALUE"""),"nelson-black, nelson-charcoal-melange, nelson-grey-melange, nelson-green, nelson-white, nelson-bleek-eclipse, nelson-brown-multistripe")</f>
        <v>nelson-black, nelson-charcoal-melange, nelson-grey-melange, nelson-green, nelson-white, nelson-bleek-eclipse, nelson-brown-multistripe</v>
      </c>
      <c r="I241" s="11" t="str">
        <f>IFERROR(__xludf.DUMMYFUNCTION("""COMPUTED_VALUE"""),"beth-low-japan-dive")</f>
        <v>beth-low-japan-dive</v>
      </c>
    </row>
    <row r="242">
      <c r="A242" s="11" t="str">
        <f>IFERROR(__xludf.DUMMYFUNCTION("""COMPUTED_VALUE"""),"Livid men")</f>
        <v>Livid men</v>
      </c>
      <c r="B242" s="11" t="str">
        <f>IFERROR(__xludf.DUMMYFUNCTION("""COMPUTED_VALUE"""),"Jersey")</f>
        <v>Jersey</v>
      </c>
      <c r="C242" s="11" t="str">
        <f>IFERROR(__xludf.DUMMYFUNCTION("""COMPUTED_VALUE"""),"noya-aloe")</f>
        <v>noya-aloe</v>
      </c>
      <c r="D242" s="11" t="str">
        <f>IFERROR(__xludf.DUMMYFUNCTION("""COMPUTED_VALUE"""),"Noya Aloe")</f>
        <v>Noya Aloe</v>
      </c>
      <c r="E242" s="11"/>
      <c r="F242" s="11"/>
      <c r="G242" s="11"/>
      <c r="H242" s="11"/>
      <c r="I242" s="11"/>
    </row>
    <row r="243">
      <c r="A243" s="11" t="str">
        <f>IFERROR(__xludf.DUMMYFUNCTION("""COMPUTED_VALUE"""),"Livid men")</f>
        <v>Livid men</v>
      </c>
      <c r="B243" s="11" t="str">
        <f>IFERROR(__xludf.DUMMYFUNCTION("""COMPUTED_VALUE"""),"Singlet")</f>
        <v>Singlet</v>
      </c>
      <c r="C243" s="11" t="str">
        <f>IFERROR(__xludf.DUMMYFUNCTION("""COMPUTED_VALUE"""),"paco-bile-fadeout")</f>
        <v>paco-bile-fadeout</v>
      </c>
      <c r="D243" s="11" t="str">
        <f>IFERROR(__xludf.DUMMYFUNCTION("""COMPUTED_VALUE"""),"Paco Bile Fadeout")</f>
        <v>Paco Bile Fadeout</v>
      </c>
      <c r="E243" s="11"/>
      <c r="F243" s="11"/>
      <c r="G243" s="11"/>
      <c r="H243" s="11"/>
      <c r="I243" s="11"/>
    </row>
    <row r="244">
      <c r="A244" s="11" t="str">
        <f>IFERROR(__xludf.DUMMYFUNCTION("""COMPUTED_VALUE"""),"Livid men")</f>
        <v>Livid men</v>
      </c>
      <c r="B244" s="11" t="str">
        <f>IFERROR(__xludf.DUMMYFUNCTION("""COMPUTED_VALUE"""),"Singlet")</f>
        <v>Singlet</v>
      </c>
      <c r="C244" s="11" t="str">
        <f>IFERROR(__xludf.DUMMYFUNCTION("""COMPUTED_VALUE"""),"paco-white")</f>
        <v>paco-white</v>
      </c>
      <c r="D244" s="11" t="str">
        <f>IFERROR(__xludf.DUMMYFUNCTION("""COMPUTED_VALUE"""),"Paco White")</f>
        <v>Paco White</v>
      </c>
      <c r="E244" s="11"/>
      <c r="F244" s="11"/>
      <c r="G244" s="11"/>
      <c r="H244" s="11"/>
      <c r="I244" s="11"/>
    </row>
    <row r="245">
      <c r="A245" s="11" t="str">
        <f>IFERROR(__xludf.DUMMYFUNCTION("""COMPUTED_VALUE"""),"Livid Men")</f>
        <v>Livid Men</v>
      </c>
      <c r="B245" s="11" t="str">
        <f>IFERROR(__xludf.DUMMYFUNCTION("""COMPUTED_VALUE"""),"Sweatshirt")</f>
        <v>Sweatshirt</v>
      </c>
      <c r="C245" s="11" t="str">
        <f>IFERROR(__xludf.DUMMYFUNCTION("""COMPUTED_VALUE"""),"palmer-black")</f>
        <v>palmer-black</v>
      </c>
      <c r="D245" s="11" t="str">
        <f>IFERROR(__xludf.DUMMYFUNCTION("""COMPUTED_VALUE"""),"Palmer Black")</f>
        <v>Palmer Black</v>
      </c>
      <c r="E245" s="11" t="str">
        <f>IFERROR(__xludf.DUMMYFUNCTION("""COMPUTED_VALUE"""),"Made in Portugal 
From our All Seasons line comes our staple sweatshirt Palmer. Made from a pre-shrunk 100% cotton loopback jersey exclusively knitted for Livid in Portugal. This particular fabric is developed for durability and comfortable hand feel, an"&amp;"d made in a versatile weight that works well all year round. Made in a classic crewneck fit.
Details &amp; Features
- 100% cotton
- 320 gsm pre-shrunk loopback jersey
- Livid embroidery on chest
- Fine rib collar 
- Overlocked shoulder seams
- Sewn with durr"&amp;"able poly-core cotton thread
- Jesey knitted by Etevimol in Portugal
- Made at Texgoios in Portugal")</f>
        <v>Made in Portugal 
From our All Seasons line comes our staple sweatshirt Palmer. Made from a pre-shrunk 100% cotton loopback jersey exclusively knitted for Livid in Portugal. This particular fabric is developed for durability and comfortable hand feel, and made in a versatile weight that works well all year round. Made in a classic crewneck fit.
Details &amp; Features
- 100% cotton
- 320 gsm pre-shrunk loopback jersey
- Livid embroidery on chest
- Fine rib collar 
- Overlocked shoulder seams
- Sewn with durrable poly-core cotton thread
- Jesey knitted by Etevimol in Portugal
- Made at Texgoios in Portugal</v>
      </c>
      <c r="F245" s="11" t="str">
        <f>IFERROR(__xludf.DUMMYFUNCTION("""COMPUTED_VALUE"""),"Palmer, our staple sweatshirt.")</f>
        <v>Palmer, our staple sweatshirt.</v>
      </c>
      <c r="G245" s="11"/>
      <c r="H245" s="11" t="str">
        <f>IFERROR(__xludf.DUMMYFUNCTION("""COMPUTED_VALUE"""),"palmer-grey, palmer-navy")</f>
        <v>palmer-grey, palmer-navy</v>
      </c>
      <c r="I245" s="11"/>
    </row>
    <row r="246">
      <c r="A246" s="11" t="str">
        <f>IFERROR(__xludf.DUMMYFUNCTION("""COMPUTED_VALUE"""),"Livid men")</f>
        <v>Livid men</v>
      </c>
      <c r="B246" s="11" t="str">
        <f>IFERROR(__xludf.DUMMYFUNCTION("""COMPUTED_VALUE"""),"Jacket")</f>
        <v>Jacket</v>
      </c>
      <c r="C246" s="11" t="str">
        <f>IFERROR(__xludf.DUMMYFUNCTION("""COMPUTED_VALUE"""),"pen-stone-tech")</f>
        <v>pen-stone-tech</v>
      </c>
      <c r="D246" s="11" t="str">
        <f>IFERROR(__xludf.DUMMYFUNCTION("""COMPUTED_VALUE"""),"Pen Stone Tech")</f>
        <v>Pen Stone Tech</v>
      </c>
      <c r="E246" s="11"/>
      <c r="F246" s="11"/>
      <c r="G246" s="11"/>
      <c r="H246" s="11"/>
      <c r="I246" s="11"/>
    </row>
    <row r="247">
      <c r="A247" s="11" t="str">
        <f>IFERROR(__xludf.DUMMYFUNCTION("""COMPUTED_VALUE"""),"Livid Men")</f>
        <v>Livid Men</v>
      </c>
      <c r="B247" s="11" t="str">
        <f>IFERROR(__xludf.DUMMYFUNCTION("""COMPUTED_VALUE"""),"Jacket")</f>
        <v>Jacket</v>
      </c>
      <c r="C247" s="11" t="str">
        <f>IFERROR(__xludf.DUMMYFUNCTION("""COMPUTED_VALUE"""),"pennant-ash-wax")</f>
        <v>pennant-ash-wax</v>
      </c>
      <c r="D247" s="11" t="str">
        <f>IFERROR(__xludf.DUMMYFUNCTION("""COMPUTED_VALUE"""),"Pennant Ash Wax")</f>
        <v>Pennant Ash Wax</v>
      </c>
      <c r="E247" s="11" t="str">
        <f>IFERROR(__xludf.DUMMYFUNCTION("""COMPUTED_VALUE"""),"Made in Portugal
Pennant, our short technical wax jacket. Made in a technical fabric from Olmetex in Italy, with a soft wax coating, protecting against the elements.
Designed with a stand up collar, and two large bellow pockets at the chest. Two-way ful"&amp;"l length zipper closure, covered by a flap secured with Riri snap buttons. Pennant's unlined construction and boxy fit, allows for layering and transitions from spring, through summer, and well into autumn.")</f>
        <v>Made in Portugal
Pennant, our short technical wax jacket. Made in a technical fabric from Olmetex in Italy, with a soft wax coating, protecting against the elements.
Designed with a stand up collar, and two large bellow pockets at the chest. Two-way full length zipper closure, covered by a flap secured with Riri snap buttons. Pennant's unlined construction and boxy fit, allows for layering and transitions from spring, through summer, and well into autumn.</v>
      </c>
      <c r="F247" s="11" t="str">
        <f>IFERROR(__xludf.DUMMYFUNCTION("""COMPUTED_VALUE"""),"Pennant, our short technical wax jacket.")</f>
        <v>Pennant, our short technical wax jacket.</v>
      </c>
      <c r="G247" s="11" t="str">
        <f>IFERROR(__xludf.DUMMYFUNCTION("""COMPUTED_VALUE"""),"- Technical wax fabric made by Olmetex in Italy
- 45% Cotton, 39% Pl, 16% Pa
- Riri snap button closure on chest pockets and zipper flap
- YKK two-way silver zipper
- Bellow flap pockets at chest
- Two large inner pockets
- Cut &amp; Sewn by Dia in Portugal")</f>
        <v>- Technical wax fabric made by Olmetex in Italy
- 45% Cotton, 39% Pl, 16% Pa
- Riri snap button closure on chest pockets and zipper flap
- YKK two-way silver zipper
- Bellow flap pockets at chest
- Two large inner pockets
- Cut &amp; Sewn by Dia in Portugal</v>
      </c>
      <c r="H247" s="11"/>
      <c r="I247" s="11" t="str">
        <f>IFERROR(__xludf.DUMMYFUNCTION("""COMPUTED_VALUE"""),"pull-graphite-fluff, lerke-charcoal, keri-japan-black, adonis-lis-noir")</f>
        <v>pull-graphite-fluff, lerke-charcoal, keri-japan-black, adonis-lis-noir</v>
      </c>
    </row>
    <row r="248">
      <c r="A248" s="11" t="str">
        <f>IFERROR(__xludf.DUMMYFUNCTION("""COMPUTED_VALUE"""),"Livid men")</f>
        <v>Livid men</v>
      </c>
      <c r="B248" s="11" t="str">
        <f>IFERROR(__xludf.DUMMYFUNCTION("""COMPUTED_VALUE"""),"Knitwear")</f>
        <v>Knitwear</v>
      </c>
      <c r="C248" s="11" t="str">
        <f>IFERROR(__xludf.DUMMYFUNCTION("""COMPUTED_VALUE"""),"pull-graphite-fluff")</f>
        <v>pull-graphite-fluff</v>
      </c>
      <c r="D248" s="11" t="str">
        <f>IFERROR(__xludf.DUMMYFUNCTION("""COMPUTED_VALUE"""),"Pull Graphite Fluff")</f>
        <v>Pull Graphite Fluff</v>
      </c>
      <c r="E248" s="11" t="str">
        <f>IFERROR(__xludf.DUMMYFUNCTION("""COMPUTED_VALUE"""),"Made in China
Pull, our hefty alpaca zip-sweater. Made with a stand up collar and a two-way zip, with dropped shoulders, a relaxed fit and a straight hem.
Knitted in a chunky, soft and extra fluffy alpaca yarn. The pure alpaca is spun around a nylon cor"&amp;"e for durability, with a touch of spandex to keep its shape over time.")</f>
        <v>Made in China
Pull, our hefty alpaca zip-sweater. Made with a stand up collar and a two-way zip, with dropped shoulders, a relaxed fit and a straight hem.
Knitted in a chunky, soft and extra fluffy alpaca yarn. The pure alpaca is spun around a nylon core for durability, with a touch of spandex to keep its shape over time.</v>
      </c>
      <c r="F248" s="11" t="str">
        <f>IFERROR(__xludf.DUMMYFUNCTION("""COMPUTED_VALUE"""),"Brushed alpaca zip cardigan, with a soft and fluffy texture.")</f>
        <v>Brushed alpaca zip cardigan, with a soft and fluffy texture.</v>
      </c>
      <c r="G248" s="11" t="str">
        <f>IFERROR(__xludf.DUMMYFUNCTION("""COMPUTED_VALUE"""),"- 82% Alpaca, 16% Nylon, 2% Spandex
- Alpaca yarn spun by QCYarn, China
- Soft, elastic and super resistant.
- Knitted by Springair in China")</f>
        <v>- 82% Alpaca, 16% Nylon, 2% Spandex
- Alpaca yarn spun by QCYarn, China
- Soft, elastic and super resistant.
- Knitted by Springair in China</v>
      </c>
      <c r="H248" s="11"/>
      <c r="I248" s="11" t="str">
        <f>IFERROR(__xludf.DUMMYFUNCTION("""COMPUTED_VALUE"""),"keri-japan-black")</f>
        <v>keri-japan-black</v>
      </c>
    </row>
    <row r="249">
      <c r="A249" s="11" t="str">
        <f>IFERROR(__xludf.DUMMYFUNCTION("""COMPUTED_VALUE"""),"Livid Men")</f>
        <v>Livid Men</v>
      </c>
      <c r="B249" s="11" t="str">
        <f>IFERROR(__xludf.DUMMYFUNCTION("""COMPUTED_VALUE"""),"T-Shirt")</f>
        <v>T-Shirt</v>
      </c>
      <c r="C249" s="11" t="str">
        <f>IFERROR(__xludf.DUMMYFUNCTION("""COMPUTED_VALUE"""),"richmond-2-pack-black")</f>
        <v>richmond-2-pack-black</v>
      </c>
      <c r="D249" s="11" t="str">
        <f>IFERROR(__xludf.DUMMYFUNCTION("""COMPUTED_VALUE"""),"Richmond 2-pack Black")</f>
        <v>Richmond 2-pack Black</v>
      </c>
      <c r="E249" s="11" t="str">
        <f>IFERROR(__xludf.DUMMYFUNCTION("""COMPUTED_VALUE"""),"Made in Portugal 
From our All Seasons collection-line comes our staple tee Richmond in a 2-pack. Made from a pre-shrunk 6.5 Oz heavy 100% cotton jersey exclusively made for Livid in Portugal. This particular fabric has been used in our t-shirts since ou"&amp;"r very first Richmond tee in 2013, and has become very popular due to its durability and comfortable hand feel. 
Richmond is classic tee, constructed as a regular slim built to rest close to the body. A wardrobe staple piece that works in any occasion re"&amp;"gardless of seasonal trends.")</f>
        <v>Made in Portugal 
From our All Seasons collection-line comes our staple tee Richmond in a 2-pack. Made from a pre-shrunk 6.5 Oz heavy 100% cotton jersey exclusively made for Livid in Portugal. This particular fabric has been used in our t-shirts since our very first Richmond tee in 2013, and has become very popular due to its durability and comfortable hand feel. 
Richmond is classic tee, constructed as a regular slim built to rest close to the body. A wardrobe staple piece that works in any occasion regardless of seasonal trends.</v>
      </c>
      <c r="F249" s="11" t="str">
        <f>IFERROR(__xludf.DUMMYFUNCTION("""COMPUTED_VALUE"""),"Richmond, our staple T-shirt 2-pack. Made in a 100% pre-shrunk heavy cotton jersey, with a regular slim fit. Free of logos.")</f>
        <v>Richmond, our staple T-shirt 2-pack. Made in a 100% pre-shrunk heavy cotton jersey, with a regular slim fit. Free of logos.</v>
      </c>
      <c r="G249" s="11" t="str">
        <f>IFERROR(__xludf.DUMMYFUNCTION("""COMPUTED_VALUE"""),"- 2-Pack tee
- 100% cotton
- 220 gsm pre-shrunk jersey
- Knitted by Etevimol in Portugal
- Fine rib collar 
- Top stitched shoulder seams
- Straight cut hem
- Poly core cotton thread
- Made at Texgoios in Portugal")</f>
        <v>- 2-Pack tee
- 100% cotton
- 220 gsm pre-shrunk jersey
- Knitted by Etevimol in Portugal
- Fine rib collar 
- Top stitched shoulder seams
- Straight cut hem
- Poly core cotton thread
- Made at Texgoios in Portugal</v>
      </c>
      <c r="H249" s="11" t="str">
        <f>IFERROR(__xludf.DUMMYFUNCTION("""COMPUTED_VALUE"""),"richmond-2-pack-navy, richmond-2-pack-light-grey, richmond-2-pack-white")</f>
        <v>richmond-2-pack-navy, richmond-2-pack-light-grey, richmond-2-pack-white</v>
      </c>
      <c r="I249" s="11" t="str">
        <f>IFERROR(__xludf.DUMMYFUNCTION("""COMPUTED_VALUE"""),"fuller-japan-indigo-dusk, chambord-noir")</f>
        <v>fuller-japan-indigo-dusk, chambord-noir</v>
      </c>
    </row>
    <row r="250">
      <c r="A250" s="11" t="str">
        <f>IFERROR(__xludf.DUMMYFUNCTION("""COMPUTED_VALUE"""),"Livid Men")</f>
        <v>Livid Men</v>
      </c>
      <c r="B250" s="11" t="str">
        <f>IFERROR(__xludf.DUMMYFUNCTION("""COMPUTED_VALUE"""),"T-Shirt")</f>
        <v>T-Shirt</v>
      </c>
      <c r="C250" s="11" t="str">
        <f>IFERROR(__xludf.DUMMYFUNCTION("""COMPUTED_VALUE"""),"richmond-2-pack-light-grey")</f>
        <v>richmond-2-pack-light-grey</v>
      </c>
      <c r="D250" s="11" t="str">
        <f>IFERROR(__xludf.DUMMYFUNCTION("""COMPUTED_VALUE"""),"Richmond 2-pack Light Grey")</f>
        <v>Richmond 2-pack Light Grey</v>
      </c>
      <c r="E250" s="11" t="str">
        <f>IFERROR(__xludf.DUMMYFUNCTION("""COMPUTED_VALUE"""),"Made in Portugal 
From our All Seasons collection-line comes our staple tee Richmond in a 2-pack. Made from a pre-shrunk 6.5 Oz heavy 100% cotton jersey exclusively made for Livid in Portugal. This particular fabric has been used in our t-shirts since ou"&amp;"r very first Richmond tee in 2013, and has become very popular due to its durability and comfortable hand feel. 
Richmond is classic tee, constructed as a regular slim built to rest close to the body. A wardrobe staple piece that works in any occasion re"&amp;"gardless of seasonal trends.")</f>
        <v>Made in Portugal 
From our All Seasons collection-line comes our staple tee Richmond in a 2-pack. Made from a pre-shrunk 6.5 Oz heavy 100% cotton jersey exclusively made for Livid in Portugal. This particular fabric has been used in our t-shirts since our very first Richmond tee in 2013, and has become very popular due to its durability and comfortable hand feel. 
Richmond is classic tee, constructed as a regular slim built to rest close to the body. A wardrobe staple piece that works in any occasion regardless of seasonal trends.</v>
      </c>
      <c r="F250" s="11" t="str">
        <f>IFERROR(__xludf.DUMMYFUNCTION("""COMPUTED_VALUE"""),"Richmond, our staple T-shirt 2-pack. Made in a 100% pre-shrunk heavy cotton jersey, with a regular slim fit. Free of logos.")</f>
        <v>Richmond, our staple T-shirt 2-pack. Made in a 100% pre-shrunk heavy cotton jersey, with a regular slim fit. Free of logos.</v>
      </c>
      <c r="G250" s="11" t="str">
        <f>IFERROR(__xludf.DUMMYFUNCTION("""COMPUTED_VALUE"""),"- 2-Pack tee
- 100% cotton
- 220 gsm pre-shrunk jersey
- Knitted by Etevimol in Portugal
- Fine rib collar 
- Top stitched shoulder seams
- Straight cut hem
- Poly core cotton thread
- Made at Texgoios in Portugal")</f>
        <v>- 2-Pack tee
- 100% cotton
- 220 gsm pre-shrunk jersey
- Knitted by Etevimol in Portugal
- Fine rib collar 
- Top stitched shoulder seams
- Straight cut hem
- Poly core cotton thread
- Made at Texgoios in Portugal</v>
      </c>
      <c r="H250" s="11" t="str">
        <f>IFERROR(__xludf.DUMMYFUNCTION("""COMPUTED_VALUE"""),"richmond-2-pack-black, richmond-2-pack-navy, richmond-2-pack-white")</f>
        <v>richmond-2-pack-black, richmond-2-pack-navy, richmond-2-pack-white</v>
      </c>
      <c r="I250" s="11"/>
    </row>
    <row r="251">
      <c r="A251" s="11" t="str">
        <f>IFERROR(__xludf.DUMMYFUNCTION("""COMPUTED_VALUE"""),"Livid Men")</f>
        <v>Livid Men</v>
      </c>
      <c r="B251" s="11" t="str">
        <f>IFERROR(__xludf.DUMMYFUNCTION("""COMPUTED_VALUE"""),"T-Shirt")</f>
        <v>T-Shirt</v>
      </c>
      <c r="C251" s="11" t="str">
        <f>IFERROR(__xludf.DUMMYFUNCTION("""COMPUTED_VALUE"""),"richmond-2-pack-navy")</f>
        <v>richmond-2-pack-navy</v>
      </c>
      <c r="D251" s="11" t="str">
        <f>IFERROR(__xludf.DUMMYFUNCTION("""COMPUTED_VALUE"""),"Richmond 2-pack Navy")</f>
        <v>Richmond 2-pack Navy</v>
      </c>
      <c r="E251" s="11" t="str">
        <f>IFERROR(__xludf.DUMMYFUNCTION("""COMPUTED_VALUE"""),"Made in Portugal 
From our All Seasons collection-line comes our staple tee Richmond in a 2-pack. Made from a pre-shrunk 6.5 Oz heavy 100% cotton jersey exclusively made for Livid in Portugal. This particular fabric has been used in our t-shirts since ou"&amp;"r very first Richmond tee in 2013, and has become very popular due to its durability and comfortable hand feel. 
Richmond is classic tee, constructed as a regular slim built to rest close to the body. A wardrobe staple piece that works in any occasion re"&amp;"gardless of seasonal trends.")</f>
        <v>Made in Portugal 
From our All Seasons collection-line comes our staple tee Richmond in a 2-pack. Made from a pre-shrunk 6.5 Oz heavy 100% cotton jersey exclusively made for Livid in Portugal. This particular fabric has been used in our t-shirts since our very first Richmond tee in 2013, and has become very popular due to its durability and comfortable hand feel. 
Richmond is classic tee, constructed as a regular slim built to rest close to the body. A wardrobe staple piece that works in any occasion regardless of seasonal trends.</v>
      </c>
      <c r="F251" s="11" t="str">
        <f>IFERROR(__xludf.DUMMYFUNCTION("""COMPUTED_VALUE"""),"Richmond, our staple T-shirt 2-pack. Made in a 100% pre-shrunk heavy cotton jersey, with a regular slim fit. Free of logos.")</f>
        <v>Richmond, our staple T-shirt 2-pack. Made in a 100% pre-shrunk heavy cotton jersey, with a regular slim fit. Free of logos.</v>
      </c>
      <c r="G251" s="11" t="str">
        <f>IFERROR(__xludf.DUMMYFUNCTION("""COMPUTED_VALUE"""),"- 2-Pack tee
- 100% cotton
- 220 gsm pre-shrunk jersey
- Knitted by Etevimol in Portugal
- Fine rib collar 
- Top stitched shoulder seams
- Straight cut hem
- Poly core cotton thread
- Made at Texgoios in Portugal")</f>
        <v>- 2-Pack tee
- 100% cotton
- 220 gsm pre-shrunk jersey
- Knitted by Etevimol in Portugal
- Fine rib collar 
- Top stitched shoulder seams
- Straight cut hem
- Poly core cotton thread
- Made at Texgoios in Portugal</v>
      </c>
      <c r="H251" s="11" t="str">
        <f>IFERROR(__xludf.DUMMYFUNCTION("""COMPUTED_VALUE"""),"richmond-2-pack-black, richmond-2-pack-light-grey, richmond-2-pack-white")</f>
        <v>richmond-2-pack-black, richmond-2-pack-light-grey, richmond-2-pack-white</v>
      </c>
      <c r="I251" s="11" t="str">
        <f>IFERROR(__xludf.DUMMYFUNCTION("""COMPUTED_VALUE"""),"fuller-japan-black-dusk, chambord-noir")</f>
        <v>fuller-japan-black-dusk, chambord-noir</v>
      </c>
    </row>
    <row r="252">
      <c r="A252" s="11" t="str">
        <f>IFERROR(__xludf.DUMMYFUNCTION("""COMPUTED_VALUE"""),"Livid Men")</f>
        <v>Livid Men</v>
      </c>
      <c r="B252" s="11" t="str">
        <f>IFERROR(__xludf.DUMMYFUNCTION("""COMPUTED_VALUE"""),"T-Shirt")</f>
        <v>T-Shirt</v>
      </c>
      <c r="C252" s="11" t="str">
        <f>IFERROR(__xludf.DUMMYFUNCTION("""COMPUTED_VALUE"""),"richmond-2-pack-white")</f>
        <v>richmond-2-pack-white</v>
      </c>
      <c r="D252" s="11" t="str">
        <f>IFERROR(__xludf.DUMMYFUNCTION("""COMPUTED_VALUE"""),"Richmond 2-pack White")</f>
        <v>Richmond 2-pack White</v>
      </c>
      <c r="E252" s="11" t="str">
        <f>IFERROR(__xludf.DUMMYFUNCTION("""COMPUTED_VALUE"""),"Made in Portugal 
From our All Seasons collection-line comes our staple tee Richmond in a 2-pack. Made from a pre-shrunk 6.5 Oz heavy 100% cotton jersey exclusively made for Livid in Portugal. This particular fabric has been used in our t-shirts since ou"&amp;"r very first Richmond tee in 2013, and has become very popular due to its durability and comfortable hand feel. 
Richmond is classic tee, constructed as a regular slim built to rest close to the body. A wardrobe staple piece that works in any occasion re"&amp;"gardless of seasonal trends.")</f>
        <v>Made in Portugal 
From our All Seasons collection-line comes our staple tee Richmond in a 2-pack. Made from a pre-shrunk 6.5 Oz heavy 100% cotton jersey exclusively made for Livid in Portugal. This particular fabric has been used in our t-shirts since our very first Richmond tee in 2013, and has become very popular due to its durability and comfortable hand feel. 
Richmond is classic tee, constructed as a regular slim built to rest close to the body. A wardrobe staple piece that works in any occasion regardless of seasonal trends.</v>
      </c>
      <c r="F252" s="11" t="str">
        <f>IFERROR(__xludf.DUMMYFUNCTION("""COMPUTED_VALUE"""),"Richmond, our staple T-shirt 2-pack. Made in a 100% pre-shrunk heavy cotton jersey, with a regular slim fit. Free of logos.")</f>
        <v>Richmond, our staple T-shirt 2-pack. Made in a 100% pre-shrunk heavy cotton jersey, with a regular slim fit. Free of logos.</v>
      </c>
      <c r="G252" s="11" t="str">
        <f>IFERROR(__xludf.DUMMYFUNCTION("""COMPUTED_VALUE"""),"- 2-Pack tee
- 100% cotton
- 220 gsm pre-shrunk jersey
- Knitted by Etevimol in Portugal
- Fine rib collar 
- Top stitched shoulder seams
- Straight cut hem
- Poly core cotton thread
- Made at Texgoios in Portugal")</f>
        <v>- 2-Pack tee
- 100% cotton
- 220 gsm pre-shrunk jersey
- Knitted by Etevimol in Portugal
- Fine rib collar 
- Top stitched shoulder seams
- Straight cut hem
- Poly core cotton thread
- Made at Texgoios in Portugal</v>
      </c>
      <c r="H252" s="11" t="str">
        <f>IFERROR(__xludf.DUMMYFUNCTION("""COMPUTED_VALUE"""),"richmond-2-pack-black, richmond-2-pack-navy, richmond-2-pack-light-grey")</f>
        <v>richmond-2-pack-black, richmond-2-pack-navy, richmond-2-pack-light-grey</v>
      </c>
      <c r="I252" s="11" t="str">
        <f>IFERROR(__xludf.DUMMYFUNCTION("""COMPUTED_VALUE"""),"hayes-black")</f>
        <v>hayes-black</v>
      </c>
    </row>
    <row r="253">
      <c r="A253" s="11" t="str">
        <f>IFERROR(__xludf.DUMMYFUNCTION("""COMPUTED_VALUE"""),"Livid men")</f>
        <v>Livid men</v>
      </c>
      <c r="B253" s="11" t="str">
        <f>IFERROR(__xludf.DUMMYFUNCTION("""COMPUTED_VALUE"""),"T-Shirt")</f>
        <v>T-Shirt</v>
      </c>
      <c r="C253" s="11" t="str">
        <f>IFERROR(__xludf.DUMMYFUNCTION("""COMPUTED_VALUE"""),"richmond-grey-melange")</f>
        <v>richmond-grey-melange</v>
      </c>
      <c r="D253" s="11" t="str">
        <f>IFERROR(__xludf.DUMMYFUNCTION("""COMPUTED_VALUE"""),"Richmond 2-pack Grey Melange")</f>
        <v>Richmond 2-pack Grey Melange</v>
      </c>
      <c r="E253" s="11" t="str">
        <f>IFERROR(__xludf.DUMMYFUNCTION("""COMPUTED_VALUE"""),"Made in Portugal 
From our Core line comes our staple tee Richmond in a 2-pack. Made from a pre-shrunk 6.5 Oz heavy 100% cotton jersey exclusively made for Livid in Portugal. This particular fabric has been used in our t-shirts since our very first Richm"&amp;"ond tee in 2013, and has become very popular due to its durability and comfortable hand feel. 
Richmond is classic tee, constructed in a regular slim fit.")</f>
        <v>Made in Portugal 
From our Core line comes our staple tee Richmond in a 2-pack. Made from a pre-shrunk 6.5 Oz heavy 100% cotton jersey exclusively made for Livid in Portugal. This particular fabric has been used in our t-shirts since our very first Richmond tee in 2013, and has become very popular due to its durability and comfortable hand feel. 
Richmond is classic tee, constructed in a regular slim fit.</v>
      </c>
      <c r="F253" s="11" t="str">
        <f>IFERROR(__xludf.DUMMYFUNCTION("""COMPUTED_VALUE"""),"Richmond, our staple T-shirt 2-pack. A regular slim fit, free of logos.")</f>
        <v>Richmond, our staple T-shirt 2-pack. A regular slim fit, free of logos.</v>
      </c>
      <c r="G253" s="11" t="str">
        <f>IFERROR(__xludf.DUMMYFUNCTION("""COMPUTED_VALUE"""),"- 2-Pack tee
- 100% cotton
- 220 gsm pre-shrunk jersey
- Knitted by Etevimol in Portugal
- Fine rib collar 
- Top stitched shoulder seams
- Poly core cotton thread
- Made at Texgoios in Portugal")</f>
        <v>- 2-Pack tee
- 100% cotton
- 220 gsm pre-shrunk jersey
- Knitted by Etevimol in Portugal
- Fine rib collar 
- Top stitched shoulder seams
- Poly core cotton thread
- Made at Texgoios in Portugal</v>
      </c>
      <c r="H253" s="11" t="str">
        <f>IFERROR(__xludf.DUMMYFUNCTION("""COMPUTED_VALUE"""),"richmond-2-pack-white, richmond-2-pack-black, richmond-2-pack-light-grey, richmond-2-pack-navy")</f>
        <v>richmond-2-pack-white, richmond-2-pack-black, richmond-2-pack-light-grey, richmond-2-pack-navy</v>
      </c>
      <c r="I253" s="11" t="str">
        <f>IFERROR(__xludf.DUMMYFUNCTION("""COMPUTED_VALUE"""),"fuller-japan-indigo-dusk, chambord-noir")</f>
        <v>fuller-japan-indigo-dusk, chambord-noir</v>
      </c>
    </row>
    <row r="254">
      <c r="A254" s="11" t="str">
        <f>IFERROR(__xludf.DUMMYFUNCTION("""COMPUTED_VALUE"""),"Livid men")</f>
        <v>Livid men</v>
      </c>
      <c r="B254" s="11" t="str">
        <f>IFERROR(__xludf.DUMMYFUNCTION("""COMPUTED_VALUE"""),"Longsleeve")</f>
        <v>Longsleeve</v>
      </c>
      <c r="C254" s="11" t="str">
        <f>IFERROR(__xludf.DUMMYFUNCTION("""COMPUTED_VALUE"""),"rickon-white")</f>
        <v>rickon-white</v>
      </c>
      <c r="D254" s="11" t="str">
        <f>IFERROR(__xludf.DUMMYFUNCTION("""COMPUTED_VALUE"""),"Rickon White")</f>
        <v>Rickon White</v>
      </c>
      <c r="E254" s="11" t="str">
        <f>IFERROR(__xludf.DUMMYFUNCTION("""COMPUTED_VALUE"""),"Made in Portugal 
From our Core line comes our staple longsleeve Rickon. Made in a lightweight 150 gsm cotton jersey making it ideal for use as an undershirt or on its own.
Based on our popular basic tee Richmond, Rickon is constructed in a regular slim"&amp;" fit, featuring long sleeves.")</f>
        <v>Made in Portugal 
From our Core line comes our staple longsleeve Rickon. Made in a lightweight 150 gsm cotton jersey making it ideal for use as an undershirt or on its own.
Based on our popular basic tee Richmond, Rickon is constructed in a regular slim fit, featuring long sleeves.</v>
      </c>
      <c r="F254" s="11" t="str">
        <f>IFERROR(__xludf.DUMMYFUNCTION("""COMPUTED_VALUE"""),"Rickon, our regular slim staple longsleeve.")</f>
        <v>Rickon, our regular slim staple longsleeve.</v>
      </c>
      <c r="G254" s="11" t="str">
        <f>IFERROR(__xludf.DUMMYFUNCTION("""COMPUTED_VALUE"""),"- 100% cotton
- 150 gsm pre-shrunk jersey
- Knitted by Etevimol in Portugal
- Fine rib collar
- Poly core cotton thread
- Made at Texgoios in Portugal")</f>
        <v>- 100% cotton
- 150 gsm pre-shrunk jersey
- Knitted by Etevimol in Portugal
- Fine rib collar
- Poly core cotton thread
- Made at Texgoios in Portugal</v>
      </c>
      <c r="H254" s="11"/>
      <c r="I254" s="11" t="str">
        <f>IFERROR(__xludf.DUMMYFUNCTION("""COMPUTED_VALUE"""),"fuller-japan-indigo-dusk, chambord-noir")</f>
        <v>fuller-japan-indigo-dusk, chambord-noir</v>
      </c>
    </row>
    <row r="255">
      <c r="A255" s="11" t="str">
        <f>IFERROR(__xludf.DUMMYFUNCTION("""COMPUTED_VALUE"""),"Livid Men")</f>
        <v>Livid Men</v>
      </c>
      <c r="B255" s="11" t="str">
        <f>IFERROR(__xludf.DUMMYFUNCTION("""COMPUTED_VALUE"""),"Knitwear")</f>
        <v>Knitwear</v>
      </c>
      <c r="C255" s="11" t="str">
        <f>IFERROR(__xludf.DUMMYFUNCTION("""COMPUTED_VALUE"""),"riley-charcoal")</f>
        <v>riley-charcoal</v>
      </c>
      <c r="D255" s="11" t="str">
        <f>IFERROR(__xludf.DUMMYFUNCTION("""COMPUTED_VALUE"""),"Riley Charcoal")</f>
        <v>Riley Charcoal</v>
      </c>
      <c r="E255" s="11" t="str">
        <f>IFERROR(__xludf.DUMMYFUNCTION("""COMPUTED_VALUE"""),"Made in China 
From our All Seasons line comes our lightweight merino sweater Riley. Made from a beautiful lightweight 100% extra fine merino wool, spun by the renowned European wool spinner Biella Yarn.
Riley was developed to be the perfect basic wool "&amp;"sweater, your go-to piece for almost any occasion. With a classic fit, a luxurious soft handfeel, and a neck opening that's the perfect width worn over shirt collars and t-shirts alike. The super soft merino quality from Biella also allows you to wear it "&amp;"directly on your skin.
")</f>
        <v>Made in China 
From our All Seasons line comes our lightweight merino sweater Riley. Made from a beautiful lightweight 100% extra fine merino wool, spun by the renowned European wool spinner Biella Yarn.
Riley was developed to be the perfect basic wool sweater, your go-to piece for almost any occasion. With a classic fit, a luxurious soft handfeel, and a neck opening that's the perfect width worn over shirt collars and t-shirts alike. The super soft merino quality from Biella also allows you to wear it directly on your skin.
</v>
      </c>
      <c r="F255" s="11" t="str">
        <f>IFERROR(__xludf.DUMMYFUNCTION("""COMPUTED_VALUE"""),"Riley, our lightweight merino turtleneck.")</f>
        <v>Riley, our lightweight merino turtleneck.</v>
      </c>
      <c r="G255" s="11" t="str">
        <f>IFERROR(__xludf.DUMMYFUNCTION("""COMPUTED_VALUE"""),"- 100% extra fine merino wool
- Merino wool yarn spun in Europe by Biella Yarn
- Soft, elastic and super resistant.
- Knitted by Springair in China")</f>
        <v>- 100% extra fine merino wool
- Merino wool yarn spun in Europe by Biella Yarn
- Soft, elastic and super resistant.
- Knitted by Springair in China</v>
      </c>
      <c r="H255" s="11" t="str">
        <f>IFERROR(__xludf.DUMMYFUNCTION("""COMPUTED_VALUE"""),"riley-green, riley-navy-1")</f>
        <v>riley-green, riley-navy-1</v>
      </c>
      <c r="I255" s="11" t="str">
        <f>IFERROR(__xludf.DUMMYFUNCTION("""COMPUTED_VALUE"""),"keen-grisalle-fine-silk, keri-japan-black, adonis-lis-noir")</f>
        <v>keen-grisalle-fine-silk, keri-japan-black, adonis-lis-noir</v>
      </c>
    </row>
    <row r="256">
      <c r="A256" s="11" t="str">
        <f>IFERROR(__xludf.DUMMYFUNCTION("""COMPUTED_VALUE"""),"Livid Men")</f>
        <v>Livid Men</v>
      </c>
      <c r="B256" s="11" t="str">
        <f>IFERROR(__xludf.DUMMYFUNCTION("""COMPUTED_VALUE"""),"Knitwear")</f>
        <v>Knitwear</v>
      </c>
      <c r="C256" s="11" t="str">
        <f>IFERROR(__xludf.DUMMYFUNCTION("""COMPUTED_VALUE"""),"riley-green")</f>
        <v>riley-green</v>
      </c>
      <c r="D256" s="11" t="str">
        <f>IFERROR(__xludf.DUMMYFUNCTION("""COMPUTED_VALUE"""),"Riley Green")</f>
        <v>Riley Green</v>
      </c>
      <c r="E256" s="11" t="str">
        <f>IFERROR(__xludf.DUMMYFUNCTION("""COMPUTED_VALUE"""),"Made in China 
From our All Seasons line comes our lightweight merino sweater Riley. Made from a beautiful lightweight 100% extra fine merino wool, spun by the renowned European wool spinner Biella Yarn.
Riley was developed to be the perfect basic wool "&amp;"sweater, your go-to piece for almost any occasion. With a classic fit, a luxurious soft handfeel, and a neck opening that's the perfect width worn over shirt collars and t-shirts alike. The super soft merino quality from Biella also allows you to wear it "&amp;"directly on your skin.")</f>
        <v>Made in China 
From our All Seasons line comes our lightweight merino sweater Riley. Made from a beautiful lightweight 100% extra fine merino wool, spun by the renowned European wool spinner Biella Yarn.
Riley was developed to be the perfect basic wool sweater, your go-to piece for almost any occasion. With a classic fit, a luxurious soft handfeel, and a neck opening that's the perfect width worn over shirt collars and t-shirts alike. The super soft merino quality from Biella also allows you to wear it directly on your skin.</v>
      </c>
      <c r="F256" s="11" t="str">
        <f>IFERROR(__xludf.DUMMYFUNCTION("""COMPUTED_VALUE"""),"Riley, our lightweight merino turtleneck.")</f>
        <v>Riley, our lightweight merino turtleneck.</v>
      </c>
      <c r="G256" s="11" t="str">
        <f>IFERROR(__xludf.DUMMYFUNCTION("""COMPUTED_VALUE"""),"- 100% extra fine merino wool
- Merino wool yarn spun in Europe by Biella Yarn
- Soft, elastic and super resistant.
- Knitted by Springair in China")</f>
        <v>- 100% extra fine merino wool
- Merino wool yarn spun in Europe by Biella Yarn
- Soft, elastic and super resistant.
- Knitted by Springair in China</v>
      </c>
      <c r="H256" s="11" t="str">
        <f>IFERROR(__xludf.DUMMYFUNCTION("""COMPUTED_VALUE"""),"riley-charcoal, riley-navy-1")</f>
        <v>riley-charcoal, riley-navy-1</v>
      </c>
      <c r="I256" s="11" t="str">
        <f>IFERROR(__xludf.DUMMYFUNCTION("""COMPUTED_VALUE"""),"fuller-japan-black-dusk, chambord-noir")</f>
        <v>fuller-japan-black-dusk, chambord-noir</v>
      </c>
    </row>
    <row r="257">
      <c r="A257" s="11" t="str">
        <f>IFERROR(__xludf.DUMMYFUNCTION("""COMPUTED_VALUE"""),"Livid Men")</f>
        <v>Livid Men</v>
      </c>
      <c r="B257" s="11" t="str">
        <f>IFERROR(__xludf.DUMMYFUNCTION("""COMPUTED_VALUE"""),"Knitwear")</f>
        <v>Knitwear</v>
      </c>
      <c r="C257" s="11" t="str">
        <f>IFERROR(__xludf.DUMMYFUNCTION("""COMPUTED_VALUE"""),"riley-navy-1")</f>
        <v>riley-navy-1</v>
      </c>
      <c r="D257" s="11" t="str">
        <f>IFERROR(__xludf.DUMMYFUNCTION("""COMPUTED_VALUE"""),"Riley Navy")</f>
        <v>Riley Navy</v>
      </c>
      <c r="E257" s="11" t="str">
        <f>IFERROR(__xludf.DUMMYFUNCTION("""COMPUTED_VALUE"""),"Made in China 
From our All Seasons line comes our lightweight merino sweater Riley. Made from a beautiful lightweight 100% extra fine merino wool, spun by the renowned European wool spinner Biella Yarn.
Riley was developed to be the perfect basic wool "&amp;"sweater, your go-to piece for almost any occasion. With a classic fit, a luxurious soft handfeel, and a neck opening that's the perfect width worn over shirt collars and t-shirts alike. The super soft merino quality from Biella also allows you to wear it "&amp;"directly on your skin.")</f>
        <v>Made in China 
From our All Seasons line comes our lightweight merino sweater Riley. Made from a beautiful lightweight 100% extra fine merino wool, spun by the renowned European wool spinner Biella Yarn.
Riley was developed to be the perfect basic wool sweater, your go-to piece for almost any occasion. With a classic fit, a luxurious soft handfeel, and a neck opening that's the perfect width worn over shirt collars and t-shirts alike. The super soft merino quality from Biella also allows you to wear it directly on your skin.</v>
      </c>
      <c r="F257" s="11" t="str">
        <f>IFERROR(__xludf.DUMMYFUNCTION("""COMPUTED_VALUE"""),"Riley, our lightweight merino turtleneck.")</f>
        <v>Riley, our lightweight merino turtleneck.</v>
      </c>
      <c r="G257" s="11" t="str">
        <f>IFERROR(__xludf.DUMMYFUNCTION("""COMPUTED_VALUE"""),"- 100% extra fine merino wool
- Merino wool yarn spun in Europe by Biella Yarn
- Soft, elastic and super resistant.
- Knitted by Springair in China")</f>
        <v>- 100% extra fine merino wool
- Merino wool yarn spun in Europe by Biella Yarn
- Soft, elastic and super resistant.
- Knitted by Springair in China</v>
      </c>
      <c r="H257" s="11" t="str">
        <f>IFERROR(__xludf.DUMMYFUNCTION("""COMPUTED_VALUE"""),"riley-charcoal, riley-green")</f>
        <v>riley-charcoal, riley-green</v>
      </c>
      <c r="I257" s="11" t="str">
        <f>IFERROR(__xludf.DUMMYFUNCTION("""COMPUTED_VALUE"""),"fuller-japan-black-dusk, chambord-noir")</f>
        <v>fuller-japan-black-dusk, chambord-noir</v>
      </c>
    </row>
    <row r="258">
      <c r="A258" s="11" t="str">
        <f>IFERROR(__xludf.DUMMYFUNCTION("""COMPUTED_VALUE"""),"Livid men")</f>
        <v>Livid men</v>
      </c>
      <c r="B258" s="11" t="str">
        <f>IFERROR(__xludf.DUMMYFUNCTION("""COMPUTED_VALUE"""),"Shirt")</f>
        <v>Shirt</v>
      </c>
      <c r="C258" s="11" t="str">
        <f>IFERROR(__xludf.DUMMYFUNCTION("""COMPUTED_VALUE"""),"russ-aloe-noil-silk")</f>
        <v>russ-aloe-noil-silk</v>
      </c>
      <c r="D258" s="11" t="str">
        <f>IFERROR(__xludf.DUMMYFUNCTION("""COMPUTED_VALUE"""),"Russ Aloe Noil Silk")</f>
        <v>Russ Aloe Noil Silk</v>
      </c>
      <c r="E258" s="11"/>
      <c r="F258" s="11"/>
      <c r="G258" s="11"/>
      <c r="H258" s="11"/>
      <c r="I258" s="11"/>
    </row>
    <row r="259">
      <c r="A259" s="11" t="str">
        <f>IFERROR(__xludf.DUMMYFUNCTION("""COMPUTED_VALUE"""),"Livid men")</f>
        <v>Livid men</v>
      </c>
      <c r="B259" s="11" t="str">
        <f>IFERROR(__xludf.DUMMYFUNCTION("""COMPUTED_VALUE"""),"Shirt")</f>
        <v>Shirt</v>
      </c>
      <c r="C259" s="11" t="str">
        <f>IFERROR(__xludf.DUMMYFUNCTION("""COMPUTED_VALUE"""),"russ-bright-cobalt-fine-silk")</f>
        <v>russ-bright-cobalt-fine-silk</v>
      </c>
      <c r="D259" s="11" t="str">
        <f>IFERROR(__xludf.DUMMYFUNCTION("""COMPUTED_VALUE"""),"Russ Bright Cobalt Fine Silk")</f>
        <v>Russ Bright Cobalt Fine Silk</v>
      </c>
      <c r="E259" s="11"/>
      <c r="F259" s="11"/>
      <c r="G259" s="11"/>
      <c r="H259" s="11"/>
      <c r="I259" s="11"/>
    </row>
    <row r="260">
      <c r="A260" s="11" t="str">
        <f>IFERROR(__xludf.DUMMYFUNCTION("""COMPUTED_VALUE"""),"Livid men")</f>
        <v>Livid men</v>
      </c>
      <c r="B260" s="11" t="str">
        <f>IFERROR(__xludf.DUMMYFUNCTION("""COMPUTED_VALUE"""),"Shirt")</f>
        <v>Shirt</v>
      </c>
      <c r="C260" s="11" t="str">
        <f>IFERROR(__xludf.DUMMYFUNCTION("""COMPUTED_VALUE"""),"russ-japan-floral-voile")</f>
        <v>russ-japan-floral-voile</v>
      </c>
      <c r="D260" s="11" t="str">
        <f>IFERROR(__xludf.DUMMYFUNCTION("""COMPUTED_VALUE"""),"Russ Japan Floral Voile")</f>
        <v>Russ Japan Floral Voile</v>
      </c>
      <c r="E260" s="11"/>
      <c r="F260" s="11"/>
      <c r="G260" s="11"/>
      <c r="H260" s="11"/>
      <c r="I260" s="11"/>
    </row>
    <row r="261">
      <c r="A261" s="11" t="str">
        <f>IFERROR(__xludf.DUMMYFUNCTION("""COMPUTED_VALUE"""),"Livid men")</f>
        <v>Livid men</v>
      </c>
      <c r="B261" s="11" t="str">
        <f>IFERROR(__xludf.DUMMYFUNCTION("""COMPUTED_VALUE"""),"Shirt")</f>
        <v>Shirt</v>
      </c>
      <c r="C261" s="11" t="str">
        <f>IFERROR(__xludf.DUMMYFUNCTION("""COMPUTED_VALUE"""),"russ-white-fine-silk")</f>
        <v>russ-white-fine-silk</v>
      </c>
      <c r="D261" s="11" t="str">
        <f>IFERROR(__xludf.DUMMYFUNCTION("""COMPUTED_VALUE"""),"Russ White Fine Silk")</f>
        <v>Russ White Fine Silk</v>
      </c>
      <c r="E261" s="11"/>
      <c r="F261" s="11"/>
      <c r="G261" s="11"/>
      <c r="H261" s="11"/>
      <c r="I261" s="11"/>
    </row>
    <row r="262">
      <c r="A262" s="11" t="str">
        <f>IFERROR(__xludf.DUMMYFUNCTION("""COMPUTED_VALUE"""),"Livid men")</f>
        <v>Livid men</v>
      </c>
      <c r="B262" s="11" t="str">
        <f>IFERROR(__xludf.DUMMYFUNCTION("""COMPUTED_VALUE"""),"Knitwear")</f>
        <v>Knitwear</v>
      </c>
      <c r="C262" s="11" t="str">
        <f>IFERROR(__xludf.DUMMYFUNCTION("""COMPUTED_VALUE"""),"stack-black")</f>
        <v>stack-black</v>
      </c>
      <c r="D262" s="11" t="str">
        <f>IFERROR(__xludf.DUMMYFUNCTION("""COMPUTED_VALUE"""),"Stack Black")</f>
        <v>Stack Black</v>
      </c>
      <c r="E262" s="11" t="str">
        <f>IFERROR(__xludf.DUMMYFUNCTION("""COMPUTED_VALUE"""),"Made in China
Stack, our lightweight and warm buttoned cardigan. Made with a polo style collar, slightly dropped shoulders and regular straight body. Finished with mother of pearl buttons.
Knitted in an alpaca/merino blend yarn, with a soft and fuzzy ha"&amp;"ndfeel. Lightweight and warm, spun around a nylon core for durability, with a touch of elastane to keep its shape over time.")</f>
        <v>Made in China
Stack, our lightweight and warm buttoned cardigan. Made with a polo style collar, slightly dropped shoulders and regular straight body. Finished with mother of pearl buttons.
Knitted in an alpaca/merino blend yarn, with a soft and fuzzy handfeel. Lightweight and warm, spun around a nylon core for durability, with a touch of elastane to keep its shape over time.</v>
      </c>
      <c r="F262" s="11" t="str">
        <f>IFERROR(__xludf.DUMMYFUNCTION("""COMPUTED_VALUE"""),"Polo style cardigan knitted in a light alpaca/merino yarn.")</f>
        <v>Polo style cardigan knitted in a light alpaca/merino yarn.</v>
      </c>
      <c r="G262" s="11" t="str">
        <f>IFERROR(__xludf.DUMMYFUNCTION("""COMPUTED_VALUE"""),"- 32% Alpaca, 32% Merino, 30% Nylon, 6% Elastan
- Alpaca yarn spun by Topline, China
- Soft, light and resistant
- Mother of pearl buttons
- Knitted by Springair in China")</f>
        <v>- 32% Alpaca, 32% Merino, 30% Nylon, 6% Elastan
- Alpaca yarn spun by Topline, China
- Soft, light and resistant
- Mother of pearl buttons
- Knitted by Springair in China</v>
      </c>
      <c r="H262" s="11" t="str">
        <f>IFERROR(__xludf.DUMMYFUNCTION("""COMPUTED_VALUE"""),"stack-charcoal")</f>
        <v>stack-charcoal</v>
      </c>
      <c r="I262" s="11" t="str">
        <f>IFERROR(__xludf.DUMMYFUNCTION("""COMPUTED_VALUE"""),"beth-low-japan-dive")</f>
        <v>beth-low-japan-dive</v>
      </c>
    </row>
    <row r="263">
      <c r="A263" s="11" t="str">
        <f>IFERROR(__xludf.DUMMYFUNCTION("""COMPUTED_VALUE"""),"Livid men")</f>
        <v>Livid men</v>
      </c>
      <c r="B263" s="11" t="str">
        <f>IFERROR(__xludf.DUMMYFUNCTION("""COMPUTED_VALUE"""),"Knitwear")</f>
        <v>Knitwear</v>
      </c>
      <c r="C263" s="11" t="str">
        <f>IFERROR(__xludf.DUMMYFUNCTION("""COMPUTED_VALUE"""),"stack-charcoal")</f>
        <v>stack-charcoal</v>
      </c>
      <c r="D263" s="11" t="str">
        <f>IFERROR(__xludf.DUMMYFUNCTION("""COMPUTED_VALUE"""),"Stack Charcoal")</f>
        <v>Stack Charcoal</v>
      </c>
      <c r="E263" s="11" t="str">
        <f>IFERROR(__xludf.DUMMYFUNCTION("""COMPUTED_VALUE"""),"Made in China
Stack, our lightweight and warm buttoned cardigan. Made with a polo style collar, slightly dropped shoulders and regular straight body. Finished with mother of pearl buttons.
Knitted in an alpaca/merino blend yarn, with a soft and fuzzy ha"&amp;"ndfeel. Lightweight and warm, spun around a nylon core for durability, with a touch of elastane to keep its shape over time.")</f>
        <v>Made in China
Stack, our lightweight and warm buttoned cardigan. Made with a polo style collar, slightly dropped shoulders and regular straight body. Finished with mother of pearl buttons.
Knitted in an alpaca/merino blend yarn, with a soft and fuzzy handfeel. Lightweight and warm, spun around a nylon core for durability, with a touch of elastane to keep its shape over time.</v>
      </c>
      <c r="F263" s="11" t="str">
        <f>IFERROR(__xludf.DUMMYFUNCTION("""COMPUTED_VALUE"""),"Polo style cardigan knitted in a light alpaca/merino yarn.")</f>
        <v>Polo style cardigan knitted in a light alpaca/merino yarn.</v>
      </c>
      <c r="G263" s="11" t="str">
        <f>IFERROR(__xludf.DUMMYFUNCTION("""COMPUTED_VALUE"""),"- 32% Alpaca, 32% Merino, 30% Nylon, 6% Elastan
- Alpaca yarn spun by Topline, China
- Soft, light and resistant
- Mother of pearl buttons
- Knitted by Springair in China")</f>
        <v>- 32% Alpaca, 32% Merino, 30% Nylon, 6% Elastan
- Alpaca yarn spun by Topline, China
- Soft, light and resistant
- Mother of pearl buttons
- Knitted by Springair in China</v>
      </c>
      <c r="H263" s="11" t="str">
        <f>IFERROR(__xludf.DUMMYFUNCTION("""COMPUTED_VALUE"""),"stack-black")</f>
        <v>stack-black</v>
      </c>
      <c r="I263" s="11" t="str">
        <f>IFERROR(__xludf.DUMMYFUNCTION("""COMPUTED_VALUE"""),"keri-japan-black")</f>
        <v>keri-japan-black</v>
      </c>
    </row>
    <row r="264">
      <c r="A264" s="11" t="str">
        <f>IFERROR(__xludf.DUMMYFUNCTION("""COMPUTED_VALUE"""),"Livid Men")</f>
        <v>Livid Men</v>
      </c>
      <c r="B264" s="11" t="str">
        <f>IFERROR(__xludf.DUMMYFUNCTION("""COMPUTED_VALUE"""),"Knitwear")</f>
        <v>Knitwear</v>
      </c>
      <c r="C264" s="11" t="str">
        <f>IFERROR(__xludf.DUMMYFUNCTION("""COMPUTED_VALUE"""),"stack-flaxen")</f>
        <v>stack-flaxen</v>
      </c>
      <c r="D264" s="11" t="str">
        <f>IFERROR(__xludf.DUMMYFUNCTION("""COMPUTED_VALUE"""),"Stack Flaxen")</f>
        <v>Stack Flaxen</v>
      </c>
      <c r="E264" s="11" t="str">
        <f>IFERROR(__xludf.DUMMYFUNCTION("""COMPUTED_VALUE"""),"Made in China
Stack, our paper yarn collared cardigan. Knitted in an open and textured rib with a sheer quality. Designed with dropped shoulders, a loose body and wide and long sleeves. A collared neckline and mother of pearl buttoning.
Knitted in a pap"&amp;"er, or washi blend yarn that gives the garment a heavy drape, and a distinct tactile handfeel that is cool on the skin, with excellent moisture wicking properties. A statement, yet versatile knit for spring and summer, to be worn layered as a cardigan, or"&amp;" straight on the skin. 
Details
- 35% cotton, 33% paper, 27% viscose, 6% linen
- Paper yarn spun by Topline
- Cool, light and breathable 
- Mother of pearl buttons
- Knitted by Springair in China")</f>
        <v>Made in China
Stack, our paper yarn collared cardigan. Knitted in an open and textured rib with a sheer quality. Designed with dropped shoulders, a loose body and wide and long sleeves. A collared neckline and mother of pearl buttoning.
Knitted in a paper, or washi blend yarn that gives the garment a heavy drape, and a distinct tactile handfeel that is cool on the skin, with excellent moisture wicking properties. A statement, yet versatile knit for spring and summer, to be worn layered as a cardigan, or straight on the skin. 
Details
- 35% cotton, 33% paper, 27% viscose, 6% linen
- Paper yarn spun by Topline
- Cool, light and breathable 
- Mother of pearl buttons
- Knitted by Springair in China</v>
      </c>
      <c r="F264" s="11" t="str">
        <f>IFERROR(__xludf.DUMMYFUNCTION("""COMPUTED_VALUE"""),"Stack, our knitted paper yarn cardigan.")</f>
        <v>Stack, our knitted paper yarn cardigan.</v>
      </c>
      <c r="G264" s="11"/>
      <c r="H264" s="11"/>
      <c r="I264" s="11" t="str">
        <f>IFERROR(__xludf.DUMMYFUNCTION("""COMPUTED_VALUE"""),"hayes-black")</f>
        <v>hayes-black</v>
      </c>
    </row>
    <row r="265">
      <c r="A265" s="11" t="str">
        <f>IFERROR(__xludf.DUMMYFUNCTION("""COMPUTED_VALUE"""),"Livid men")</f>
        <v>Livid men</v>
      </c>
      <c r="B265" s="11" t="str">
        <f>IFERROR(__xludf.DUMMYFUNCTION("""COMPUTED_VALUE"""),"Knitwear")</f>
        <v>Knitwear</v>
      </c>
      <c r="C265" s="11" t="str">
        <f>IFERROR(__xludf.DUMMYFUNCTION("""COMPUTED_VALUE"""),"stanton-black")</f>
        <v>stanton-black</v>
      </c>
      <c r="D265" s="11" t="str">
        <f>IFERROR(__xludf.DUMMYFUNCTION("""COMPUTED_VALUE"""),"Stanton Black")</f>
        <v>Stanton Black</v>
      </c>
      <c r="E265" s="11"/>
      <c r="F265" s="11"/>
      <c r="G265" s="11"/>
      <c r="H265" s="11"/>
      <c r="I265" s="11"/>
    </row>
    <row r="266">
      <c r="A266" s="11" t="str">
        <f>IFERROR(__xludf.DUMMYFUNCTION("""COMPUTED_VALUE"""),"Livid men")</f>
        <v>Livid men</v>
      </c>
      <c r="B266" s="11" t="str">
        <f>IFERROR(__xludf.DUMMYFUNCTION("""COMPUTED_VALUE"""),"Knitwear")</f>
        <v>Knitwear</v>
      </c>
      <c r="C266" s="11" t="str">
        <f>IFERROR(__xludf.DUMMYFUNCTION("""COMPUTED_VALUE"""),"stanton-linen")</f>
        <v>stanton-linen</v>
      </c>
      <c r="D266" s="11" t="str">
        <f>IFERROR(__xludf.DUMMYFUNCTION("""COMPUTED_VALUE"""),"Stanton Linen")</f>
        <v>Stanton Linen</v>
      </c>
      <c r="E266" s="11"/>
      <c r="F266" s="11"/>
      <c r="G266" s="11"/>
      <c r="H266" s="11"/>
      <c r="I266" s="11"/>
    </row>
    <row r="267">
      <c r="A267" s="11" t="str">
        <f>IFERROR(__xludf.DUMMYFUNCTION("""COMPUTED_VALUE"""),"Livid Men")</f>
        <v>Livid Men</v>
      </c>
      <c r="B267" s="11" t="str">
        <f>IFERROR(__xludf.DUMMYFUNCTION("""COMPUTED_VALUE"""),"Knitwear")</f>
        <v>Knitwear</v>
      </c>
      <c r="C267" s="11" t="str">
        <f>IFERROR(__xludf.DUMMYFUNCTION("""COMPUTED_VALUE"""),"sweeny-paprika")</f>
        <v>sweeny-paprika</v>
      </c>
      <c r="D267" s="11" t="str">
        <f>IFERROR(__xludf.DUMMYFUNCTION("""COMPUTED_VALUE"""),"Sweeny Paprika")</f>
        <v>Sweeny Paprika</v>
      </c>
      <c r="E267" s="11" t="str">
        <f>IFERROR(__xludf.DUMMYFUNCTION("""COMPUTED_VALUE"""),"Made in China
Sweeny, our paper yarn polo. Knitted in an open and textured rib with a sheer quality. Designed with dropped shoulders, a loose body and wide and long sleeves. A collared neckline and mother of pearl buttoning.
Knitted in a paper, or washi"&amp;" blend yarn that gives the garment a heavy drape, and a distinct tactile handfeel that is cool on the skin, with excellent moisture wicking properties. A statement, yet versatile knit for spring and summer, to be worn layered, or straight on the skin. 
D"&amp;"etails
- 35% cotton, 33% paper, 27% viscose, 6% linen
- Paper yarn spun by Topline
- Cool, light and breathable 
- Mother of pearl buttons
- Knitted by Springair in China")</f>
        <v>Made in China
Sweeny, our paper yarn polo. Knitted in an open and textured rib with a sheer quality. Designed with dropped shoulders, a loose body and wide and long sleeves. A collared neckline and mother of pearl buttoning.
Knitted in a paper, or washi blend yarn that gives the garment a heavy drape, and a distinct tactile handfeel that is cool on the skin, with excellent moisture wicking properties. A statement, yet versatile knit for spring and summer, to be worn layered, or straight on the skin. 
Details
- 35% cotton, 33% paper, 27% viscose, 6% linen
- Paper yarn spun by Topline
- Cool, light and breathable 
- Mother of pearl buttons
- Knitted by Springair in China</v>
      </c>
      <c r="F267" s="11" t="str">
        <f>IFERROR(__xludf.DUMMYFUNCTION("""COMPUTED_VALUE"""),"Sweeny, our knitted paper yarn polo.")</f>
        <v>Sweeny, our knitted paper yarn polo.</v>
      </c>
      <c r="G267" s="11"/>
      <c r="H267" s="11"/>
      <c r="I267" s="11" t="str">
        <f>IFERROR(__xludf.DUMMYFUNCTION("""COMPUTED_VALUE"""),"keri-japan-black")</f>
        <v>keri-japan-black</v>
      </c>
    </row>
    <row r="268">
      <c r="A268" s="11" t="str">
        <f>IFERROR(__xludf.DUMMYFUNCTION("""COMPUTED_VALUE"""),"Livid men")</f>
        <v>Livid men</v>
      </c>
      <c r="B268" s="11" t="str">
        <f>IFERROR(__xludf.DUMMYFUNCTION("""COMPUTED_VALUE"""),"Knitwear")</f>
        <v>Knitwear</v>
      </c>
      <c r="C268" s="11" t="str">
        <f>IFERROR(__xludf.DUMMYFUNCTION("""COMPUTED_VALUE"""),"taelon-black")</f>
        <v>taelon-black</v>
      </c>
      <c r="D268" s="11" t="str">
        <f>IFERROR(__xludf.DUMMYFUNCTION("""COMPUTED_VALUE"""),"Taelon Black")</f>
        <v>Taelon Black</v>
      </c>
      <c r="E268" s="11"/>
      <c r="F268" s="11"/>
      <c r="G268" s="11"/>
      <c r="H268" s="11"/>
      <c r="I268" s="11"/>
    </row>
    <row r="269">
      <c r="A269" s="11" t="str">
        <f>IFERROR(__xludf.DUMMYFUNCTION("""COMPUTED_VALUE"""),"Livid men")</f>
        <v>Livid men</v>
      </c>
      <c r="B269" s="11" t="str">
        <f>IFERROR(__xludf.DUMMYFUNCTION("""COMPUTED_VALUE"""),"Knitwear")</f>
        <v>Knitwear</v>
      </c>
      <c r="C269" s="11" t="str">
        <f>IFERROR(__xludf.DUMMYFUNCTION("""COMPUTED_VALUE"""),"taelon-paleo")</f>
        <v>taelon-paleo</v>
      </c>
      <c r="D269" s="11" t="str">
        <f>IFERROR(__xludf.DUMMYFUNCTION("""COMPUTED_VALUE"""),"Taelon Paleo")</f>
        <v>Taelon Paleo</v>
      </c>
      <c r="E269" s="11"/>
      <c r="F269" s="11"/>
      <c r="G269" s="11"/>
      <c r="H269" s="11"/>
      <c r="I269" s="11"/>
    </row>
    <row r="270">
      <c r="A270" s="11" t="str">
        <f>IFERROR(__xludf.DUMMYFUNCTION("""COMPUTED_VALUE"""),"Livid men")</f>
        <v>Livid men</v>
      </c>
      <c r="B270" s="11" t="str">
        <f>IFERROR(__xludf.DUMMYFUNCTION("""COMPUTED_VALUE"""),"Knitwear")</f>
        <v>Knitwear</v>
      </c>
      <c r="C270" s="11" t="str">
        <f>IFERROR(__xludf.DUMMYFUNCTION("""COMPUTED_VALUE"""),"tate-charcoal")</f>
        <v>tate-charcoal</v>
      </c>
      <c r="D270" s="11" t="str">
        <f>IFERROR(__xludf.DUMMYFUNCTION("""COMPUTED_VALUE"""),"Tate Charcoal")</f>
        <v>Tate Charcoal</v>
      </c>
      <c r="E270" s="11" t="str">
        <f>IFERROR(__xludf.DUMMYFUNCTION("""COMPUTED_VALUE"""),"Made in China 
Made in pure merino wool, boiled to acheive a perfect balance between warmth, breathabilty and softness. The weight of the boiled merino wool gives the Tate sweater a soft and heavy drape.
Designed with dropped shoulders, a straight boxy "&amp;"fit, with a ribbed hem that hangs straight, with splits at the sides. ")</f>
        <v>Made in China 
Made in pure merino wool, boiled to acheive a perfect balance between warmth, breathabilty and softness. The weight of the boiled merino wool gives the Tate sweater a soft and heavy drape.
Designed with dropped shoulders, a straight boxy fit, with a ribbed hem that hangs straight, with splits at the sides. </v>
      </c>
      <c r="F270" s="11" t="str">
        <f>IFERROR(__xludf.DUMMYFUNCTION("""COMPUTED_VALUE"""),"Tate, our boiled merino wool crewneck sweater.")</f>
        <v>Tate, our boiled merino wool crewneck sweater.</v>
      </c>
      <c r="G270" s="11" t="str">
        <f>IFERROR(__xludf.DUMMYFUNCTION("""COMPUTED_VALUE"""),"- 100% merino wool, boiled
- Merino wool yarn spun in Italy by Tollegno 1900
- Warm, breathable and hardwearing
- Knitted by Goldfine in China")</f>
        <v>- 100% merino wool, boiled
- Merino wool yarn spun in Italy by Tollegno 1900
- Warm, breathable and hardwearing
- Knitted by Goldfine in China</v>
      </c>
      <c r="H270" s="11" t="str">
        <f>IFERROR(__xludf.DUMMYFUNCTION("""COMPUTED_VALUE"""),"tate-black")</f>
        <v>tate-black</v>
      </c>
      <c r="I270" s="11" t="str">
        <f>IFERROR(__xludf.DUMMYFUNCTION("""COMPUTED_VALUE"""),"fuller-japan-indigo-dusk, chambord-noir")</f>
        <v>fuller-japan-indigo-dusk, chambord-noir</v>
      </c>
    </row>
    <row r="271">
      <c r="A271" s="11" t="str">
        <f>IFERROR(__xludf.DUMMYFUNCTION("""COMPUTED_VALUE"""),"Livid men")</f>
        <v>Livid men</v>
      </c>
      <c r="B271" s="11" t="str">
        <f>IFERROR(__xludf.DUMMYFUNCTION("""COMPUTED_VALUE"""),"Shirt")</f>
        <v>Shirt</v>
      </c>
      <c r="C271" s="11" t="str">
        <f>IFERROR(__xludf.DUMMYFUNCTION("""COMPUTED_VALUE"""),"tiki-blue-pop")</f>
        <v>tiki-blue-pop</v>
      </c>
      <c r="D271" s="11" t="str">
        <f>IFERROR(__xludf.DUMMYFUNCTION("""COMPUTED_VALUE"""),"Tiki Blue Pop")</f>
        <v>Tiki Blue Pop</v>
      </c>
      <c r="E271" s="11"/>
      <c r="F271" s="11"/>
      <c r="G271" s="11"/>
      <c r="H271" s="11"/>
      <c r="I271" s="11"/>
    </row>
    <row r="272">
      <c r="A272" s="11" t="str">
        <f>IFERROR(__xludf.DUMMYFUNCTION("""COMPUTED_VALUE"""),"Livid men")</f>
        <v>Livid men</v>
      </c>
      <c r="B272" s="11" t="str">
        <f>IFERROR(__xludf.DUMMYFUNCTION("""COMPUTED_VALUE"""),"Shirt")</f>
        <v>Shirt</v>
      </c>
      <c r="C272" s="11" t="str">
        <f>IFERROR(__xludf.DUMMYFUNCTION("""COMPUTED_VALUE"""),"tim-japan-marble")</f>
        <v>tim-japan-marble</v>
      </c>
      <c r="D272" s="11" t="str">
        <f>IFERROR(__xludf.DUMMYFUNCTION("""COMPUTED_VALUE"""),"Tim Japan Marble")</f>
        <v>Tim Japan Marble</v>
      </c>
      <c r="E272" s="11" t="str">
        <f>IFERROR(__xludf.DUMMYFUNCTION("""COMPUTED_VALUE"""),"Made in Portugal
Introducing Tim, a shorter version of our unisex big shirt. Tim features oversized proportions with very dropped shoulders and a very wide body, but with a classic lengths with a softer curve.
Made in an exceptionally light blue 7 Oz. d"&amp;"enim woven by the artisinal denim mill Collect in Japan with a beautiful subtle texture. This particular denim is made with a rope-dyed warp yarn which has been given just a small handful of dips in indigo, resulting in a light and soft shade of blue. The"&amp;" Amber Japan Marble is further washed, resulting in an exceptionally light bue denim shirt with a subtle depth of colour.
Details
- 100% cotton
- 7 Oz. light indigo denim woven by Collect in Japan
- Mother of pearl buttons made by Louropel in Italy
- Sti"&amp;"tched with durable poly core cotton thread
- Cut &amp; Sewn by Stork, Portugal
Designed to be unisex, the sleeve lengths have a greater jump between sizes S and M. XS and S fit most women and shorter men, M and L fit most men and taller women.")</f>
        <v>Made in Portugal
Introducing Tim, a shorter version of our unisex big shirt. Tim features oversized proportions with very dropped shoulders and a very wide body, but with a classic lengths with a softer curve.
Made in an exceptionally light blue 7 Oz. denim woven by the artisinal denim mill Collect in Japan with a beautiful subtle texture. This particular denim is made with a rope-dyed warp yarn which has been given just a small handful of dips in indigo, resulting in a light and soft shade of blue. The Amber Japan Marble is further washed, resulting in an exceptionally light bue denim shirt with a subtle depth of colour.
Details
- 100% cotton
- 7 Oz. light indigo denim woven by Collect in Japan
- Mother of pearl buttons made by Louropel in Italy
- Stitched with durable poly core cotton thread
- Cut &amp; Sewn by Stork, Portugal
Designed to be unisex, the sleeve lengths have a greater jump between sizes S and M. XS and S fit most women and shorter men, M and L fit most men and taller women.</v>
      </c>
      <c r="F272" s="11" t="str">
        <f>IFERROR(__xludf.DUMMYFUNCTION("""COMPUTED_VALUE"""),"Tim, our oversized denim shirt.")</f>
        <v>Tim, our oversized denim shirt.</v>
      </c>
      <c r="G272" s="11"/>
      <c r="H272" s="11"/>
      <c r="I272" s="11" t="str">
        <f>IFERROR(__xludf.DUMMYFUNCTION("""COMPUTED_VALUE"""),"fealy-5-pocket-japan-optic-white")</f>
        <v>fealy-5-pocket-japan-optic-white</v>
      </c>
    </row>
    <row r="273">
      <c r="A273" s="11" t="str">
        <f>IFERROR(__xludf.DUMMYFUNCTION("""COMPUTED_VALUE"""),"Livid Men")</f>
        <v>Livid Men</v>
      </c>
      <c r="B273" s="11" t="str">
        <f>IFERROR(__xludf.DUMMYFUNCTION("""COMPUTED_VALUE"""),"Knitwear")</f>
        <v>Knitwear</v>
      </c>
      <c r="C273" s="11" t="str">
        <f>IFERROR(__xludf.DUMMYFUNCTION("""COMPUTED_VALUE"""),"tuck-black-1")</f>
        <v>tuck-black-1</v>
      </c>
      <c r="D273" s="11" t="str">
        <f>IFERROR(__xludf.DUMMYFUNCTION("""COMPUTED_VALUE"""),"Tuck Black")</f>
        <v>Tuck Black</v>
      </c>
      <c r="E273" s="11" t="str">
        <f>IFERROR(__xludf.DUMMYFUNCTION("""COMPUTED_VALUE"""),"Made in China 
From our All Seasons line comes our lightweight merino turtleneck Tuck. Made from a beautiful lightweight 100% extra fine merino wool, spun by the renowned European wool spinner Biella Yarn.
Tuck was developed to be the perfect basic turt"&amp;"leneck. Refined to be worn with tailoring, but durable enough to be worn every day. With a classic fit perfect for layering, and a luxurious soft handfeel. Featuring a roll-neck that keeps your entire neck warm without bunching. The super soft merino qual"&amp;"ity from Biella allows you to wear it directly on your skin without any itching, and the light weight makes it equally ideal as a baselayer or as a light jumper.
Details
- 100% extra fine merino wool
- Merino wool yarn spun in Europe by Biella Yarn
- Sof"&amp;"t, elastic and super resistant.
- Knitted by Springair in China")</f>
        <v>Made in China 
From our All Seasons line comes our lightweight merino turtleneck Tuck. Made from a beautiful lightweight 100% extra fine merino wool, spun by the renowned European wool spinner Biella Yarn.
Tuck was developed to be the perfect basic turtleneck. Refined to be worn with tailoring, but durable enough to be worn every day. With a classic fit perfect for layering, and a luxurious soft handfeel. Featuring a roll-neck that keeps your entire neck warm without bunching. The super soft merino quality from Biella allows you to wear it directly on your skin without any itching, and the light weight makes it equally ideal as a baselayer or as a light jumper.
Details
- 100% extra fine merino wool
- Merino wool yarn spun in Europe by Biella Yarn
- Soft, elastic and super resistant.
- Knitted by Springair in China</v>
      </c>
      <c r="F273" s="11" t="str">
        <f>IFERROR(__xludf.DUMMYFUNCTION("""COMPUTED_VALUE"""),"Tuck, our lightweight merino turtleneck.")</f>
        <v>Tuck, our lightweight merino turtleneck.</v>
      </c>
      <c r="G273" s="11"/>
      <c r="H273" s="11"/>
      <c r="I273" s="11" t="str">
        <f>IFERROR(__xludf.DUMMYFUNCTION("""COMPUTED_VALUE"""),"fuller-japan-black-dusk, chambord-noir")</f>
        <v>fuller-japan-black-dusk, chambord-noir</v>
      </c>
    </row>
    <row r="274">
      <c r="A274" s="11" t="str">
        <f>IFERROR(__xludf.DUMMYFUNCTION("""COMPUTED_VALUE"""),"Livid Unisex")</f>
        <v>Livid Unisex</v>
      </c>
      <c r="B274" s="11" t="str">
        <f>IFERROR(__xludf.DUMMYFUNCTION("""COMPUTED_VALUE"""),"Shirt")</f>
        <v>Shirt</v>
      </c>
      <c r="C274" s="11" t="str">
        <f>IFERROR(__xludf.DUMMYFUNCTION("""COMPUTED_VALUE"""),"aiden-faded-mysterioso")</f>
        <v>aiden-faded-mysterioso</v>
      </c>
      <c r="D274" s="11" t="str">
        <f>IFERROR(__xludf.DUMMYFUNCTION("""COMPUTED_VALUE"""),"Aiden Faded Mysterioso")</f>
        <v>Aiden Faded Mysterioso</v>
      </c>
      <c r="E274" s="11" t="str">
        <f>IFERROR(__xludf.DUMMYFUNCTION("""COMPUTED_VALUE"""),"Made in Portugal
Aiden, our unisex big shirt. A super oversized shirt, featuring very dropped shoulders, very wide body and long curved hems. The wider sleeves gather nicely at the cuffs. Made in a solid heavy oxford cloth, woven by Somelos i Portugal ex"&amp;"clusively for Livid.
Designed to be unisex, the sleeve lengths have a greater jump between sizes S and M. XS and S fit most women and shorter men, M and L fit most men and taller women.")</f>
        <v>Made in Portugal
Aiden, our unisex big shirt. A super oversized shirt, featuring very dropped shoulders, very wide body and long curved hems. The wider sleeves gather nicely at the cuffs. Made in a solid heavy oxford cloth, woven by Somelos i Portugal exclusively for Livid.
Designed to be unisex, the sleeve lengths have a greater jump between sizes S and M. XS and S fit most women and shorter men, M and L fit most men and taller women.</v>
      </c>
      <c r="F274" s="11" t="str">
        <f>IFERROR(__xludf.DUMMYFUNCTION("""COMPUTED_VALUE"""),"Aiden, our unisex big shirt.")</f>
        <v>Aiden, our unisex big shirt.</v>
      </c>
      <c r="G274" s="11" t="str">
        <f>IFERROR(__xludf.DUMMYFUNCTION("""COMPUTED_VALUE"""),"- Plain weave oxford fabric, 100% cotton.
- Woven by Somelos in Portugal exclusively for Livid
- Mother of Pearl buttons from Louropel, Portugal
- Hanger loop on back yoke
- Stitched with poly core cotton thread
- Cut &amp; Sewn by Stork, Portugal")</f>
        <v>- Plain weave oxford fabric, 100% cotton.
- Woven by Somelos in Portugal exclusively for Livid
- Mother of Pearl buttons from Louropel, Portugal
- Hanger loop on back yoke
- Stitched with poly core cotton thread
- Cut &amp; Sewn by Stork, Portugal</v>
      </c>
      <c r="H274" s="11" t="str">
        <f>IFERROR(__xludf.DUMMYFUNCTION("""COMPUTED_VALUE"""),"aiden-otter-ox, aiden-white-ox")</f>
        <v>aiden-otter-ox, aiden-white-ox</v>
      </c>
      <c r="I274" s="11" t="str">
        <f>IFERROR(__xludf.DUMMYFUNCTION("""COMPUTED_VALUE"""),"beth-japan-gravel, tuck-black-1, adonis-lis-noir")</f>
        <v>beth-japan-gravel, tuck-black-1, adonis-lis-noir</v>
      </c>
    </row>
    <row r="275">
      <c r="A275" s="11" t="str">
        <f>IFERROR(__xludf.DUMMYFUNCTION("""COMPUTED_VALUE"""),"Livid Unisex")</f>
        <v>Livid Unisex</v>
      </c>
      <c r="B275" s="11" t="str">
        <f>IFERROR(__xludf.DUMMYFUNCTION("""COMPUTED_VALUE"""),"Shirt")</f>
        <v>Shirt</v>
      </c>
      <c r="C275" s="11" t="str">
        <f>IFERROR(__xludf.DUMMYFUNCTION("""COMPUTED_VALUE"""),"aiden-otter-ox")</f>
        <v>aiden-otter-ox</v>
      </c>
      <c r="D275" s="11" t="str">
        <f>IFERROR(__xludf.DUMMYFUNCTION("""COMPUTED_VALUE"""),"Aiden Otter Ox")</f>
        <v>Aiden Otter Ox</v>
      </c>
      <c r="E275" s="11" t="str">
        <f>IFERROR(__xludf.DUMMYFUNCTION("""COMPUTED_VALUE"""),"Made in Portugal
Aiden, our unisex big shirt. A super oversized shirt, featuring very dropped shoulders, very wide body and long curved hems. The wider sleeves gather nicely at the cuffs. Made in a solid heavy oxford cloth, woven by Somelos i Portugal ex"&amp;"clusively for Livid.
Designed to be unisex, the sleeve lengths have a greater jump between sizes S and M. XS and S fit most women and shorter men, M and L fit most men and taller women.")</f>
        <v>Made in Portugal
Aiden, our unisex big shirt. A super oversized shirt, featuring very dropped shoulders, very wide body and long curved hems. The wider sleeves gather nicely at the cuffs. Made in a solid heavy oxford cloth, woven by Somelos i Portugal exclusively for Livid.
Designed to be unisex, the sleeve lengths have a greater jump between sizes S and M. XS and S fit most women and shorter men, M and L fit most men and taller women.</v>
      </c>
      <c r="F275" s="11" t="str">
        <f>IFERROR(__xludf.DUMMYFUNCTION("""COMPUTED_VALUE"""),"Aiden, our unisex big shirt.")</f>
        <v>Aiden, our unisex big shirt.</v>
      </c>
      <c r="G275" s="11" t="str">
        <f>IFERROR(__xludf.DUMMYFUNCTION("""COMPUTED_VALUE"""),"- Plain weave oxford fabric, 100% cotton.
- Woven by Somelos in Portugal exclusively for Livid
- Mother of Pearl buttons from Louropel, Portugal
- Hanger loop on back yoke
- Stitched with poly core cotton thread
- Cut &amp; Sewn by Stork, Portugal")</f>
        <v>- Plain weave oxford fabric, 100% cotton.
- Woven by Somelos in Portugal exclusively for Livid
- Mother of Pearl buttons from Louropel, Portugal
- Hanger loop on back yoke
- Stitched with poly core cotton thread
- Cut &amp; Sewn by Stork, Portugal</v>
      </c>
      <c r="H275" s="11" t="str">
        <f>IFERROR(__xludf.DUMMYFUNCTION("""COMPUTED_VALUE"""),"aiden-faded-mysterioso, aiden-white-ox")</f>
        <v>aiden-faded-mysterioso, aiden-white-ox</v>
      </c>
      <c r="I275" s="11" t="str">
        <f>IFERROR(__xludf.DUMMYFUNCTION("""COMPUTED_VALUE"""),"keri-japan-black")</f>
        <v>keri-japan-black</v>
      </c>
    </row>
    <row r="276">
      <c r="A276" s="11" t="str">
        <f>IFERROR(__xludf.DUMMYFUNCTION("""COMPUTED_VALUE"""),"Livid Unisex")</f>
        <v>Livid Unisex</v>
      </c>
      <c r="B276" s="11" t="str">
        <f>IFERROR(__xludf.DUMMYFUNCTION("""COMPUTED_VALUE"""),"Shirt")</f>
        <v>Shirt</v>
      </c>
      <c r="C276" s="11" t="str">
        <f>IFERROR(__xludf.DUMMYFUNCTION("""COMPUTED_VALUE"""),"aiden-white-ox")</f>
        <v>aiden-white-ox</v>
      </c>
      <c r="D276" s="11" t="str">
        <f>IFERROR(__xludf.DUMMYFUNCTION("""COMPUTED_VALUE"""),"Aiden White Ox")</f>
        <v>Aiden White Ox</v>
      </c>
      <c r="E276" s="11" t="str">
        <f>IFERROR(__xludf.DUMMYFUNCTION("""COMPUTED_VALUE"""),"Made in Portugal
A super oversized Oxford shirt, featuring authentic Oxford details such as the wider collar with a pronounced button-down collar roll, a chest pocket, and the hangar loop on the back yoke. The fit however is big: Very dropped shoulders, "&amp;"very wide body and long curved hems. The wider sleeves gather nicely at the cuffs.
Made in a solid heavy oxford cloth, woven by Somelos i Portugal exclusively for Livid.
Designed to be unisex, the sleeve lengths have a greater jump between sizes S and M"&amp;". XS and S fit most women and shorter men, M and L fit most men and taller women.")</f>
        <v>Made in Portugal
A super oversized Oxford shirt, featuring authentic Oxford details such as the wider collar with a pronounced button-down collar roll, a chest pocket, and the hangar loop on the back yoke. The fit however is big: Very dropped shoulders, very wide body and long curved hems. The wider sleeves gather nicely at the cuffs.
Made in a solid heavy oxford cloth, woven by Somelos i Portugal exclusively for Livid.
Designed to be unisex, the sleeve lengths have a greater jump between sizes S and M. XS and S fit most women and shorter men, M and L fit most men and taller women.</v>
      </c>
      <c r="F276" s="11" t="str">
        <f>IFERROR(__xludf.DUMMYFUNCTION("""COMPUTED_VALUE"""),"Aiden, our unisex big shirt.")</f>
        <v>Aiden, our unisex big shirt.</v>
      </c>
      <c r="G276" s="11" t="str">
        <f>IFERROR(__xludf.DUMMYFUNCTION("""COMPUTED_VALUE"""),"Details
- Plain weave oxford fabric, 100% cotton.
- Woven by Somelos in Portugal exclusively for Livid
- Mother of Pearl buttons from Louropel, Portugal
- Hanger loop on back yoke
- Stitched with poly core cotton thread
- Cut &amp; Sewn by Stork, Portugal")</f>
        <v>Details
- Plain weave oxford fabric, 100% cotton.
- Woven by Somelos in Portugal exclusively for Livid
- Mother of Pearl buttons from Louropel, Portugal
- Hanger loop on back yoke
- Stitched with poly core cotton thread
- Cut &amp; Sewn by Stork, Portugal</v>
      </c>
      <c r="H276" s="11" t="str">
        <f>IFERROR(__xludf.DUMMYFUNCTION("""COMPUTED_VALUE"""),"aiden-faded-mysterioso, aiden-otter-ox")</f>
        <v>aiden-faded-mysterioso, aiden-otter-ox</v>
      </c>
      <c r="I276" s="11"/>
    </row>
    <row r="277">
      <c r="A277" s="11" t="str">
        <f>IFERROR(__xludf.DUMMYFUNCTION("""COMPUTED_VALUE"""),"Livid Unisex")</f>
        <v>Livid Unisex</v>
      </c>
      <c r="B277" s="11" t="str">
        <f>IFERROR(__xludf.DUMMYFUNCTION("""COMPUTED_VALUE"""),"Cap")</f>
        <v>Cap</v>
      </c>
      <c r="C277" s="11" t="str">
        <f>IFERROR(__xludf.DUMMYFUNCTION("""COMPUTED_VALUE"""),"banks-black")</f>
        <v>banks-black</v>
      </c>
      <c r="D277" s="11" t="str">
        <f>IFERROR(__xludf.DUMMYFUNCTION("""COMPUTED_VALUE"""),"Banks Black")</f>
        <v>Banks Black</v>
      </c>
      <c r="E277" s="11" t="str">
        <f>IFERROR(__xludf.DUMMYFUNCTION("""COMPUTED_VALUE"""),"Made in China
Banks features 6 panels with stitched eyelets on each panel, a broad brim with structural stitching, and a slightly shallow and snug fit. Finished with an embroidered L logo at the front.")</f>
        <v>Made in China
Banks features 6 panels with stitched eyelets on each panel, a broad brim with structural stitching, and a slightly shallow and snug fit. Finished with an embroidered L logo at the front.</v>
      </c>
      <c r="F277" s="11" t="str">
        <f>IFERROR(__xludf.DUMMYFUNCTION("""COMPUTED_VALUE"""),"Our Banks cap in a technical ripstop fabric.")</f>
        <v>Our Banks cap in a technical ripstop fabric.</v>
      </c>
      <c r="G277" s="11" t="str">
        <f>IFERROR(__xludf.DUMMYFUNCTION("""COMPUTED_VALUE"""),"- 100% polyester ripstop
- Sewn with durable poly-core cotton thread.
- Made by Labels Things, in China")</f>
        <v>- 100% polyester ripstop
- Sewn with durable poly-core cotton thread.
- Made by Labels Things, in China</v>
      </c>
      <c r="H277" s="11" t="str">
        <f>IFERROR(__xludf.DUMMYFUNCTION("""COMPUTED_VALUE"""),"banks-gravel")</f>
        <v>banks-gravel</v>
      </c>
      <c r="I277" s="11"/>
    </row>
    <row r="278">
      <c r="A278" s="11" t="str">
        <f>IFERROR(__xludf.DUMMYFUNCTION("""COMPUTED_VALUE"""),"Livid Unisex")</f>
        <v>Livid Unisex</v>
      </c>
      <c r="B278" s="11" t="str">
        <f>IFERROR(__xludf.DUMMYFUNCTION("""COMPUTED_VALUE"""),"Cap")</f>
        <v>Cap</v>
      </c>
      <c r="C278" s="11" t="str">
        <f>IFERROR(__xludf.DUMMYFUNCTION("""COMPUTED_VALUE"""),"banks-gravel")</f>
        <v>banks-gravel</v>
      </c>
      <c r="D278" s="11" t="str">
        <f>IFERROR(__xludf.DUMMYFUNCTION("""COMPUTED_VALUE"""),"Banks Gravel")</f>
        <v>Banks Gravel</v>
      </c>
      <c r="E278" s="11" t="str">
        <f>IFERROR(__xludf.DUMMYFUNCTION("""COMPUTED_VALUE"""),"Made in China
Banks features 6 panels with stitched eyelets on each panel, a broad brim with structural stitching, and a slightly shallow and snug fit. Finished with an embroided Livid logo at the front. 
Details
- 100% cotton
- Sewn with durable poly-c"&amp;"ore cotton thread.
- Made by Labels &amp; Things in China")</f>
        <v>Made in China
Banks features 6 panels with stitched eyelets on each panel, a broad brim with structural stitching, and a slightly shallow and snug fit. Finished with an embroided Livid logo at the front. 
Details
- 100% cotton
- Sewn with durable poly-core cotton thread.
- Made by Labels &amp; Things in China</v>
      </c>
      <c r="F278" s="11" t="str">
        <f>IFERROR(__xludf.DUMMYFUNCTION("""COMPUTED_VALUE"""),"Our Banks cap in a washed black denim. Showing subtle distressing at the brim, and a beautiful texture.")</f>
        <v>Our Banks cap in a washed black denim. Showing subtle distressing at the brim, and a beautiful texture.</v>
      </c>
      <c r="G278" s="11"/>
      <c r="H278" s="11" t="str">
        <f>IFERROR(__xludf.DUMMYFUNCTION("""COMPUTED_VALUE"""),"banks-black")</f>
        <v>banks-black</v>
      </c>
      <c r="I278" s="11"/>
    </row>
    <row r="279">
      <c r="A279" s="11" t="str">
        <f>IFERROR(__xludf.DUMMYFUNCTION("""COMPUTED_VALUE"""),"Livid Unisex")</f>
        <v>Livid Unisex</v>
      </c>
      <c r="B279" s="11" t="str">
        <f>IFERROR(__xludf.DUMMYFUNCTION("""COMPUTED_VALUE"""),"Jacket")</f>
        <v>Jacket</v>
      </c>
      <c r="C279" s="11" t="str">
        <f>IFERROR(__xludf.DUMMYFUNCTION("""COMPUTED_VALUE"""),"barkle-yellow-check")</f>
        <v>barkle-yellow-check</v>
      </c>
      <c r="D279" s="11" t="str">
        <f>IFERROR(__xludf.DUMMYFUNCTION("""COMPUTED_VALUE"""),"Barkle Yellow Check")</f>
        <v>Barkle Yellow Check</v>
      </c>
      <c r="E279" s="11" t="str">
        <f>IFERROR(__xludf.DUMMYFUNCTION("""COMPUTED_VALUE"""),"Made in Portugal
Our midlayer jacket, Barkle, made in a highly brushed wool mix fabric woven by Takisada Nagoya in Japan. 
Featuring two large pockets, and designed for layering. Wear it as a light jacket in mild weather, and in cold winter conditions i"&amp;"t's a perfect mid-layer beneath a coat.
")</f>
        <v>Made in Portugal
Our midlayer jacket, Barkle, made in a highly brushed wool mix fabric woven by Takisada Nagoya in Japan. 
Featuring two large pockets, and designed for layering. Wear it as a light jacket in mild weather, and in cold winter conditions it's a perfect mid-layer beneath a coat.
</v>
      </c>
      <c r="F279" s="11" t="str">
        <f>IFERROR(__xludf.DUMMYFUNCTION("""COMPUTED_VALUE"""),"Barkle, our brushed check midlayer jacket.")</f>
        <v>Barkle, our brushed check midlayer jacket.</v>
      </c>
      <c r="G279" s="11" t="str">
        <f>IFERROR(__xludf.DUMMYFUNCTION("""COMPUTED_VALUE"""),"- Brushed wool mix fabric woven from Kowa, Japan
- 30% Wool, 70% polyester
- Two-way zipper from YKK
- Piped seams
- Stitched with durable poly-core cotton thread
- Made by Stork in Portugal")</f>
        <v>- Brushed wool mix fabric woven from Kowa, Japan
- 30% Wool, 70% polyester
- Two-way zipper from YKK
- Piped seams
- Stitched with durable poly-core cotton thread
- Made by Stork in Portugal</v>
      </c>
      <c r="H279" s="11"/>
      <c r="I279" s="11" t="str">
        <f>IFERROR(__xludf.DUMMYFUNCTION("""COMPUTED_VALUE"""),"keri-japan-black")</f>
        <v>keri-japan-black</v>
      </c>
    </row>
    <row r="280">
      <c r="A280" s="11" t="str">
        <f>IFERROR(__xludf.DUMMYFUNCTION("""COMPUTED_VALUE"""),"Livid Unisex")</f>
        <v>Livid Unisex</v>
      </c>
      <c r="B280" s="11" t="str">
        <f>IFERROR(__xludf.DUMMYFUNCTION("""COMPUTED_VALUE"""),"Jeans")</f>
        <v>Jeans</v>
      </c>
      <c r="C280" s="11" t="str">
        <f>IFERROR(__xludf.DUMMYFUNCTION("""COMPUTED_VALUE"""),"beth-japan-black-dusk")</f>
        <v>beth-japan-black-dusk</v>
      </c>
      <c r="D280" s="11" t="str">
        <f>IFERROR(__xludf.DUMMYFUNCTION("""COMPUTED_VALUE"""),"Beth Japan Black Dusk")</f>
        <v>Beth Japan Black Dusk</v>
      </c>
      <c r="E280" s="11" t="str">
        <f>IFERROR(__xludf.DUMMYFUNCTION("""COMPUTED_VALUE"""),"Made in Portugal
Beth. Low at the waist, with an open waistband letting Beth hang effortlessly on the hip. The leg continues straight with a wide silhouette all the way to the leg opening.
In our slightly broken-in Japan Black Dusk wash. Made in a solid"&amp;" 13 Oz 100% cotton denim from the renowned Japanese denim mill Kuroki. Soft to the touch, the Japan Black Dusk is deep black with subtle fading at the the seams.")</f>
        <v>Made in Portugal
Beth. Low at the waist, with an open waistband letting Beth hang effortlessly on the hip. The leg continues straight with a wide silhouette all the way to the leg opening.
In our slightly broken-in Japan Black Dusk wash. Made in a solid 13 Oz 100% cotton denim from the renowned Japanese denim mill Kuroki. Soft to the touch, the Japan Black Dusk is deep black with subtle fading at the the seams.</v>
      </c>
      <c r="F280" s="11" t="str">
        <f>IFERROR(__xludf.DUMMYFUNCTION("""COMPUTED_VALUE"""),"Our low waist wide fit Beth, in a slightly washed black.")</f>
        <v>Our low waist wide fit Beth, in a slightly washed black.</v>
      </c>
      <c r="G280" s="11" t="str">
        <f>IFERROR(__xludf.DUMMYFUNCTION("""COMPUTED_VALUE"""),"- 13 Oz wideloom denim from Kuroki, Japan
- 100% Sanforized cotton
- Warp &amp; Weft sulphur dyed black
- 8 Oz 5 Oz ecru canvas pocketing
- Black leather patch w/ wax treatment, Made in Italy.
- YKK two-prong silver button and zip fly
- YKK solid copper washe"&amp;"d-burr rivets
- Stitched with durable pol-core cotton thread
- Made at Lisama, Portugal")</f>
        <v>- 13 Oz wideloom denim from Kuroki, Japan
- 100% Sanforized cotton
- Warp &amp; Weft sulphur dyed black
- 8 Oz 5 Oz ecru canvas pocketing
- Black leather patch w/ wax treatment, Made in Italy.
- YKK two-prong silver button and zip fly
- YKK solid copper washed-burr rivets
- Stitched with durable pol-core cotton thread
- Made at Lisama, Portugal</v>
      </c>
      <c r="H280" s="11" t="str">
        <f>IFERROR(__xludf.DUMMYFUNCTION("""COMPUTED_VALUE"""),"beth-japan-dive, beth-japan-gravel")</f>
        <v>beth-japan-dive, beth-japan-gravel</v>
      </c>
      <c r="I280" s="11"/>
    </row>
    <row r="281">
      <c r="A281" s="11" t="str">
        <f>IFERROR(__xludf.DUMMYFUNCTION("""COMPUTED_VALUE"""),"Livid Unisex")</f>
        <v>Livid Unisex</v>
      </c>
      <c r="B281" s="11" t="str">
        <f>IFERROR(__xludf.DUMMYFUNCTION("""COMPUTED_VALUE"""),"Jeans")</f>
        <v>Jeans</v>
      </c>
      <c r="C281" s="11" t="str">
        <f>IFERROR(__xludf.DUMMYFUNCTION("""COMPUTED_VALUE"""),"beth-japan-gravel")</f>
        <v>beth-japan-gravel</v>
      </c>
      <c r="D281" s="11" t="str">
        <f>IFERROR(__xludf.DUMMYFUNCTION("""COMPUTED_VALUE"""),"Beth Japan Gravel")</f>
        <v>Beth Japan Gravel</v>
      </c>
      <c r="E281" s="11" t="str">
        <f>IFERROR(__xludf.DUMMYFUNCTION("""COMPUTED_VALUE"""),"Made in Portugal
Beth. Low at the waist, with an open waistband letting Beth hang effortlessly on the hip. The leg continues straight with a wide silhouette all the way to the leg opening.
In a structured grey wash. Made from a 13.8 Oz 100% cotton, dark"&amp;" grey wideloom denim woven by the artisanal Japanese denim mill, Collect. Washed down to a rough grey, showing off the wonderful texture of the denim.")</f>
        <v>Made in Portugal
Beth. Low at the waist, with an open waistband letting Beth hang effortlessly on the hip. The leg continues straight with a wide silhouette all the way to the leg opening.
In a structured grey wash. Made from a 13.8 Oz 100% cotton, dark grey wideloom denim woven by the artisanal Japanese denim mill, Collect. Washed down to a rough grey, showing off the wonderful texture of the denim.</v>
      </c>
      <c r="F281" s="11" t="str">
        <f>IFERROR(__xludf.DUMMYFUNCTION("""COMPUTED_VALUE"""),"Our low waist wide fit Beth, in a textured grey wash.")</f>
        <v>Our low waist wide fit Beth, in a textured grey wash.</v>
      </c>
      <c r="G281" s="11" t="str">
        <f>IFERROR(__xludf.DUMMYFUNCTION("""COMPUTED_VALUE"""),"- 13.8 Oz wideloom denim from Collect, Japan
- 100% Sanforized cotton
- Dark grey warp &amp; natural weft
- 8 Oz 5 Oz ecru canvas pocketing
- Vegetable tanned leather patch w/ wax treatment, made in Italy.
- YKK two-prong, silver button fly
- YKK solid copper"&amp;" washed-burr rivets
- Stitched with durable poly-core cotton thread
- Made at Lisama, Portugal")</f>
        <v>- 13.8 Oz wideloom denim from Collect, Japan
- 100% Sanforized cotton
- Dark grey warp &amp; natural weft
- 8 Oz 5 Oz ecru canvas pocketing
- Vegetable tanned leather patch w/ wax treatment, made in Italy.
- YKK two-prong, silver button fly
- YKK solid copper washed-burr rivets
- Stitched with durable poly-core cotton thread
- Made at Lisama, Portugal</v>
      </c>
      <c r="H281" s="11" t="str">
        <f>IFERROR(__xludf.DUMMYFUNCTION("""COMPUTED_VALUE"""),"beth-japan-dive, beth-japan-black-dusk")</f>
        <v>beth-japan-dive, beth-japan-black-dusk</v>
      </c>
      <c r="I281" s="11"/>
    </row>
    <row r="282">
      <c r="A282" s="11" t="str">
        <f>IFERROR(__xludf.DUMMYFUNCTION("""COMPUTED_VALUE"""),"Livid Unisex")</f>
        <v>Livid Unisex</v>
      </c>
      <c r="B282" s="11" t="str">
        <f>IFERROR(__xludf.DUMMYFUNCTION("""COMPUTED_VALUE"""),"Jeans")</f>
        <v>Jeans</v>
      </c>
      <c r="C282" s="11" t="str">
        <f>IFERROR(__xludf.DUMMYFUNCTION("""COMPUTED_VALUE"""),"beth-low-japan-dive")</f>
        <v>beth-low-japan-dive</v>
      </c>
      <c r="D282" s="11" t="str">
        <f>IFERROR(__xludf.DUMMYFUNCTION("""COMPUTED_VALUE"""),"Beth Low Japan Dive")</f>
        <v>Beth Low Japan Dive</v>
      </c>
      <c r="E282" s="11" t="str">
        <f>IFERROR(__xludf.DUMMYFUNCTION("""COMPUTED_VALUE"""),"Made in Portugal
Introducing Beth. Low at the waist, with an open waistband letting Beth hang effortlessly on the hip. The leg continues straight with a wide silhouette all the way to the leg opening.
In our deep indigo Japan Dive wash. Made in a solid "&amp;"13 Oz 100% cotton denim from the renowned Japanese denim mill Kuroki. Soft to the touch, the Japan Dive reveals an incredible depth of colour and wonderful texture, due to the long-fibred indigo rope-dyed yarns of the fabric, with subtle whiskering and fa"&amp;"ding.")</f>
        <v>Made in Portugal
Introducing Beth. Low at the waist, with an open waistband letting Beth hang effortlessly on the hip. The leg continues straight with a wide silhouette all the way to the leg opening.
In our deep indigo Japan Dive wash. Made in a solid 13 Oz 100% cotton denim from the renowned Japanese denim mill Kuroki. Soft to the touch, the Japan Dive reveals an incredible depth of colour and wonderful texture, due to the long-fibred indigo rope-dyed yarns of the fabric, with subtle whiskering and fading.</v>
      </c>
      <c r="F282" s="11" t="str">
        <f>IFERROR(__xludf.DUMMYFUNCTION("""COMPUTED_VALUE"""),"Our low waist wide fit, Beth.")</f>
        <v>Our low waist wide fit, Beth.</v>
      </c>
      <c r="G282" s="11" t="str">
        <f>IFERROR(__xludf.DUMMYFUNCTION("""COMPUTED_VALUE"""),"- Washed rope-dyed indigo denim
- 13 Oz wideloom denim from Kuroki, Japan
- 100% Sanforized cotton
- Warp dyed in indigo, natural coloured weft
- 8 Oz ecru canvas pocketing
- Tanned leather patch w/ wax treatment, made in Italy.
- YKK two-prong, silver bu"&amp;"tton fly
- YKK solid copper rivets
- Stitched with durable poly core cotton thread
- Made at Lisama, Portugal")</f>
        <v>- Washed rope-dyed indigo denim
- 13 Oz wideloom denim from Kuroki, Japan
- 100% Sanforized cotton
- Warp dyed in indigo, natural coloured weft
- 8 Oz ecru canvas pocketing
- Tanned leather patch w/ wax treatment, made in Italy.
- YKK two-prong, silver button fly
- YKK solid copper rivets
- Stitched with durable poly core cotton thread
- Made at Lisama, Portugal</v>
      </c>
      <c r="H282" s="11" t="str">
        <f>IFERROR(__xludf.DUMMYFUNCTION("""COMPUTED_VALUE"""),"beth-japan-black-dusk, beth-japan-gravel")</f>
        <v>beth-japan-black-dusk, beth-japan-gravel</v>
      </c>
      <c r="I282" s="11"/>
    </row>
    <row r="283">
      <c r="A283" s="11" t="str">
        <f>IFERROR(__xludf.DUMMYFUNCTION("""COMPUTED_VALUE"""),"Livid Unisex")</f>
        <v>Livid Unisex</v>
      </c>
      <c r="B283" s="11" t="str">
        <f>IFERROR(__xludf.DUMMYFUNCTION("""COMPUTED_VALUE"""),"Coat")</f>
        <v>Coat</v>
      </c>
      <c r="C283" s="11" t="str">
        <f>IFERROR(__xludf.DUMMYFUNCTION("""COMPUTED_VALUE"""),"blake-black-1")</f>
        <v>blake-black-1</v>
      </c>
      <c r="D283" s="11" t="str">
        <f>IFERROR(__xludf.DUMMYFUNCTION("""COMPUTED_VALUE"""),"Blake Black")</f>
        <v>Blake Black</v>
      </c>
      <c r="E283" s="11" t="str">
        <f>IFERROR(__xludf.DUMMYFUNCTION("""COMPUTED_VALUE"""),"Made in Portugal
Full length, featuring a wide collar, and hidden mother of pearl buttons down the front. A wide silhouette that has room for heavy layering, or a full suit, while still feeling relaxed and unconstricting. Inner pocket at the chest, and h"&amp;"and warmer pockets at the hips.
Made in an incredibly soft, brushed 100% recycled superfine wool fabric made by Manteco in Tuscany, Italy, resulting in a hefty, warm but still lightweight coat. Recycled superfine wool fibres are carded and spun with trad"&amp;"itional methods, and the fabric is woven with a special construction that allows for the strong brushing process creating the long hair finish. 
Designed to fit unisex, the sizes ""XS/S"" and ""M/L"" are tuned to traditional women's sleeve lengths, and s"&amp;"lightly slimmer at the shoulders. The regular sizes S – XL are traditional men's proportions.")</f>
        <v>Made in Portugal
Full length, featuring a wide collar, and hidden mother of pearl buttons down the front. A wide silhouette that has room for heavy layering, or a full suit, while still feeling relaxed and unconstricting. Inner pocket at the chest, and hand warmer pockets at the hips.
Made in an incredibly soft, brushed 100% recycled superfine wool fabric made by Manteco in Tuscany, Italy, resulting in a hefty, warm but still lightweight coat. Recycled superfine wool fibres are carded and spun with traditional methods, and the fabric is woven with a special construction that allows for the strong brushing process creating the long hair finish. 
Designed to fit unisex, the sizes "XS/S" and "M/L" are tuned to traditional women's sleeve lengths, and slightly slimmer at the shoulders. The regular sizes S – XL are traditional men's proportions.</v>
      </c>
      <c r="F283" s="11" t="str">
        <f>IFERROR(__xludf.DUMMYFUNCTION("""COMPUTED_VALUE"""),"Our big coat, Blake.")</f>
        <v>Our big coat, Blake.</v>
      </c>
      <c r="G283" s="11" t="str">
        <f>IFERROR(__xludf.DUMMYFUNCTION("""COMPUTED_VALUE"""),"- 680 gsm brushed recycled wool fabric spun and woven by Manteco in Italy
- 100% recycled superfine wool, 17-19 μm
- Yarns made through the traditional carded spinning process
- Made without dyeing
- Mother of pearl buttons made by Louropel in Italy
- Sti"&amp;"tched with durable poly-core cotton thread
- Cut &amp; sewn by DIA in Portugal")</f>
        <v>- 680 gsm brushed recycled wool fabric spun and woven by Manteco in Italy
- 100% recycled superfine wool, 17-19 μm
- Yarns made through the traditional carded spinning process
- Made without dyeing
- Mother of pearl buttons made by Louropel in Italy
- Stitched with durable poly-core cotton thread
- Cut &amp; sewn by DIA in Portugal</v>
      </c>
      <c r="H283" s="11" t="str">
        <f>IFERROR(__xludf.DUMMYFUNCTION("""COMPUTED_VALUE"""),"blake-taupe")</f>
        <v>blake-taupe</v>
      </c>
      <c r="I283" s="11"/>
    </row>
    <row r="284">
      <c r="A284" s="11" t="str">
        <f>IFERROR(__xludf.DUMMYFUNCTION("""COMPUTED_VALUE"""),"Livid Unisex")</f>
        <v>Livid Unisex</v>
      </c>
      <c r="B284" s="11" t="str">
        <f>IFERROR(__xludf.DUMMYFUNCTION("""COMPUTED_VALUE"""),"Coat")</f>
        <v>Coat</v>
      </c>
      <c r="C284" s="11" t="str">
        <f>IFERROR(__xludf.DUMMYFUNCTION("""COMPUTED_VALUE"""),"blake-taupe")</f>
        <v>blake-taupe</v>
      </c>
      <c r="D284" s="11" t="str">
        <f>IFERROR(__xludf.DUMMYFUNCTION("""COMPUTED_VALUE"""),"Blake Taupe")</f>
        <v>Blake Taupe</v>
      </c>
      <c r="E284" s="11" t="str">
        <f>IFERROR(__xludf.DUMMYFUNCTION("""COMPUTED_VALUE"""),"Made in Portugal
Full length, featuring a wide collar, and hidden mother of pearl buttons down the front. A wide silhouette that has room for heavy layering, or a full suit, while still feeling relaxed and unconstricting. Inner pocket at the chest, and h"&amp;"and warmer pockets at the hips.
Made in an incredibly soft, brushed 100% recycled superfine wool fabric made by Manteco in Tuscany, Italy, resulting in a hefty, warm but still lightweight coat. Recycled superfine wool fibres are carded and spun with trad"&amp;"itional methods, and the fabric is woven with a special construction that allows for the strong brushing process creating the long hair finish. 
Designed to fit unisex, the sizes ""XS/S"" and ""M/L"" are tuned to traditional women's sleeve lengths, and s"&amp;"lightly slimmer at the shoulders. The regular sizes S – XL are traditional men's proportions.")</f>
        <v>Made in Portugal
Full length, featuring a wide collar, and hidden mother of pearl buttons down the front. A wide silhouette that has room for heavy layering, or a full suit, while still feeling relaxed and unconstricting. Inner pocket at the chest, and hand warmer pockets at the hips.
Made in an incredibly soft, brushed 100% recycled superfine wool fabric made by Manteco in Tuscany, Italy, resulting in a hefty, warm but still lightweight coat. Recycled superfine wool fibres are carded and spun with traditional methods, and the fabric is woven with a special construction that allows for the strong brushing process creating the long hair finish. 
Designed to fit unisex, the sizes "XS/S" and "M/L" are tuned to traditional women's sleeve lengths, and slightly slimmer at the shoulders. The regular sizes S – XL are traditional men's proportions.</v>
      </c>
      <c r="F284" s="11" t="str">
        <f>IFERROR(__xludf.DUMMYFUNCTION("""COMPUTED_VALUE"""),"Our big coat, Blake.")</f>
        <v>Our big coat, Blake.</v>
      </c>
      <c r="G284" s="11" t="str">
        <f>IFERROR(__xludf.DUMMYFUNCTION("""COMPUTED_VALUE"""),"- 680 gsm brushed recycled wool fabric spun and woven by Manteco in Italy
- 100% recycled superfine wool, 17-19 μm
- Yarns made through the traditional carded spinning process
- Made without dyeing
- Mother of pearl buttons made by Louropel in Italy
- Sti"&amp;"tched with durable poly-core cotton thread
- Cut &amp; sewn by DIA in Portugal")</f>
        <v>- 680 gsm brushed recycled wool fabric spun and woven by Manteco in Italy
- 100% recycled superfine wool, 17-19 μm
- Yarns made through the traditional carded spinning process
- Made without dyeing
- Mother of pearl buttons made by Louropel in Italy
- Stitched with durable poly-core cotton thread
- Cut &amp; sewn by DIA in Portugal</v>
      </c>
      <c r="H284" s="11" t="str">
        <f>IFERROR(__xludf.DUMMYFUNCTION("""COMPUTED_VALUE"""),"blake-black-1")</f>
        <v>blake-black-1</v>
      </c>
      <c r="I284" s="11"/>
    </row>
    <row r="285">
      <c r="A285" s="11" t="str">
        <f>IFERROR(__xludf.DUMMYFUNCTION("""COMPUTED_VALUE"""),"Livid Unisex")</f>
        <v>Livid Unisex</v>
      </c>
      <c r="B285" s="11" t="str">
        <f>IFERROR(__xludf.DUMMYFUNCTION("""COMPUTED_VALUE"""),"Knitwear")</f>
        <v>Knitwear</v>
      </c>
      <c r="C285" s="11" t="str">
        <f>IFERROR(__xludf.DUMMYFUNCTION("""COMPUTED_VALUE"""),"carmy-mysterioso-fluff")</f>
        <v>carmy-mysterioso-fluff</v>
      </c>
      <c r="D285" s="11" t="str">
        <f>IFERROR(__xludf.DUMMYFUNCTION("""COMPUTED_VALUE"""),"Carmy Mysterioso Fluff")</f>
        <v>Carmy Mysterioso Fluff</v>
      </c>
      <c r="E285" s="11" t="str">
        <f>IFERROR(__xludf.DUMMYFUNCTION("""COMPUTED_VALUE"""),"Made in China 
V-neck cardigan constructed with wide sleeves, dropped shoulders and boxy fit. Finished with mother of pear buttons.
Knitted in a super soft brushed alpaca yarn. The alpaca fibers in this yarn are spun around a nylon core for durability, "&amp;"with a touch of spandex to keep its shape over time.")</f>
        <v>Made in China 
V-neck cardigan constructed with wide sleeves, dropped shoulders and boxy fit. Finished with mother of pear buttons.
Knitted in a super soft brushed alpaca yarn. The alpaca fibers in this yarn are spun around a nylon core for durability, with a touch of spandex to keep its shape over time.</v>
      </c>
      <c r="F285" s="11" t="str">
        <f>IFERROR(__xludf.DUMMYFUNCTION("""COMPUTED_VALUE"""),"Carmy, our brushed alpaca cardigan.")</f>
        <v>Carmy, our brushed alpaca cardigan.</v>
      </c>
      <c r="G285" s="11" t="str">
        <f>IFERROR(__xludf.DUMMYFUNCTION("""COMPUTED_VALUE"""),"- 79% Alpaca, 19% Nylon, 2% Spandex
- Alpaca yarn spun by QCYarn, China
- Brushed 7 guage knit
- Soft, elastic and super resistant.
- Mother of pearl buttons
- Knitted by Springair in China")</f>
        <v>- 79% Alpaca, 19% Nylon, 2% Spandex
- Alpaca yarn spun by QCYarn, China
- Brushed 7 guage knit
- Soft, elastic and super resistant.
- Mother of pearl buttons
- Knitted by Springair in China</v>
      </c>
      <c r="H285" s="11" t="str">
        <f>IFERROR(__xludf.DUMMYFUNCTION("""COMPUTED_VALUE"""),"fealy-low-bisect-japan-broken")</f>
        <v>fealy-low-bisect-japan-broken</v>
      </c>
      <c r="I285" s="11"/>
    </row>
    <row r="286">
      <c r="A286" s="11" t="str">
        <f>IFERROR(__xludf.DUMMYFUNCTION("""COMPUTED_VALUE"""),"Livid Unisex")</f>
        <v>Livid Unisex</v>
      </c>
      <c r="B286" s="11" t="str">
        <f>IFERROR(__xludf.DUMMYFUNCTION("""COMPUTED_VALUE"""),"Cap")</f>
        <v>Cap</v>
      </c>
      <c r="C286" s="11" t="str">
        <f>IFERROR(__xludf.DUMMYFUNCTION("""COMPUTED_VALUE"""),"dunn-black-2")</f>
        <v>dunn-black-2</v>
      </c>
      <c r="D286" s="11" t="str">
        <f>IFERROR(__xludf.DUMMYFUNCTION("""COMPUTED_VALUE"""),"Dunn Black")</f>
        <v>Dunn Black</v>
      </c>
      <c r="E286" s="11" t="str">
        <f>IFERROR(__xludf.DUMMYFUNCTION("""COMPUTED_VALUE"""),"Made in China
Dunn features 6 panels with stitched eyelets on each panel, a broad brim with structural stitching, and a regular fit. Finished with an embroided Repair Service logo at the front. 
Details
- 100% cotton
- Sewn with durable poly-core cotton"&amp;" thread.
- Made by Labels &amp; Things in China")</f>
        <v>Made in China
Dunn features 6 panels with stitched eyelets on each panel, a broad brim with structural stitching, and a regular fit. Finished with an embroided Repair Service logo at the front. 
Details
- 100% cotton
- Sewn with durable poly-core cotton thread.
- Made by Labels &amp; Things in China</v>
      </c>
      <c r="F286" s="11" t="str">
        <f>IFERROR(__xludf.DUMMYFUNCTION("""COMPUTED_VALUE"""),"Our ""Repair Service"" Dunn cap in a washed cotton twill. Showing subtle distressing at the brim, and a beautiful texture.")</f>
        <v>Our "Repair Service" Dunn cap in a washed cotton twill. Showing subtle distressing at the brim, and a beautiful texture.</v>
      </c>
      <c r="G286" s="11"/>
      <c r="H286" s="11" t="str">
        <f>IFERROR(__xludf.DUMMYFUNCTION("""COMPUTED_VALUE"""),"dunn-grisalle, dunn-moon, dunn-shadow, dunn-japan-optic")</f>
        <v>dunn-grisalle, dunn-moon, dunn-shadow, dunn-japan-optic</v>
      </c>
      <c r="I286" s="11"/>
    </row>
    <row r="287">
      <c r="A287" s="11" t="str">
        <f>IFERROR(__xludf.DUMMYFUNCTION("""COMPUTED_VALUE"""),"Livid Unisex")</f>
        <v>Livid Unisex</v>
      </c>
      <c r="B287" s="11" t="str">
        <f>IFERROR(__xludf.DUMMYFUNCTION("""COMPUTED_VALUE"""),"Cap")</f>
        <v>Cap</v>
      </c>
      <c r="C287" s="11" t="str">
        <f>IFERROR(__xludf.DUMMYFUNCTION("""COMPUTED_VALUE"""),"dunn-grisalle")</f>
        <v>dunn-grisalle</v>
      </c>
      <c r="D287" s="11" t="str">
        <f>IFERROR(__xludf.DUMMYFUNCTION("""COMPUTED_VALUE"""),"Dunn Grisalle")</f>
        <v>Dunn Grisalle</v>
      </c>
      <c r="E287" s="11" t="str">
        <f>IFERROR(__xludf.DUMMYFUNCTION("""COMPUTED_VALUE"""),"Made in China
Dunn features 6 panels with stitched eyelets on each panel, a broad brim with structural stitching, and a regular fit. Finished with an embroided Repair Service logo at the front. 
Details
- 100% cotton
- Sewn with durable poly-core cotton"&amp;" thread.
- Made by Labels &amp; Things in China")</f>
        <v>Made in China
Dunn features 6 panels with stitched eyelets on each panel, a broad brim with structural stitching, and a regular fit. Finished with an embroided Repair Service logo at the front. 
Details
- 100% cotton
- Sewn with durable poly-core cotton thread.
- Made by Labels &amp; Things in China</v>
      </c>
      <c r="F287" s="11" t="str">
        <f>IFERROR(__xludf.DUMMYFUNCTION("""COMPUTED_VALUE"""),"Our ""Repair Service"" Dunn cap in a washed cotton twill. Showing subtle distressing at the brim, and a beautiful texture.")</f>
        <v>Our "Repair Service" Dunn cap in a washed cotton twill. Showing subtle distressing at the brim, and a beautiful texture.</v>
      </c>
      <c r="G287" s="11"/>
      <c r="H287" s="11" t="str">
        <f>IFERROR(__xludf.DUMMYFUNCTION("""COMPUTED_VALUE"""),"dunn-black-2, dunn-moon, dunn-shadow, dunn-japan-optic")</f>
        <v>dunn-black-2, dunn-moon, dunn-shadow, dunn-japan-optic</v>
      </c>
      <c r="I287" s="11"/>
    </row>
    <row r="288">
      <c r="A288" s="11" t="str">
        <f>IFERROR(__xludf.DUMMYFUNCTION("""COMPUTED_VALUE"""),"Livid Unisex")</f>
        <v>Livid Unisex</v>
      </c>
      <c r="B288" s="11" t="str">
        <f>IFERROR(__xludf.DUMMYFUNCTION("""COMPUTED_VALUE"""),"Cap")</f>
        <v>Cap</v>
      </c>
      <c r="C288" s="11" t="str">
        <f>IFERROR(__xludf.DUMMYFUNCTION("""COMPUTED_VALUE"""),"dunn-japan-optic")</f>
        <v>dunn-japan-optic</v>
      </c>
      <c r="D288" s="11" t="str">
        <f>IFERROR(__xludf.DUMMYFUNCTION("""COMPUTED_VALUE"""),"Dunn Japan Optic")</f>
        <v>Dunn Japan Optic</v>
      </c>
      <c r="E288" s="11" t="str">
        <f>IFERROR(__xludf.DUMMYFUNCTION("""COMPUTED_VALUE"""),"Made in Portugal 
Our Dunn cap, done in denim. Made in an optical white 13 Oz. denim woven by the artisinal denim mill Collect in Japan, washed to create subtle distressing at the brim.
Featuring 6 panels with stitched eyelets on each panel, a broad bri"&amp;"m with structural stitching, and an embroided Livid logo at the front.
Details
- 100% cotton
- 13 Oz. denim woven by Collect in Japan
- Sewn with durable poly-core cotton thread.
- Made by Belcinto in Portugal")</f>
        <v>Made in Portugal 
Our Dunn cap, done in denim. Made in an optical white 13 Oz. denim woven by the artisinal denim mill Collect in Japan, washed to create subtle distressing at the brim.
Featuring 6 panels with stitched eyelets on each panel, a broad brim with structural stitching, and an embroided Livid logo at the front.
Details
- 100% cotton
- 13 Oz. denim woven by Collect in Japan
- Sewn with durable poly-core cotton thread.
- Made by Belcinto in Portugal</v>
      </c>
      <c r="F288" s="11" t="str">
        <f>IFERROR(__xludf.DUMMYFUNCTION("""COMPUTED_VALUE"""),"Our Dunn cap, done in denim.")</f>
        <v>Our Dunn cap, done in denim.</v>
      </c>
      <c r="G288" s="11"/>
      <c r="H288" s="11" t="str">
        <f>IFERROR(__xludf.DUMMYFUNCTION("""COMPUTED_VALUE"""),"dunn-shadow, dunn-black-2, dunn-grisalle, dunn-moon")</f>
        <v>dunn-shadow, dunn-black-2, dunn-grisalle, dunn-moon</v>
      </c>
      <c r="I288" s="11"/>
    </row>
    <row r="289">
      <c r="A289" s="11" t="str">
        <f>IFERROR(__xludf.DUMMYFUNCTION("""COMPUTED_VALUE"""),"Livid Unisex")</f>
        <v>Livid Unisex</v>
      </c>
      <c r="B289" s="11" t="str">
        <f>IFERROR(__xludf.DUMMYFUNCTION("""COMPUTED_VALUE"""),"Cap")</f>
        <v>Cap</v>
      </c>
      <c r="C289" s="11" t="str">
        <f>IFERROR(__xludf.DUMMYFUNCTION("""COMPUTED_VALUE"""),"dunn-moon")</f>
        <v>dunn-moon</v>
      </c>
      <c r="D289" s="11" t="str">
        <f>IFERROR(__xludf.DUMMYFUNCTION("""COMPUTED_VALUE"""),"Dunn Moon")</f>
        <v>Dunn Moon</v>
      </c>
      <c r="E289" s="11" t="str">
        <f>IFERROR(__xludf.DUMMYFUNCTION("""COMPUTED_VALUE"""),"Made in China
Dunn features 6 panels with stitched eyelets on each panel, a broad brim with structural stitching, and a regular fit. Finished with an embroided Repair Service logo at the front. 
Details
- 100% cotton
- Sewn with durable poly-core cotton"&amp;" thread.
- Made by Labels &amp; Things in China")</f>
        <v>Made in China
Dunn features 6 panels with stitched eyelets on each panel, a broad brim with structural stitching, and a regular fit. Finished with an embroided Repair Service logo at the front. 
Details
- 100% cotton
- Sewn with durable poly-core cotton thread.
- Made by Labels &amp; Things in China</v>
      </c>
      <c r="F289" s="11" t="str">
        <f>IFERROR(__xludf.DUMMYFUNCTION("""COMPUTED_VALUE"""),"Our ""Repair Service"" Dunn cap in a washed cotton twill. Showing subtle distressing at the brim, and a beautiful texture.")</f>
        <v>Our "Repair Service" Dunn cap in a washed cotton twill. Showing subtle distressing at the brim, and a beautiful texture.</v>
      </c>
      <c r="G289" s="11"/>
      <c r="H289" s="11" t="str">
        <f>IFERROR(__xludf.DUMMYFUNCTION("""COMPUTED_VALUE"""),"dunn-black-2, dunn-grisalle, dunn-shadow, dunn-japan-optic")</f>
        <v>dunn-black-2, dunn-grisalle, dunn-shadow, dunn-japan-optic</v>
      </c>
      <c r="I289" s="11"/>
    </row>
    <row r="290">
      <c r="A290" s="11" t="str">
        <f>IFERROR(__xludf.DUMMYFUNCTION("""COMPUTED_VALUE"""),"Livid Unisex")</f>
        <v>Livid Unisex</v>
      </c>
      <c r="B290" s="11" t="str">
        <f>IFERROR(__xludf.DUMMYFUNCTION("""COMPUTED_VALUE"""),"Cap")</f>
        <v>Cap</v>
      </c>
      <c r="C290" s="11" t="str">
        <f>IFERROR(__xludf.DUMMYFUNCTION("""COMPUTED_VALUE"""),"dunn-navy-2")</f>
        <v>dunn-navy-2</v>
      </c>
      <c r="D290" s="11" t="str">
        <f>IFERROR(__xludf.DUMMYFUNCTION("""COMPUTED_VALUE"""),"Dunn Navy")</f>
        <v>Dunn Navy</v>
      </c>
      <c r="E290" s="11" t="str">
        <f>IFERROR(__xludf.DUMMYFUNCTION("""COMPUTED_VALUE"""),"Made in China
Dunn features 6 panels with stitched eyelets on each panel, a broad brim with structural stitching, and a regular fit. Finished with an embroidered Livid logo at the front.")</f>
        <v>Made in China
Dunn features 6 panels with stitched eyelets on each panel, a broad brim with structural stitching, and a regular fit. Finished with an embroidered Livid logo at the front.</v>
      </c>
      <c r="F290" s="11" t="str">
        <f>IFERROR(__xludf.DUMMYFUNCTION("""COMPUTED_VALUE"""),"Our Dunn cap in a cotton twill.")</f>
        <v>Our Dunn cap in a cotton twill.</v>
      </c>
      <c r="G290" s="11" t="str">
        <f>IFERROR(__xludf.DUMMYFUNCTION("""COMPUTED_VALUE"""),"- 100% cotton twill
- Sewn with durable poly-core cotton thread.
- Made by Labels Things, in China")</f>
        <v>- 100% cotton twill
- Sewn with durable poly-core cotton thread.
- Made by Labels Things, in China</v>
      </c>
      <c r="H290" s="11" t="str">
        <f>IFERROR(__xludf.DUMMYFUNCTION("""COMPUTED_VALUE"""),"dunn-green, dunn-moon, dunn-grisalle, dunn-black-2, dunn-japan-optic")</f>
        <v>dunn-green, dunn-moon, dunn-grisalle, dunn-black-2, dunn-japan-optic</v>
      </c>
      <c r="I290" s="11" t="str">
        <f>IFERROR(__xludf.DUMMYFUNCTION("""COMPUTED_VALUE"""),"nelson-charcoal-melange")</f>
        <v>nelson-charcoal-melange</v>
      </c>
    </row>
    <row r="291">
      <c r="A291" s="11" t="str">
        <f>IFERROR(__xludf.DUMMYFUNCTION("""COMPUTED_VALUE"""),"Livid Unisex")</f>
        <v>Livid Unisex</v>
      </c>
      <c r="B291" s="11" t="str">
        <f>IFERROR(__xludf.DUMMYFUNCTION("""COMPUTED_VALUE"""),"Cap")</f>
        <v>Cap</v>
      </c>
      <c r="C291" s="11" t="str">
        <f>IFERROR(__xludf.DUMMYFUNCTION("""COMPUTED_VALUE"""),"dunn-shadow")</f>
        <v>dunn-shadow</v>
      </c>
      <c r="D291" s="11" t="str">
        <f>IFERROR(__xludf.DUMMYFUNCTION("""COMPUTED_VALUE"""),"Dunn Shadow")</f>
        <v>Dunn Shadow</v>
      </c>
      <c r="E291" s="11" t="str">
        <f>IFERROR(__xludf.DUMMYFUNCTION("""COMPUTED_VALUE"""),"Made in Portugal 
Our Dunn cap, done in denim. Washed to our faded black Shadow wash, this 13 Oz. denim woven by Candiani in Italy shows subtle distressing at the brim, and a beautiful texture.
Featuring 6 panels with stitched eyelets on each panel, a b"&amp;"road brim with structural stitching, and an embroided Livid logo at the front.
Details
- 100% cotton
- 13 Oz. denim Woven by Candiani in Italy
- Sewn with durable poly-core cotton thread.
- Made by Belcinto in Portugal")</f>
        <v>Made in Portugal 
Our Dunn cap, done in denim. Washed to our faded black Shadow wash, this 13 Oz. denim woven by Candiani in Italy shows subtle distressing at the brim, and a beautiful texture.
Featuring 6 panels with stitched eyelets on each panel, a broad brim with structural stitching, and an embroided Livid logo at the front.
Details
- 100% cotton
- 13 Oz. denim Woven by Candiani in Italy
- Sewn with durable poly-core cotton thread.
- Made by Belcinto in Portugal</v>
      </c>
      <c r="F291" s="11" t="str">
        <f>IFERROR(__xludf.DUMMYFUNCTION("""COMPUTED_VALUE"""),"Washed to faded black Shadow, this denim by Candiani in Italy shows subtle distressing and beautiful texture.")</f>
        <v>Washed to faded black Shadow, this denim by Candiani in Italy shows subtle distressing and beautiful texture.</v>
      </c>
      <c r="G291" s="11"/>
      <c r="H291" s="11" t="str">
        <f>IFERROR(__xludf.DUMMYFUNCTION("""COMPUTED_VALUE"""),"dunn-japan-optic, dunn-black-2, dunn-dawn, dunn-moon")</f>
        <v>dunn-japan-optic, dunn-black-2, dunn-dawn, dunn-moon</v>
      </c>
      <c r="I291" s="11"/>
    </row>
    <row r="292">
      <c r="A292" s="11" t="str">
        <f>IFERROR(__xludf.DUMMYFUNCTION("""COMPUTED_VALUE"""),"Livid Unisex")</f>
        <v>Livid Unisex</v>
      </c>
      <c r="B292" s="11" t="str">
        <f>IFERROR(__xludf.DUMMYFUNCTION("""COMPUTED_VALUE"""),"Vest")</f>
        <v>Vest</v>
      </c>
      <c r="C292" s="11" t="str">
        <f>IFERROR(__xludf.DUMMYFUNCTION("""COMPUTED_VALUE"""),"feedly-black-casentino")</f>
        <v>feedly-black-casentino</v>
      </c>
      <c r="D292" s="11" t="str">
        <f>IFERROR(__xludf.DUMMYFUNCTION("""COMPUTED_VALUE"""),"Feedly Black Casentino")</f>
        <v>Feedly Black Casentino</v>
      </c>
      <c r="E292" s="11" t="str">
        <f>IFERROR(__xludf.DUMMYFUNCTION("""COMPUTED_VALUE"""),"Made in China
Made in pure Casentino wool, a luxurious Italian wool quality from the Casentino valley in Tuscany. With a history dating back to the middle ages, Casentino wool is world renowned for its high quality, durability and its neppy surface pile."&amp;"
With its sportswear-inspired design, the Feedly vest becomes an elevated fleece vest with a wonderful feel, and functional properties: It breathes well, keeps you warm, and is easy to care for. Soft, but at the same time durable and very weather resiste"&amp;"nt. Featuring two large pockets, and designed for layering. Wear it over a T-shirt in mild weather, over sweaters when it becomes colder, and during winter it's a perfect mid-layer beneath a coat.")</f>
        <v>Made in China
Made in pure Casentino wool, a luxurious Italian wool quality from the Casentino valley in Tuscany. With a history dating back to the middle ages, Casentino wool is world renowned for its high quality, durability and its neppy surface pile.
With its sportswear-inspired design, the Feedly vest becomes an elevated fleece vest with a wonderful feel, and functional properties: It breathes well, keeps you warm, and is easy to care for. Soft, but at the same time durable and very weather resistent. Featuring two large pockets, and designed for layering. Wear it over a T-shirt in mild weather, over sweaters when it becomes colder, and during winter it's a perfect mid-layer beneath a coat.</v>
      </c>
      <c r="F292" s="11" t="str">
        <f>IFERROR(__xludf.DUMMYFUNCTION("""COMPUTED_VALUE"""),"Feedly, our 100% Casentino wool fleece vest.")</f>
        <v>Feedly, our 100% Casentino wool fleece vest.</v>
      </c>
      <c r="G292" s="11" t="str">
        <f>IFERROR(__xludf.DUMMYFUNCTION("""COMPUTED_VALUE"""),"- 100% Casentino wool
- Woven by T.A.C.S. in Italy
- Two-way zipper from YKK
- Piped seams
- Stitched with durable poly-core cotton thread
- Made by Yinmao in China")</f>
        <v>- 100% Casentino wool
- Woven by T.A.C.S. in Italy
- Two-way zipper from YKK
- Piped seams
- Stitched with durable poly-core cotton thread
- Made by Yinmao in China</v>
      </c>
      <c r="H292" s="11" t="str">
        <f>IFERROR(__xludf.DUMMYFUNCTION("""COMPUTED_VALUE"""),"barkle-black-casentino")</f>
        <v>barkle-black-casentino</v>
      </c>
      <c r="I292" s="11" t="str">
        <f>IFERROR(__xludf.DUMMYFUNCTION("""COMPUTED_VALUE"""),"beth-japan-gravel, tim-black-bonded, adonis-lis-noir")</f>
        <v>beth-japan-gravel, tim-black-bonded, adonis-lis-noir</v>
      </c>
    </row>
    <row r="293">
      <c r="A293" s="11" t="str">
        <f>IFERROR(__xludf.DUMMYFUNCTION("""COMPUTED_VALUE"""),"Livid Unisex")</f>
        <v>Livid Unisex</v>
      </c>
      <c r="B293" s="11" t="str">
        <f>IFERROR(__xludf.DUMMYFUNCTION("""COMPUTED_VALUE"""),"Scarf")</f>
        <v>Scarf</v>
      </c>
      <c r="C293" s="11" t="str">
        <f>IFERROR(__xludf.DUMMYFUNCTION("""COMPUTED_VALUE"""),"hilda-black")</f>
        <v>hilda-black</v>
      </c>
      <c r="D293" s="11" t="str">
        <f>IFERROR(__xludf.DUMMYFUNCTION("""COMPUTED_VALUE"""),"Hilda Black")</f>
        <v>Hilda Black</v>
      </c>
      <c r="E293" s="11" t="str">
        <f>IFERROR(__xludf.DUMMYFUNCTION("""COMPUTED_VALUE"""),"Made in China
Versatile and warming snood in a brushed alpaca yarn. ")</f>
        <v>Made in China
Versatile and warming snood in a brushed alpaca yarn. </v>
      </c>
      <c r="F293" s="11" t="str">
        <f>IFERROR(__xludf.DUMMYFUNCTION("""COMPUTED_VALUE"""),"Lerke, our brushed alpaca snood.")</f>
        <v>Lerke, our brushed alpaca snood.</v>
      </c>
      <c r="G293" s="11" t="str">
        <f>IFERROR(__xludf.DUMMYFUNCTION("""COMPUTED_VALUE"""),"- 79% Alpaca, 19% Nylon, 2% Spandex
- Alpaca yarn spun by QCYarn, China
- Brushed 7 guage knit
- Soft, elastic and super resistant.
- Knitted by Springair in China")</f>
        <v>- 79% Alpaca, 19% Nylon, 2% Spandex
- Alpaca yarn spun by QCYarn, China
- Brushed 7 guage knit
- Soft, elastic and super resistant.
- Knitted by Springair in China</v>
      </c>
      <c r="H293" s="11" t="str">
        <f>IFERROR(__xludf.DUMMYFUNCTION("""COMPUTED_VALUE"""),"hilda-charcoal, hilda-ivory")</f>
        <v>hilda-charcoal, hilda-ivory</v>
      </c>
      <c r="I293" s="11"/>
    </row>
    <row r="294">
      <c r="A294" s="11" t="str">
        <f>IFERROR(__xludf.DUMMYFUNCTION("""COMPUTED_VALUE"""),"Livid Unisex")</f>
        <v>Livid Unisex</v>
      </c>
      <c r="B294" s="11" t="str">
        <f>IFERROR(__xludf.DUMMYFUNCTION("""COMPUTED_VALUE"""),"Scarf")</f>
        <v>Scarf</v>
      </c>
      <c r="C294" s="11" t="str">
        <f>IFERROR(__xludf.DUMMYFUNCTION("""COMPUTED_VALUE"""),"hilda-charcoal")</f>
        <v>hilda-charcoal</v>
      </c>
      <c r="D294" s="11" t="str">
        <f>IFERROR(__xludf.DUMMYFUNCTION("""COMPUTED_VALUE"""),"Hilda Charcoal")</f>
        <v>Hilda Charcoal</v>
      </c>
      <c r="E294" s="11" t="str">
        <f>IFERROR(__xludf.DUMMYFUNCTION("""COMPUTED_VALUE"""),"Made in China
Versatile and warming snood in a brushed alpaca yarn. ")</f>
        <v>Made in China
Versatile and warming snood in a brushed alpaca yarn. </v>
      </c>
      <c r="F294" s="11" t="str">
        <f>IFERROR(__xludf.DUMMYFUNCTION("""COMPUTED_VALUE"""),"Lerke, our brushed alpaca snood.")</f>
        <v>Lerke, our brushed alpaca snood.</v>
      </c>
      <c r="G294" s="11" t="str">
        <f>IFERROR(__xludf.DUMMYFUNCTION("""COMPUTED_VALUE"""),"- 79% Alpaca, 19% Nylon, 2% Spandex
- Alpaca yarn spun by QCYarn, China
- Brushed 7 guage knit
- Soft, elastic and super resistant.
- Knitted by Springair in China")</f>
        <v>- 79% Alpaca, 19% Nylon, 2% Spandex
- Alpaca yarn spun by QCYarn, China
- Brushed 7 guage knit
- Soft, elastic and super resistant.
- Knitted by Springair in China</v>
      </c>
      <c r="H294" s="11" t="str">
        <f>IFERROR(__xludf.DUMMYFUNCTION("""COMPUTED_VALUE"""),"hilda-black, hilda-ivory")</f>
        <v>hilda-black, hilda-ivory</v>
      </c>
      <c r="I294" s="11"/>
    </row>
    <row r="295">
      <c r="A295" s="11" t="str">
        <f>IFERROR(__xludf.DUMMYFUNCTION("""COMPUTED_VALUE"""),"Livid Unisex")</f>
        <v>Livid Unisex</v>
      </c>
      <c r="B295" s="11" t="str">
        <f>IFERROR(__xludf.DUMMYFUNCTION("""COMPUTED_VALUE"""),"Scarf")</f>
        <v>Scarf</v>
      </c>
      <c r="C295" s="11" t="str">
        <f>IFERROR(__xludf.DUMMYFUNCTION("""COMPUTED_VALUE"""),"hilda-ivory")</f>
        <v>hilda-ivory</v>
      </c>
      <c r="D295" s="11" t="str">
        <f>IFERROR(__xludf.DUMMYFUNCTION("""COMPUTED_VALUE"""),"Hilda Ivory")</f>
        <v>Hilda Ivory</v>
      </c>
      <c r="E295" s="11" t="str">
        <f>IFERROR(__xludf.DUMMYFUNCTION("""COMPUTED_VALUE"""),"Made in China
Versatile and warming snood in a brushed alpaca yarn. ")</f>
        <v>Made in China
Versatile and warming snood in a brushed alpaca yarn. </v>
      </c>
      <c r="F295" s="11" t="str">
        <f>IFERROR(__xludf.DUMMYFUNCTION("""COMPUTED_VALUE"""),"Lerke, our brushed alpaca snood.")</f>
        <v>Lerke, our brushed alpaca snood.</v>
      </c>
      <c r="G295" s="11" t="str">
        <f>IFERROR(__xludf.DUMMYFUNCTION("""COMPUTED_VALUE"""),"- 79% Alpaca, 19% Nylon, 2% Spandex
- Alpaca yarn spun by QCYarn, China
- Brushed 7 guage knit
- Soft, elastic and super resistant.
- Knitted by Springair in China")</f>
        <v>- 79% Alpaca, 19% Nylon, 2% Spandex
- Alpaca yarn spun by QCYarn, China
- Brushed 7 guage knit
- Soft, elastic and super resistant.
- Knitted by Springair in China</v>
      </c>
      <c r="H295" s="11" t="str">
        <f>IFERROR(__xludf.DUMMYFUNCTION("""COMPUTED_VALUE"""),"hilda-black, hilda-charcoal")</f>
        <v>hilda-black, hilda-charcoal</v>
      </c>
      <c r="I295" s="11"/>
    </row>
    <row r="296">
      <c r="A296" s="11" t="str">
        <f>IFERROR(__xludf.DUMMYFUNCTION("""COMPUTED_VALUE"""),"Livid Unisex")</f>
        <v>Livid Unisex</v>
      </c>
      <c r="B296" s="11" t="str">
        <f>IFERROR(__xludf.DUMMYFUNCTION("""COMPUTED_VALUE"""),"Leather Jacket")</f>
        <v>Leather Jacket</v>
      </c>
      <c r="C296" s="11" t="str">
        <f>IFERROR(__xludf.DUMMYFUNCTION("""COMPUTED_VALUE"""),"hume-black-mole")</f>
        <v>hume-black-mole</v>
      </c>
      <c r="D296" s="11" t="str">
        <f>IFERROR(__xludf.DUMMYFUNCTION("""COMPUTED_VALUE"""),"Hume Black Mole")</f>
        <v>Hume Black Mole</v>
      </c>
      <c r="E296" s="11" t="str">
        <f>IFERROR(__xludf.DUMMYFUNCTION("""COMPUTED_VALUE"""),"Made in Portugal
Hume features a wide collar, a boxy fit with extended slightly droppe shoulders, a relaxed and short body, and a straight cut hem. Hand warmer pockets at the waist. Finished with a heavy two-way silver zipper, and zippered adjusters at t"&amp;"he cuffs. 
Made in a solid and supple deep molé brown leather. This particular leather is tan coloured, with a surface dye of dark, almost black, molé brown. This dye method creates a dark brown leather, which will contrast wonderfully over time with wea"&amp;"r.
Hume is produced by our longtime partner Octa in Portugal. A small leather workshop with only four employees cutting and sewing the garments.")</f>
        <v>Made in Portugal
Hume features a wide collar, a boxy fit with extended slightly droppe shoulders, a relaxed and short body, and a straight cut hem. Hand warmer pockets at the waist. Finished with a heavy two-way silver zipper, and zippered adjusters at the cuffs. 
Made in a solid and supple deep molé brown leather. This particular leather is tan coloured, with a surface dye of dark, almost black, molé brown. This dye method creates a dark brown leather, which will contrast wonderfully over time with wear.
Hume is produced by our longtime partner Octa in Portugal. A small leather workshop with only four employees cutting and sewing the garments.</v>
      </c>
      <c r="F296" s="11" t="str">
        <f>IFERROR(__xludf.DUMMYFUNCTION("""COMPUTED_VALUE"""),"Hume, our clean leather jacket in a deep brown, supple leather.")</f>
        <v>Hume, our clean leather jacket in a deep brown, supple leather.</v>
      </c>
      <c r="G296" s="11" t="str">
        <f>IFERROR(__xludf.DUMMYFUNCTION("""COMPUTED_VALUE"""),"- Deep brown cow leather, tanned in Portugal
- Full-length 2-way zipper, made by YKK in Portugal
- Hand-warmer pockets at hip
- Produced by Octa, Portugal")</f>
        <v>- Deep brown cow leather, tanned in Portugal
- Full-length 2-way zipper, made by YKK in Portugal
- Hand-warmer pockets at hip
- Produced by Octa, Portugal</v>
      </c>
      <c r="H296" s="11"/>
      <c r="I296" s="11"/>
    </row>
    <row r="297">
      <c r="A297" s="11" t="str">
        <f>IFERROR(__xludf.DUMMYFUNCTION("""COMPUTED_VALUE"""),"Livid Unisex")</f>
        <v>Livid Unisex</v>
      </c>
      <c r="B297" s="11" t="str">
        <f>IFERROR(__xludf.DUMMYFUNCTION("""COMPUTED_VALUE"""),"Jeans")</f>
        <v>Jeans</v>
      </c>
      <c r="C297" s="11" t="str">
        <f>IFERROR(__xludf.DUMMYFUNCTION("""COMPUTED_VALUE"""),"keri-japan-black")</f>
        <v>keri-japan-black</v>
      </c>
      <c r="D297" s="11" t="str">
        <f>IFERROR(__xludf.DUMMYFUNCTION("""COMPUTED_VALUE"""),"Keri Japan Black")</f>
        <v>Keri Japan Black</v>
      </c>
      <c r="E297" s="11" t="str">
        <f>IFERROR(__xludf.DUMMYFUNCTION("""COMPUTED_VALUE"""),"Made in Portugal
Keri Japan Black. Made from a 13 Oz 100% cotton, black wideloom denim woven by the renowned Japanese fabric mill, Kuroki. 
Sulphur dyed for a black colour that stays black for a long time. While all black denim will lose colour eventual"&amp;"ly, this particular denim fades in contrast after wear, evolving a beautiful personal pattern. This is due a special technique called rope dye, whereas the yarns are dipped in short intervals between oxidation. This prevents the colour from completely pen"&amp;"etrating the core of the fibres, leaving it fresh, natural and untouched. When the layers of black colour wears off the surface of the yarns, the natural coloured cotton core will appear, leaving a contrast fade throughout the jeans.
Go to our fit guide "&amp;"to read more about the loose leg fit, Keri.")</f>
        <v>Made in Portugal
Keri Japan Black. Made from a 13 Oz 100% cotton, black wideloom denim woven by the renowned Japanese fabric mill, Kuroki. 
Sulphur dyed for a black colour that stays black for a long time. While all black denim will lose colour eventually, this particular denim fades in contrast after wear, evolving a beautiful personal pattern. This is due a special technique called rope dye, whereas the yarns are dipped in short intervals between oxidation. This prevents the colour from completely penetrating the core of the fibres, leaving it fresh, natural and untouched. When the layers of black colour wears off the surface of the yarns, the natural coloured cotton core will appear, leaving a contrast fade throughout the jeans.
Go to our fit guide to read more about the loose leg fit, Keri.</v>
      </c>
      <c r="F297" s="11" t="str">
        <f>IFERROR(__xludf.DUMMYFUNCTION("""COMPUTED_VALUE"""),"Our unisex wide straight Keri in Black.")</f>
        <v>Our unisex wide straight Keri in Black.</v>
      </c>
      <c r="G297" s="11" t="str">
        <f>IFERROR(__xludf.DUMMYFUNCTION("""COMPUTED_VALUE"""),"- 13 Oz wideloom denim from Kuroki, Japan
- One wash to increase softness
- 100% Sanforized cotton
- Warp &amp; Weft dyed in black
- 8 Oz 5 Oz ecru canvas pocketing
- Black leather patch w/ wax treatment, Made in Italy.
- YKK two-prong silver button and zip f"&amp;"ly
- YKK solid copper washed-burr rivets
- Stitched with poly core cotton thread
- Made at Lisama, Portugal")</f>
        <v>- 13 Oz wideloom denim from Kuroki, Japan
- One wash to increase softness
- 100% Sanforized cotton
- Warp &amp; Weft dyed in black
- 8 Oz 5 Oz ecru canvas pocketing
- Black leather patch w/ wax treatment, Made in Italy.
- YKK two-prong silver button and zip fly
- YKK solid copper washed-burr rivets
- Stitched with poly core cotton thread
- Made at Lisama, Portugal</v>
      </c>
      <c r="H297" s="11" t="str">
        <f>IFERROR(__xludf.DUMMYFUNCTION("""COMPUTED_VALUE"""),"keri-japan-dawn, keri-japan-sandbox, keri-japan-gravel")</f>
        <v>keri-japan-dawn, keri-japan-sandbox, keri-japan-gravel</v>
      </c>
      <c r="I297" s="11"/>
    </row>
    <row r="298">
      <c r="A298" s="11" t="str">
        <f>IFERROR(__xludf.DUMMYFUNCTION("""COMPUTED_VALUE"""),"Livid Unisex")</f>
        <v>Livid Unisex</v>
      </c>
      <c r="B298" s="11" t="str">
        <f>IFERROR(__xludf.DUMMYFUNCTION("""COMPUTED_VALUE"""),"Jeans")</f>
        <v>Jeans</v>
      </c>
      <c r="C298" s="11" t="str">
        <f>IFERROR(__xludf.DUMMYFUNCTION("""COMPUTED_VALUE"""),"keri-japan-broken")</f>
        <v>keri-japan-broken</v>
      </c>
      <c r="D298" s="11" t="str">
        <f>IFERROR(__xludf.DUMMYFUNCTION("""COMPUTED_VALUE"""),"Keri Japan Broken")</f>
        <v>Keri Japan Broken</v>
      </c>
      <c r="E298" s="11" t="str">
        <f>IFERROR(__xludf.DUMMYFUNCTION("""COMPUTED_VALUE"""),"Made in Portugal
The Japan Broken. Our light distress wash made in a solid 13 Oz 100% cotton denim from the renowned Japanese denim mill Kuroki. Soft to the touch with a worn-in look.
Available in our wide leg fit, Keri.
Details &amp; Features
- Mid-blue w"&amp;"ashed rope-dyed indigo denim
- 13 Oz wideloom denim from Kuroki, Japan
- 100% Sanforized cotton
- Warp dyed in indigo, natural coloured weft
- 8 Oz ecru canvas pocketing
- Tanned leather patch w/ wax treatment, Made in Italy.
- YKK two-prongtack, silver b"&amp;"utton fly
- YKK solid copper washed-burr rivets
- Stitched with poly core cotton thread
- Made at Lisama, Portugal
Model is 178 cm and wears a size 26/32.
Go to our fit guide to read more about the loose leg fit, Keri.")</f>
        <v>Made in Portugal
The Japan Broken. Our light distress wash made in a solid 13 Oz 100% cotton denim from the renowned Japanese denim mill Kuroki. Soft to the touch with a worn-in look.
Available in our wide leg fit, Keri.
Details &amp; Features
- Mid-blue washed rope-dyed indigo denim
- 13 Oz wideloom denim from Kuroki, Japan
- 100% Sanforized cotton
- Warp dyed in indigo, natural coloured weft
- 8 Oz ecru canvas pocketing
- Tanned leather patch w/ wax treatment, Made in Italy.
- YKK two-prongtack, silver button fly
- YKK solid copper washed-burr rivets
- Stitched with poly core cotton thread
- Made at Lisama, Portugal
Model is 178 cm and wears a size 26/32.
Go to our fit guide to read more about the loose leg fit, Keri.</v>
      </c>
      <c r="F298" s="11" t="str">
        <f>IFERROR(__xludf.DUMMYFUNCTION("""COMPUTED_VALUE"""),"Our wide straight Keri in a distressed light wash.")</f>
        <v>Our wide straight Keri in a distressed light wash.</v>
      </c>
      <c r="G298" s="11"/>
      <c r="H298" s="11" t="str">
        <f>IFERROR(__xludf.DUMMYFUNCTION("""COMPUTED_VALUE"""),"keri-japan-dawn, keri-japan-gravel, keri-japan-black, keri-japan-fog, keri-bisect-japan-shadow-gravel, keri-wide-japan-marble")</f>
        <v>keri-japan-dawn, keri-japan-gravel, keri-japan-black, keri-japan-fog, keri-bisect-japan-shadow-gravel, keri-wide-japan-marble</v>
      </c>
      <c r="I298" s="11"/>
    </row>
    <row r="299">
      <c r="A299" s="11" t="str">
        <f>IFERROR(__xludf.DUMMYFUNCTION("""COMPUTED_VALUE"""),"Livid Unisex")</f>
        <v>Livid Unisex</v>
      </c>
      <c r="B299" s="11" t="str">
        <f>IFERROR(__xludf.DUMMYFUNCTION("""COMPUTED_VALUE"""),"Jeans")</f>
        <v>Jeans</v>
      </c>
      <c r="C299" s="11" t="str">
        <f>IFERROR(__xludf.DUMMYFUNCTION("""COMPUTED_VALUE"""),"keri-japan-dawn")</f>
        <v>keri-japan-dawn</v>
      </c>
      <c r="D299" s="11" t="str">
        <f>IFERROR(__xludf.DUMMYFUNCTION("""COMPUTED_VALUE"""),"Keri Japan Dawn")</f>
        <v>Keri Japan Dawn</v>
      </c>
      <c r="E299" s="11" t="str">
        <f>IFERROR(__xludf.DUMMYFUNCTION("""COMPUTED_VALUE"""),"Made in Portugal
The Japan Dawn. Our mid-blue wash made in a solid 13 Oz 100% cotton denim from the renowned Japanese denim mill Kuroki. Soft to the touch, the Japan Dawn reveals an incredible depth of colour and wonderful texture, due to the long-fibred"&amp;" indigo rope-dyed yarns of the fabric. Not too light, and not too dark, the Japan Dawn strikes the perfect balance for your everyday mid-blue needs. A definite essential.
Available in our loose leg fit, Keri.
Go to our fit guide to read more about the l"&amp;"oose leg fit, Keri.
Available sizes are 24-32 in 32” inseam and 26-34 in 34” inseam.")</f>
        <v>Made in Portugal
The Japan Dawn. Our mid-blue wash made in a solid 13 Oz 100% cotton denim from the renowned Japanese denim mill Kuroki. Soft to the touch, the Japan Dawn reveals an incredible depth of colour and wonderful texture, due to the long-fibred indigo rope-dyed yarns of the fabric. Not too light, and not too dark, the Japan Dawn strikes the perfect balance for your everyday mid-blue needs. A definite essential.
Available in our loose leg fit, Keri.
Go to our fit guide to read more about the loose leg fit, Keri.
Available sizes are 24-32 in 32” inseam and 26-34 in 34” inseam.</v>
      </c>
      <c r="F299" s="11" t="str">
        <f>IFERROR(__xludf.DUMMYFUNCTION("""COMPUTED_VALUE"""),"Our wide straight Keri in our mid-blue wash: Japan Dawn.")</f>
        <v>Our wide straight Keri in our mid-blue wash: Japan Dawn.</v>
      </c>
      <c r="G299" s="11" t="str">
        <f>IFERROR(__xludf.DUMMYFUNCTION("""COMPUTED_VALUE"""),"Details &amp; Features
- Mid-blue washed rope-dyed indigo denim
- 13 Oz wideloom denim from Kuroki, Japan
- 100% Sanforized cotton
- Warp dyed in indigo, natural coloured weft
- 8 Oz ecru canvas pocketing
- Tanned leather patch w/ wax treatment, Made in Italy"&amp;".
- YKK two-prongtack, silver button fly
- YKK solid copper washed-burr rivets
- Stitched with poly core cotton thread
- Made at Lisama, Portugal")</f>
        <v>Details &amp; Features
- Mid-blue washed rope-dyed indigo denim
- 13 Oz wideloom denim from Kuroki, Japan
- 100% Sanforized cotton
- Warp dyed in indigo, natural coloured weft
- 8 Oz ecru canvas pocketing
- Tanned leather patch w/ wax treatment, Made in Italy.
- YKK two-prongtack, silver button fly
- YKK solid copper washed-burr rivets
- Stitched with poly core cotton thread
- Made at Lisama, Portugal</v>
      </c>
      <c r="H299" s="11" t="str">
        <f>IFERROR(__xludf.DUMMYFUNCTION("""COMPUTED_VALUE"""),"keri-japan-black, keri-japan-gravel, keri-japan-sandbox, keri-wide-japan-marble")</f>
        <v>keri-japan-black, keri-japan-gravel, keri-japan-sandbox, keri-wide-japan-marble</v>
      </c>
      <c r="I299" s="11"/>
    </row>
    <row r="300">
      <c r="A300" s="11" t="str">
        <f>IFERROR(__xludf.DUMMYFUNCTION("""COMPUTED_VALUE"""),"Livid Unisex")</f>
        <v>Livid Unisex</v>
      </c>
      <c r="B300" s="11" t="str">
        <f>IFERROR(__xludf.DUMMYFUNCTION("""COMPUTED_VALUE"""),"Jeans")</f>
        <v>Jeans</v>
      </c>
      <c r="C300" s="11" t="str">
        <f>IFERROR(__xludf.DUMMYFUNCTION("""COMPUTED_VALUE"""),"keri-japan-gravel")</f>
        <v>keri-japan-gravel</v>
      </c>
      <c r="D300" s="11" t="str">
        <f>IFERROR(__xludf.DUMMYFUNCTION("""COMPUTED_VALUE"""),"Keri Japan Gravel")</f>
        <v>Keri Japan Gravel</v>
      </c>
      <c r="E300" s="11" t="str">
        <f>IFERROR(__xludf.DUMMYFUNCTION("""COMPUTED_VALUE"""),"Made in Portugal
Keri, our unisex wide-fit, made in a structured grey wash.
Made from a 13.8 Oz 100% cotton, dark grey wideloom denim woven by the artisanal Japanese denim mill, Collect. Washed down to a rough grey, showing off the wonderful texture of "&amp;"the denim.")</f>
        <v>Made in Portugal
Keri, our unisex wide-fit, made in a structured grey wash.
Made from a 13.8 Oz 100% cotton, dark grey wideloom denim woven by the artisanal Japanese denim mill, Collect. Washed down to a rough grey, showing off the wonderful texture of the denim.</v>
      </c>
      <c r="F300" s="11" t="str">
        <f>IFERROR(__xludf.DUMMYFUNCTION("""COMPUTED_VALUE"""),"Our wide straight Keri in a structured grey wash.")</f>
        <v>Our wide straight Keri in a structured grey wash.</v>
      </c>
      <c r="G300" s="11" t="str">
        <f>IFERROR(__xludf.DUMMYFUNCTION("""COMPUTED_VALUE"""),"- 13.8 Oz wideloom denim from Collect, Japan
- 100% Sanforized cotton
- Dark grey warp &amp; natural weft
- 8 Oz 5 Oz ecru canvas pocketing
- Vegetable tanned leather patch w/ wax treatment, made in Italy.
- YKK two-prong, silver button fly
- YKK solid copper"&amp;" washed-burr rivets
- Stitched with durable poly-core cotton thread
- Made at Lisama, Portugal")</f>
        <v>- 13.8 Oz wideloom denim from Collect, Japan
- 100% Sanforized cotton
- Dark grey warp &amp; natural weft
- 8 Oz 5 Oz ecru canvas pocketing
- Vegetable tanned leather patch w/ wax treatment, made in Italy.
- YKK two-prong, silver button fly
- YKK solid copper washed-burr rivets
- Stitched with durable poly-core cotton thread
- Made at Lisama, Portugal</v>
      </c>
      <c r="H300" s="11" t="str">
        <f>IFERROR(__xludf.DUMMYFUNCTION("""COMPUTED_VALUE"""),"keri-japan-black, keri-japan-dawn, keri-japan-sandbox, keri-wide-japan-marble")</f>
        <v>keri-japan-black, keri-japan-dawn, keri-japan-sandbox, keri-wide-japan-marble</v>
      </c>
      <c r="I300" s="11"/>
    </row>
    <row r="301">
      <c r="A301" s="11" t="str">
        <f>IFERROR(__xludf.DUMMYFUNCTION("""COMPUTED_VALUE"""),"Livid Unisex")</f>
        <v>Livid Unisex</v>
      </c>
      <c r="B301" s="11" t="str">
        <f>IFERROR(__xludf.DUMMYFUNCTION("""COMPUTED_VALUE"""),"Jeans")</f>
        <v>Jeans</v>
      </c>
      <c r="C301" s="11" t="str">
        <f>IFERROR(__xludf.DUMMYFUNCTION("""COMPUTED_VALUE"""),"keri-japan-sandbox")</f>
        <v>keri-japan-sandbox</v>
      </c>
      <c r="D301" s="11" t="str">
        <f>IFERROR(__xludf.DUMMYFUNCTION("""COMPUTED_VALUE"""),"Keri Japan Sandbox")</f>
        <v>Keri Japan Sandbox</v>
      </c>
      <c r="E301" s="11" t="str">
        <f>IFERROR(__xludf.DUMMYFUNCTION("""COMPUTED_VALUE"""),"Made in Portugal
Keri Japan Sandbox is made in a solid 13 Oz. 100% cotton denim from the renowned Japanese denim mill Kuroki. Washed down to a mid-blue vintage wash, and then overdyed to create a subtle dusty finish.
In our unisex wide straight Keri, wh"&amp;"ich can sit either high waisted, or hang lower and baggy, depending on preferred sizing.")</f>
        <v>Made in Portugal
Keri Japan Sandbox is made in a solid 13 Oz. 100% cotton denim from the renowned Japanese denim mill Kuroki. Washed down to a mid-blue vintage wash, and then overdyed to create a subtle dusty finish.
In our unisex wide straight Keri, which can sit either high waisted, or hang lower and baggy, depending on preferred sizing.</v>
      </c>
      <c r="F301" s="11" t="str">
        <f>IFERROR(__xludf.DUMMYFUNCTION("""COMPUTED_VALUE"""),"Our unisex wide straight Keri in a dusty blue wash.")</f>
        <v>Our unisex wide straight Keri in a dusty blue wash.</v>
      </c>
      <c r="G301" s="11" t="str">
        <f>IFERROR(__xludf.DUMMYFUNCTION("""COMPUTED_VALUE"""),"- 13 Oz wideloom denim from Kuroki, Japan
- 100% Sanforized cotton
- Warp rope-dyed in indigo, natural coloured weft
- Mid-blue washed jeans, overdyed
- 8 Oz ecru canvas pocketing
- Tanned leather patch w/ wax treatment, Made in Italy.
- YKK two-prong sil"&amp;"ver button fly
- YKK solid copper washed-burr rivets
- Stitched with durable poly-core cotton thread
- Made at Lisama, Portugal")</f>
        <v>- 13 Oz wideloom denim from Kuroki, Japan
- 100% Sanforized cotton
- Warp rope-dyed in indigo, natural coloured weft
- Mid-blue washed jeans, overdyed
- 8 Oz ecru canvas pocketing
- Tanned leather patch w/ wax treatment, Made in Italy.
- YKK two-prong silver button fly
- YKK solid copper washed-burr rivets
- Stitched with durable poly-core cotton thread
- Made at Lisama, Portugal</v>
      </c>
      <c r="H301" s="11" t="str">
        <f>IFERROR(__xludf.DUMMYFUNCTION("""COMPUTED_VALUE"""),"keri-japan-dawn, keri-japan-black, keri-japan-gravel")</f>
        <v>keri-japan-dawn, keri-japan-black, keri-japan-gravel</v>
      </c>
      <c r="I301" s="11"/>
    </row>
    <row r="302">
      <c r="A302" s="11" t="str">
        <f>IFERROR(__xludf.DUMMYFUNCTION("""COMPUTED_VALUE"""),"Livid Unisex")</f>
        <v>Livid Unisex</v>
      </c>
      <c r="B302" s="11" t="str">
        <f>IFERROR(__xludf.DUMMYFUNCTION("""COMPUTED_VALUE"""),"Trouser")</f>
        <v>Trouser</v>
      </c>
      <c r="C302" s="11" t="str">
        <f>IFERROR(__xludf.DUMMYFUNCTION("""COMPUTED_VALUE"""),"keri-linen-java")</f>
        <v>keri-linen-java</v>
      </c>
      <c r="D302" s="11" t="str">
        <f>IFERROR(__xludf.DUMMYFUNCTION("""COMPUTED_VALUE"""),"Keri Linen Java")</f>
        <v>Keri Linen Java</v>
      </c>
      <c r="E302" s="11" t="str">
        <f>IFERROR(__xludf.DUMMYFUNCTION("""COMPUTED_VALUE"""),"Made in Portugal
The Keri Linen is Made in a beautiful 100% Linen quality woven by Klasikine in Lithuania. This particular fabric is light weight, soft and very comfortable to wear. It's pure linen yarns give the Keri Linen a flowy drape and excellent te"&amp;"meprature regulating properties in warm weather.
Keri fits relaxed with a wide silhouette. Starting from the top it is constructed with an open waistband, curved and comfortable through hip and seat with a slightly dropped crotch. Then straight from top "&amp;"of thigh all the way down ending in a slightly flared leg opening.
Keri is perfect for those who like a more relaxed fit with a flared look or for someone with a generous build where normal issues with fitting is a tight waistband. Keri can be worn high "&amp;"in the waist or lower on the hips depending on sizing and preference. To be worn as a high waist trouser, size down compared to your normal jeans size.
The Keri Linen will stretch more around the waist the first few wears than the Keri denim jeans, due t"&amp;"o the looser linen weave. When new, the Keri linen should fit a little tighter in the waistband than how you want it to end up.
Details &amp; Features
- 100% Linen fabric from Klasikine in Lithuania
- 5 Oz ecru canvas pocketing
- Vegetable tanned leather pat"&amp;"ch w/ wax treatment, Made in Italy.
- YKK two-prong silver button and zip fly
- Stitched with poly core cotton thread
- Made at Lisama, Portugal")</f>
        <v>Made in Portugal
The Keri Linen is Made in a beautiful 100% Linen quality woven by Klasikine in Lithuania. This particular fabric is light weight, soft and very comfortable to wear. It's pure linen yarns give the Keri Linen a flowy drape and excellent temeprature regulating properties in warm weather.
Keri fits relaxed with a wide silhouette. Starting from the top it is constructed with an open waistband, curved and comfortable through hip and seat with a slightly dropped crotch. Then straight from top of thigh all the way down ending in a slightly flared leg opening.
Keri is perfect for those who like a more relaxed fit with a flared look or for someone with a generous build where normal issues with fitting is a tight waistband. Keri can be worn high in the waist or lower on the hips depending on sizing and preference. To be worn as a high waist trouser, size down compared to your normal jeans size.
The Keri Linen will stretch more around the waist the first few wears than the Keri denim jeans, due to the looser linen weave. When new, the Keri linen should fit a little tighter in the waistband than how you want it to end up.
Details &amp; Features
- 100% Linen fabric from Klasikine in Lithuania
- 5 Oz ecru canvas pocketing
- Vegetable tanned leather patch w/ wax treatment, Made in Italy.
- YKK two-prong silver button and zip fly
- Stitched with poly core cotton thread
- Made at Lisama, Portugal</v>
      </c>
      <c r="F302" s="11" t="str">
        <f>IFERROR(__xludf.DUMMYFUNCTION("""COMPUTED_VALUE"""),"Our wide straight Keri made in a lightweight, soft and comfortable pure linen.")</f>
        <v>Our wide straight Keri made in a lightweight, soft and comfortable pure linen.</v>
      </c>
      <c r="G302" s="11"/>
      <c r="H302" s="11" t="str">
        <f>IFERROR(__xludf.DUMMYFUNCTION("""COMPUTED_VALUE"""),"keri-linen-stone, keri-white-linen, keri-linen-olive, keri-black-linen, keri-green-linen, keri-magnet-linen")</f>
        <v>keri-linen-stone, keri-white-linen, keri-linen-olive, keri-black-linen, keri-green-linen, keri-magnet-linen</v>
      </c>
      <c r="I302" s="11"/>
    </row>
    <row r="303">
      <c r="A303" s="11" t="str">
        <f>IFERROR(__xludf.DUMMYFUNCTION("""COMPUTED_VALUE"""),"Livid Unisex")</f>
        <v>Livid Unisex</v>
      </c>
      <c r="B303" s="11" t="str">
        <f>IFERROR(__xludf.DUMMYFUNCTION("""COMPUTED_VALUE"""),"Trouser")</f>
        <v>Trouser</v>
      </c>
      <c r="C303" s="11" t="str">
        <f>IFERROR(__xludf.DUMMYFUNCTION("""COMPUTED_VALUE"""),"keri-linen-stone")</f>
        <v>keri-linen-stone</v>
      </c>
      <c r="D303" s="11" t="str">
        <f>IFERROR(__xludf.DUMMYFUNCTION("""COMPUTED_VALUE"""),"Keri Linen Stone")</f>
        <v>Keri Linen Stone</v>
      </c>
      <c r="E303" s="11" t="str">
        <f>IFERROR(__xludf.DUMMYFUNCTION("""COMPUTED_VALUE"""),"Made in Portugal
The Keri Linen is Made in a beautiful 100% Linen quality woven by Klasikine in Lithuania. This particular fabric is light weight, soft and very comfortable to wear. It's pure linen yarns give the Keri Linen a flowy drape and excellent te"&amp;"meprature regulating properties in warm weather.
Keri fits relaxed with a wide silhouette. Starting from the top it is constructed with an open waistband, curved and comfortable through hip and seat with a slightly dropped crotch. Then straight from top "&amp;"of thigh all the way down ending in a slightly flared leg opening.
Keri is perfect for those who like a more relaxed fit with a flared look or for someone with a generous build where normal issues with fitting is a tight waistband. Keri can be worn high "&amp;"in the waist or lower on the hips depending on sizing and preference. To be worn as a high waist trouser, size down compared to your normal jeans size.
The Keri Linen will stretch more around the waist the first few wears than the Keri denim jeans, due t"&amp;"o the looser linen weave. When new, the Keri linen should fit a little tighter in the waistband than how you want it to end up.
Details &amp; Features
- 100% Linen fabric from Klasikine in Lithuania
- 5 Oz ecru canvas pocketing
- Vegetable tanned leather pat"&amp;"ch w/ wax treatment, Made in Italy.
- YKK two-prong silver button and zip fly
- Stitched with poly core cotton thread
- Made at Lisama, Portugal")</f>
        <v>Made in Portugal
The Keri Linen is Made in a beautiful 100% Linen quality woven by Klasikine in Lithuania. This particular fabric is light weight, soft and very comfortable to wear. It's pure linen yarns give the Keri Linen a flowy drape and excellent temeprature regulating properties in warm weather.
Keri fits relaxed with a wide silhouette. Starting from the top it is constructed with an open waistband, curved and comfortable through hip and seat with a slightly dropped crotch. Then straight from top of thigh all the way down ending in a slightly flared leg opening.
Keri is perfect for those who like a more relaxed fit with a flared look or for someone with a generous build where normal issues with fitting is a tight waistband. Keri can be worn high in the waist or lower on the hips depending on sizing and preference. To be worn as a high waist trouser, size down compared to your normal jeans size.
The Keri Linen will stretch more around the waist the first few wears than the Keri denim jeans, due to the looser linen weave. When new, the Keri linen should fit a little tighter in the waistband than how you want it to end up.
Details &amp; Features
- 100% Linen fabric from Klasikine in Lithuania
- 5 Oz ecru canvas pocketing
- Vegetable tanned leather patch w/ wax treatment, Made in Italy.
- YKK two-prong silver button and zip fly
- Stitched with poly core cotton thread
- Made at Lisama, Portugal</v>
      </c>
      <c r="F303" s="11" t="str">
        <f>IFERROR(__xludf.DUMMYFUNCTION("""COMPUTED_VALUE"""),"Our wide straight Keri made in a lightweight, soft and comfortable pure linen.")</f>
        <v>Our wide straight Keri made in a lightweight, soft and comfortable pure linen.</v>
      </c>
      <c r="G303" s="11"/>
      <c r="H303" s="11" t="str">
        <f>IFERROR(__xludf.DUMMYFUNCTION("""COMPUTED_VALUE"""),"keri-linen-java, keri-white-linen, keri-linen-olive, keri-black-linen, keri-green-linen, keri-magnet-linen")</f>
        <v>keri-linen-java, keri-white-linen, keri-linen-olive, keri-black-linen, keri-green-linen, keri-magnet-linen</v>
      </c>
      <c r="I303" s="11"/>
    </row>
    <row r="304">
      <c r="A304" s="11" t="str">
        <f>IFERROR(__xludf.DUMMYFUNCTION("""COMPUTED_VALUE"""),"Livid Unisex")</f>
        <v>Livid Unisex</v>
      </c>
      <c r="B304" s="11" t="str">
        <f>IFERROR(__xludf.DUMMYFUNCTION("""COMPUTED_VALUE"""),"Shorts")</f>
        <v>Shorts</v>
      </c>
      <c r="C304" s="11" t="str">
        <f>IFERROR(__xludf.DUMMYFUNCTION("""COMPUTED_VALUE"""),"keri-surf-japan-black")</f>
        <v>keri-surf-japan-black</v>
      </c>
      <c r="D304" s="11" t="str">
        <f>IFERROR(__xludf.DUMMYFUNCTION("""COMPUTED_VALUE"""),"Keri Surf Japan Black")</f>
        <v>Keri Surf Japan Black</v>
      </c>
      <c r="E304" s="11" t="str">
        <f>IFERROR(__xludf.DUMMYFUNCTION("""COMPUTED_VALUE"""),"Made in Portugal
Keri Surf, our wide and long denim short. Based on our unisex wide leg Keri, the Keri Surf is cut right around the knee. Creating the ultimate wide jort, that can be worn both high waisted or low on the hip. 
Made from a 13 Oz 100% cott"&amp;"on, black wideloom denim woven by the renowned Japanese fabric mill, Kuroki. 
Sulphur dyed for a black colour that stays black for a long time before it eventually fades in contrast after wear, evolving a beautiful personal pattern over time.
Details &amp; "&amp;"Features
- 13 Oz wideloom denim from Kuroki, Japan
- One wash to increase softness
- 100% Sanforized cotton
- Warp &amp; Weft dyed in black
- 8 Oz 5 Oz ecru canvas pocketing
- Black leather patch w/ wax treatment, Made in Italy.
- YKK two-prongtack, silver bu"&amp;"tton and zip fly
- YKK solid copper washed-burr rivets
- Stitched with poly core cotton thread
- Made at Lisama, Portugal
Go to our fit guide to read more about the loose leg fit, Keri.")</f>
        <v>Made in Portugal
Keri Surf, our wide and long denim short. Based on our unisex wide leg Keri, the Keri Surf is cut right around the knee. Creating the ultimate wide jort, that can be worn both high waisted or low on the hip. 
Made from a 13 Oz 100% cotton, black wideloom denim woven by the renowned Japanese fabric mill, Kuroki. 
Sulphur dyed for a black colour that stays black for a long time before it eventually fades in contrast after wear, evolving a beautiful personal pattern over time.
Details &amp; Features
- 13 Oz wideloom denim from Kuroki, Japan
- One wash to increase softness
- 100% Sanforized cotton
- Warp &amp; Weft dyed in black
- 8 Oz 5 Oz ecru canvas pocketing
- Black leather patch w/ wax treatment, Made in Italy.
- YKK two-prongtack, silver button and zip fly
- YKK solid copper washed-burr rivets
- Stitched with poly core cotton thread
- Made at Lisama, Portugal
Go to our fit guide to read more about the loose leg fit, Keri.</v>
      </c>
      <c r="F304" s="11" t="str">
        <f>IFERROR(__xludf.DUMMYFUNCTION("""COMPUTED_VALUE"""),"Keri Surf, our wide denim short.")</f>
        <v>Keri Surf, our wide denim short.</v>
      </c>
      <c r="G304" s="11"/>
      <c r="H304" s="11" t="str">
        <f>IFERROR(__xludf.DUMMYFUNCTION("""COMPUTED_VALUE"""),"keri-surf-japan-new-blue")</f>
        <v>keri-surf-japan-new-blue</v>
      </c>
      <c r="I304" s="11"/>
    </row>
    <row r="305">
      <c r="A305" s="11" t="str">
        <f>IFERROR(__xludf.DUMMYFUNCTION("""COMPUTED_VALUE"""),"Livid Unisex")</f>
        <v>Livid Unisex</v>
      </c>
      <c r="B305" s="11" t="str">
        <f>IFERROR(__xludf.DUMMYFUNCTION("""COMPUTED_VALUE"""),"Shorts")</f>
        <v>Shorts</v>
      </c>
      <c r="C305" s="11" t="str">
        <f>IFERROR(__xludf.DUMMYFUNCTION("""COMPUTED_VALUE"""),"keri-surf-japan-gravel")</f>
        <v>keri-surf-japan-gravel</v>
      </c>
      <c r="D305" s="11" t="str">
        <f>IFERROR(__xludf.DUMMYFUNCTION("""COMPUTED_VALUE"""),"Keri Surf Japan Gravel")</f>
        <v>Keri Surf Japan Gravel</v>
      </c>
      <c r="E305" s="11" t="str">
        <f>IFERROR(__xludf.DUMMYFUNCTION("""COMPUTED_VALUE"""),"Made in Portugal
Keri Surf, our wide and long denim short. Based on our unisex wide leg Keri, the Keri Surf is cut right around the knee. Creating the ultimate wide jort, that can be worn both high waisted or low on the hip. 
Made from a 13.8 Oz 100% co"&amp;"tton, dark grey wideloom denim woven by the renowned Japanese denim mill, Collect. Washed down to a rough grey, showing off the wonderful texture of the denim.
Details &amp; Features:
- 13.8 Oz wideloom denim from Collect, Japan
- 100% Sanforized cotton
- 8 "&amp;"Oz ecru canvas pocketing
- Tanned leather patch w/ wax treatment, Made in Italy.
- YKK two-prong silver button fly
- YKK solid copper rivets
- Stitched with durable poly core cotton thread
- Made at Lisama, Portugal")</f>
        <v>Made in Portugal
Keri Surf, our wide and long denim short. Based on our unisex wide leg Keri, the Keri Surf is cut right around the knee. Creating the ultimate wide jort, that can be worn both high waisted or low on the hip. 
Made from a 13.8 Oz 100% cotton, dark grey wideloom denim woven by the renowned Japanese denim mill, Collect. Washed down to a rough grey, showing off the wonderful texture of the denim.
Details &amp; Features:
- 13.8 Oz wideloom denim from Collect, Japan
- 100% Sanforized cotton
- 8 Oz ecru canvas pocketing
- Tanned leather patch w/ wax treatment, Made in Italy.
- YKK two-prong silver button fly
- YKK solid copper rivets
- Stitched with durable poly core cotton thread
- Made at Lisama, Portugal</v>
      </c>
      <c r="F305" s="11" t="str">
        <f>IFERROR(__xludf.DUMMYFUNCTION("""COMPUTED_VALUE"""),"Keri Surf, our wide denim short.")</f>
        <v>Keri Surf, our wide denim short.</v>
      </c>
      <c r="G305" s="11"/>
      <c r="H305" s="11" t="str">
        <f>IFERROR(__xludf.DUMMYFUNCTION("""COMPUTED_VALUE"""),"keri-surf-japan-optic, keri-surf-japan-new-blue, keri-surf-japan-black")</f>
        <v>keri-surf-japan-optic, keri-surf-japan-new-blue, keri-surf-japan-black</v>
      </c>
      <c r="I305" s="11"/>
    </row>
    <row r="306">
      <c r="A306" s="11" t="str">
        <f>IFERROR(__xludf.DUMMYFUNCTION("""COMPUTED_VALUE"""),"Livid Unisex")</f>
        <v>Livid Unisex</v>
      </c>
      <c r="B306" s="11" t="str">
        <f>IFERROR(__xludf.DUMMYFUNCTION("""COMPUTED_VALUE"""),"Shorts")</f>
        <v>Shorts</v>
      </c>
      <c r="C306" s="11" t="str">
        <f>IFERROR(__xludf.DUMMYFUNCTION("""COMPUTED_VALUE"""),"keri-surf-japan-new-blue")</f>
        <v>keri-surf-japan-new-blue</v>
      </c>
      <c r="D306" s="11" t="str">
        <f>IFERROR(__xludf.DUMMYFUNCTION("""COMPUTED_VALUE"""),"Keri Surf Japan New Blue")</f>
        <v>Keri Surf Japan New Blue</v>
      </c>
      <c r="E306" s="11" t="str">
        <f>IFERROR(__xludf.DUMMYFUNCTION("""COMPUTED_VALUE"""),"Made in Portugal
Keri Surf, our wide and long denim short. Based on our unisex wide leg Keri, the Keri Surf is cut right around the knee. Creating the ultimate wide jort, that can be worn both high waisted or low on the hip. 
Made in a solid 13 Oz 100% "&amp;"cotton denim from the renowned Japanese denim mill Kuroki. Soft to the touch, the Japan New Blue is washed to a light lived-in blue finish, for the perfect summer denim look.
Details &amp; Features
- Light blue washed rope-dyed indigo denim
- 13 Oz wideloom "&amp;"denim from Kuroki, Japan
- 100% Sanforized cotton
- Warp dyed in indigo, natural coloured weft
- 8 Oz ecru canvas pocketing
- Tanned leather patch w/ wax treatment, Made in Italy.
- YKK two-prongtack, silver button fly
- YKK solid copper washed-burr rivet"&amp;"s
- Stitched with poly core cotton thread
- Made at Lisama, Portugal")</f>
        <v>Made in Portugal
Keri Surf, our wide and long denim short. Based on our unisex wide leg Keri, the Keri Surf is cut right around the knee. Creating the ultimate wide jort, that can be worn both high waisted or low on the hip. 
Made in a solid 13 Oz 100% cotton denim from the renowned Japanese denim mill Kuroki. Soft to the touch, the Japan New Blue is washed to a light lived-in blue finish, for the perfect summer denim look.
Details &amp; Features
- Light blue washed rope-dyed indigo denim
- 13 Oz wideloom denim from Kuroki, Japan
- 100% Sanforized cotton
- Warp dyed in indigo, natural coloured weft
- 8 Oz ecru canvas pocketing
- Tanned leather patch w/ wax treatment, Made in Italy.
- YKK two-prongtack, silver button fly
- YKK solid copper washed-burr rivets
- Stitched with poly core cotton thread
- Made at Lisama, Portugal</v>
      </c>
      <c r="F306" s="11" t="str">
        <f>IFERROR(__xludf.DUMMYFUNCTION("""COMPUTED_VALUE"""),"Keri Surf, our wide denim short.")</f>
        <v>Keri Surf, our wide denim short.</v>
      </c>
      <c r="G306" s="11"/>
      <c r="H306" s="11" t="str">
        <f>IFERROR(__xludf.DUMMYFUNCTION("""COMPUTED_VALUE"""),"keri-surf-japan-black")</f>
        <v>keri-surf-japan-black</v>
      </c>
      <c r="I306" s="11" t="str">
        <f>IFERROR(__xludf.DUMMYFUNCTION("""COMPUTED_VALUE"""),"nile-white")</f>
        <v>nile-white</v>
      </c>
    </row>
    <row r="307">
      <c r="A307" s="11" t="str">
        <f>IFERROR(__xludf.DUMMYFUNCTION("""COMPUTED_VALUE"""),"Livid Unisex")</f>
        <v>Livid Unisex</v>
      </c>
      <c r="B307" s="11" t="str">
        <f>IFERROR(__xludf.DUMMYFUNCTION("""COMPUTED_VALUE"""),"Shorts")</f>
        <v>Shorts</v>
      </c>
      <c r="C307" s="11" t="str">
        <f>IFERROR(__xludf.DUMMYFUNCTION("""COMPUTED_VALUE"""),"keri-surf-japan-optic")</f>
        <v>keri-surf-japan-optic</v>
      </c>
      <c r="D307" s="11" t="str">
        <f>IFERROR(__xludf.DUMMYFUNCTION("""COMPUTED_VALUE"""),"Keri Surf Japan Optic")</f>
        <v>Keri Surf Japan Optic</v>
      </c>
      <c r="E307" s="11" t="str">
        <f>IFERROR(__xludf.DUMMYFUNCTION("""COMPUTED_VALUE"""),"Made in Portugal
Keri Surf, our wide and long denim short. Based on our unisex wide leg Keri, the Keri Surf is cut right around the knee. Creating the ultimate wide jort, that can be worn both high waisted or low on the hip. 
Made from a 13.8 Oz 100% co"&amp;"tton, crisp white wideloom denim woven by the renowned Japanese denim mill, Collect. A sharp white denim with a solid handfeel.
Details &amp; Features:
- 13,8 Oz wideloom denim from Collect, Japan
- 100% Sanforized cotton
- 8 Oz ecru canvas pocketing
- White"&amp;" leather patch w/ wax treatment, Made in Italy.
- YKK two-prongtack, silver button fly
- YKK solid copper washed-burr rivets
- Stitched with durable poly core cotton thread
- Made at Lisama, Portugal")</f>
        <v>Made in Portugal
Keri Surf, our wide and long denim short. Based on our unisex wide leg Keri, the Keri Surf is cut right around the knee. Creating the ultimate wide jort, that can be worn both high waisted or low on the hip. 
Made from a 13.8 Oz 100% cotton, crisp white wideloom denim woven by the renowned Japanese denim mill, Collect. A sharp white denim with a solid handfeel.
Details &amp; Features:
- 13,8 Oz wideloom denim from Collect, Japan
- 100% Sanforized cotton
- 8 Oz ecru canvas pocketing
- White leather patch w/ wax treatment, Made in Italy.
- YKK two-prongtack, silver button fly
- YKK solid copper washed-burr rivets
- Stitched with durable poly core cotton thread
- Made at Lisama, Portugal</v>
      </c>
      <c r="F307" s="11" t="str">
        <f>IFERROR(__xludf.DUMMYFUNCTION("""COMPUTED_VALUE"""),"Keri Surf, our wide denim short.")</f>
        <v>Keri Surf, our wide denim short.</v>
      </c>
      <c r="G307" s="11"/>
      <c r="H307" s="11" t="str">
        <f>IFERROR(__xludf.DUMMYFUNCTION("""COMPUTED_VALUE"""),"keri-surf-japan-gravel, keri-surf-japan-new-blue, keri-surf-japan-black")</f>
        <v>keri-surf-japan-gravel, keri-surf-japan-new-blue, keri-surf-japan-black</v>
      </c>
      <c r="I307" s="11"/>
    </row>
    <row r="308">
      <c r="A308" s="11" t="str">
        <f>IFERROR(__xludf.DUMMYFUNCTION("""COMPUTED_VALUE"""),"Livid Unisex")</f>
        <v>Livid Unisex</v>
      </c>
      <c r="B308" s="11" t="str">
        <f>IFERROR(__xludf.DUMMYFUNCTION("""COMPUTED_VALUE"""),"Trouser")</f>
        <v>Trouser</v>
      </c>
      <c r="C308" s="11" t="str">
        <f>IFERROR(__xludf.DUMMYFUNCTION("""COMPUTED_VALUE"""),"keri-white-linen")</f>
        <v>keri-white-linen</v>
      </c>
      <c r="D308" s="11" t="str">
        <f>IFERROR(__xludf.DUMMYFUNCTION("""COMPUTED_VALUE"""),"Keri White Linen")</f>
        <v>Keri White Linen</v>
      </c>
      <c r="E308" s="11" t="str">
        <f>IFERROR(__xludf.DUMMYFUNCTION("""COMPUTED_VALUE"""),"Made in Portugal
The Keri Linen is Made in a beautiful 100% Linen quality woven by Klasikine in Lithuania. This particular fabric is light weight, soft and very comfortable to wear. It's pure linen yarns give the Keri Linen a flowy drape and excellent te"&amp;"meprature regulating properties in warm weather.
Keri fits relaxed with a wide silhouette. Starting from the top it is constructed with an open waistband, curved and comfortable through hip and seat with a slightly dropped crotch. Then straight from top "&amp;"of thigh all the way down ending in a slightly flared leg opening.
Keri is perfect for those who like a more relaxed fit with a flared look or for someone with a generous build where normal issues with fitting is a tight waistband. Keri can be worn high "&amp;"in the waist or lower on the hips depending on sizing and preference. To be worn as a high waist trouser, size down compared to your normal jeans size.
The Keri Linen will stretch more around the waist the first few wears than the Keri denim jeans, due t"&amp;"o the looser linen weave. When new, the Keri linen should fit a little tighter in the waistband than how you want it to end up.
Details &amp; Features
- 100% Linen fabric from Klasikine in Lithuania
- 5 Oz ecru canvas pocketing
- Vegetable tanned leather pat"&amp;"ch w/ wax treatment, Made in Italy.
- YKK two-prong silver button and zip fly
- Stitched with poly core cotton thread
- Made at Lisama, Portugal")</f>
        <v>Made in Portugal
The Keri Linen is Made in a beautiful 100% Linen quality woven by Klasikine in Lithuania. This particular fabric is light weight, soft and very comfortable to wear. It's pure linen yarns give the Keri Linen a flowy drape and excellent temeprature regulating properties in warm weather.
Keri fits relaxed with a wide silhouette. Starting from the top it is constructed with an open waistband, curved and comfortable through hip and seat with a slightly dropped crotch. Then straight from top of thigh all the way down ending in a slightly flared leg opening.
Keri is perfect for those who like a more relaxed fit with a flared look or for someone with a generous build where normal issues with fitting is a tight waistband. Keri can be worn high in the waist or lower on the hips depending on sizing and preference. To be worn as a high waist trouser, size down compared to your normal jeans size.
The Keri Linen will stretch more around the waist the first few wears than the Keri denim jeans, due to the looser linen weave. When new, the Keri linen should fit a little tighter in the waistband than how you want it to end up.
Details &amp; Features
- 100% Linen fabric from Klasikine in Lithuania
- 5 Oz ecru canvas pocketing
- Vegetable tanned leather patch w/ wax treatment, Made in Italy.
- YKK two-prong silver button and zip fly
- Stitched with poly core cotton thread
- Made at Lisama, Portugal</v>
      </c>
      <c r="F308" s="11" t="str">
        <f>IFERROR(__xludf.DUMMYFUNCTION("""COMPUTED_VALUE"""),"Our wide straight Keri made in a lightweight, soft and comfortable pure linen.")</f>
        <v>Our wide straight Keri made in a lightweight, soft and comfortable pure linen.</v>
      </c>
      <c r="G308" s="11"/>
      <c r="H308" s="11" t="str">
        <f>IFERROR(__xludf.DUMMYFUNCTION("""COMPUTED_VALUE"""),"keri-linen-stone, keri-linen-java, keri-linen-olive, keri-black-linen, keri-green-linen, keri-magnet-linen")</f>
        <v>keri-linen-stone, keri-linen-java, keri-linen-olive, keri-black-linen, keri-green-linen, keri-magnet-linen</v>
      </c>
      <c r="I308" s="11"/>
    </row>
    <row r="309">
      <c r="A309" s="11" t="str">
        <f>IFERROR(__xludf.DUMMYFUNCTION("""COMPUTED_VALUE"""),"Livid Unisex")</f>
        <v>Livid Unisex</v>
      </c>
      <c r="B309" s="11" t="str">
        <f>IFERROR(__xludf.DUMMYFUNCTION("""COMPUTED_VALUE"""),"Scarf")</f>
        <v>Scarf</v>
      </c>
      <c r="C309" s="11" t="str">
        <f>IFERROR(__xludf.DUMMYFUNCTION("""COMPUTED_VALUE"""),"lerke-black")</f>
        <v>lerke-black</v>
      </c>
      <c r="D309" s="11" t="str">
        <f>IFERROR(__xludf.DUMMYFUNCTION("""COMPUTED_VALUE"""),"Lerke Black")</f>
        <v>Lerke Black</v>
      </c>
      <c r="E309" s="11" t="str">
        <f>IFERROR(__xludf.DUMMYFUNCTION("""COMPUTED_VALUE"""),"Made in China
Brushed alpaca yarn scarf.")</f>
        <v>Made in China
Brushed alpaca yarn scarf.</v>
      </c>
      <c r="F309" s="11" t="str">
        <f>IFERROR(__xludf.DUMMYFUNCTION("""COMPUTED_VALUE"""),"Lerke, our brushed alpaca scarf.")</f>
        <v>Lerke, our brushed alpaca scarf.</v>
      </c>
      <c r="G309" s="11" t="str">
        <f>IFERROR(__xludf.DUMMYFUNCTION("""COMPUTED_VALUE"""),"- 79% Alpaca, 19% Nylon, 2% Spandex
- Alpaca yarn spun by QCYarn, China
- Brushed 7 guage knit
- Soft, elastic and super resistant.
- Knitted by Springair in China")</f>
        <v>- 79% Alpaca, 19% Nylon, 2% Spandex
- Alpaca yarn spun by QCYarn, China
- Brushed 7 guage knit
- Soft, elastic and super resistant.
- Knitted by Springair in China</v>
      </c>
      <c r="H309" s="11" t="str">
        <f>IFERROR(__xludf.DUMMYFUNCTION("""COMPUTED_VALUE"""),"lerke-charcoal, lerke-ivory")</f>
        <v>lerke-charcoal, lerke-ivory</v>
      </c>
      <c r="I309" s="11"/>
    </row>
    <row r="310">
      <c r="A310" s="11" t="str">
        <f>IFERROR(__xludf.DUMMYFUNCTION("""COMPUTED_VALUE"""),"Livid Unisex")</f>
        <v>Livid Unisex</v>
      </c>
      <c r="B310" s="11" t="str">
        <f>IFERROR(__xludf.DUMMYFUNCTION("""COMPUTED_VALUE"""),"Scarf")</f>
        <v>Scarf</v>
      </c>
      <c r="C310" s="11" t="str">
        <f>IFERROR(__xludf.DUMMYFUNCTION("""COMPUTED_VALUE"""),"lerke-charcoal")</f>
        <v>lerke-charcoal</v>
      </c>
      <c r="D310" s="11" t="str">
        <f>IFERROR(__xludf.DUMMYFUNCTION("""COMPUTED_VALUE"""),"Lerke Charcoal")</f>
        <v>Lerke Charcoal</v>
      </c>
      <c r="E310" s="11" t="str">
        <f>IFERROR(__xludf.DUMMYFUNCTION("""COMPUTED_VALUE"""),"Made in China
Brushed alpaca yarn scarf.")</f>
        <v>Made in China
Brushed alpaca yarn scarf.</v>
      </c>
      <c r="F310" s="11" t="str">
        <f>IFERROR(__xludf.DUMMYFUNCTION("""COMPUTED_VALUE"""),"Lerke, our brushed alpaca scarf.")</f>
        <v>Lerke, our brushed alpaca scarf.</v>
      </c>
      <c r="G310" s="11" t="str">
        <f>IFERROR(__xludf.DUMMYFUNCTION("""COMPUTED_VALUE"""),"- 79% Alpaca, 19% Nylon, 2% Spandex
- Alpaca yarn spun by QCYarn, China
- Brushed 7 guage knit
- Soft, elastic and super resistant.
- Knitted by Springair in China")</f>
        <v>- 79% Alpaca, 19% Nylon, 2% Spandex
- Alpaca yarn spun by QCYarn, China
- Brushed 7 guage knit
- Soft, elastic and super resistant.
- Knitted by Springair in China</v>
      </c>
      <c r="H310" s="11" t="str">
        <f>IFERROR(__xludf.DUMMYFUNCTION("""COMPUTED_VALUE"""),"lerke-ivory, lerke-black")</f>
        <v>lerke-ivory, lerke-black</v>
      </c>
      <c r="I310" s="11"/>
    </row>
    <row r="311">
      <c r="A311" s="11" t="str">
        <f>IFERROR(__xludf.DUMMYFUNCTION("""COMPUTED_VALUE"""),"Livid Unisex")</f>
        <v>Livid Unisex</v>
      </c>
      <c r="B311" s="11" t="str">
        <f>IFERROR(__xludf.DUMMYFUNCTION("""COMPUTED_VALUE"""),"Scarf")</f>
        <v>Scarf</v>
      </c>
      <c r="C311" s="11" t="str">
        <f>IFERROR(__xludf.DUMMYFUNCTION("""COMPUTED_VALUE"""),"lerke-ivory")</f>
        <v>lerke-ivory</v>
      </c>
      <c r="D311" s="11" t="str">
        <f>IFERROR(__xludf.DUMMYFUNCTION("""COMPUTED_VALUE"""),"Lerke Ivory")</f>
        <v>Lerke Ivory</v>
      </c>
      <c r="E311" s="11" t="str">
        <f>IFERROR(__xludf.DUMMYFUNCTION("""COMPUTED_VALUE"""),"Made in China
Brushed alpaca yarn scarf.")</f>
        <v>Made in China
Brushed alpaca yarn scarf.</v>
      </c>
      <c r="F311" s="11" t="str">
        <f>IFERROR(__xludf.DUMMYFUNCTION("""COMPUTED_VALUE"""),"Lerke, our brushed alpaca scarf.")</f>
        <v>Lerke, our brushed alpaca scarf.</v>
      </c>
      <c r="G311" s="11" t="str">
        <f>IFERROR(__xludf.DUMMYFUNCTION("""COMPUTED_VALUE"""),"- 79% Alpaca, 19% Nylon, 2% Spandex
- Alpaca yarn spun by QCYarn, China
- Brushed 7 guage knit
- Soft, elastic and super resistant.
- Knitted by Springair in China")</f>
        <v>- 79% Alpaca, 19% Nylon, 2% Spandex
- Alpaca yarn spun by QCYarn, China
- Brushed 7 guage knit
- Soft, elastic and super resistant.
- Knitted by Springair in China</v>
      </c>
      <c r="H311" s="11" t="str">
        <f>IFERROR(__xludf.DUMMYFUNCTION("""COMPUTED_VALUE"""),"lerke-black, lerke-charcoal")</f>
        <v>lerke-black, lerke-charcoal</v>
      </c>
      <c r="I311" s="11"/>
    </row>
    <row r="312">
      <c r="A312" s="11" t="str">
        <f>IFERROR(__xludf.DUMMYFUNCTION("""COMPUTED_VALUE"""),"Livid Unisex")</f>
        <v>Livid Unisex</v>
      </c>
      <c r="B312" s="11" t="str">
        <f>IFERROR(__xludf.DUMMYFUNCTION("""COMPUTED_VALUE"""),"Knitwear")</f>
        <v>Knitwear</v>
      </c>
      <c r="C312" s="11" t="str">
        <f>IFERROR(__xludf.DUMMYFUNCTION("""COMPUTED_VALUE"""),"moe-paper-yarn-black")</f>
        <v>moe-paper-yarn-black</v>
      </c>
      <c r="D312" s="11" t="str">
        <f>IFERROR(__xludf.DUMMYFUNCTION("""COMPUTED_VALUE"""),"Moe Paper Yarn Black")</f>
        <v>Moe Paper Yarn Black</v>
      </c>
      <c r="E312" s="11" t="str">
        <f>IFERROR(__xludf.DUMMYFUNCTION("""COMPUTED_VALUE"""),"Made in China
Moe, our paper yarn sweater. Knitted in an open and textured rib with a sheer quality. Designed with an open neckline, dropped shoulders, a loose body and wide and long sleeves. 
Knitted in a paper, or washi blend yarn that gives the garme"&amp;"nt a heavy drape, and a distinct tactile handfeel that is cool on the skin, with excellent moisture wicking properties. A statement, yet versatile knit for spring and summer, to be worn layered, or straight on the skin. 
Details
- 35% cotton, 33% paper, "&amp;"27% viscose, 6% linen
- Paper yarn spun by Topline
- Cool, light and breathable 
- Knitted by Springair in China")</f>
        <v>Made in China
Moe, our paper yarn sweater. Knitted in an open and textured rib with a sheer quality. Designed with an open neckline, dropped shoulders, a loose body and wide and long sleeves. 
Knitted in a paper, or washi blend yarn that gives the garment a heavy drape, and a distinct tactile handfeel that is cool on the skin, with excellent moisture wicking properties. A statement, yet versatile knit for spring and summer, to be worn layered, or straight on the skin. 
Details
- 35% cotton, 33% paper, 27% viscose, 6% linen
- Paper yarn spun by Topline
- Cool, light and breathable 
- Knitted by Springair in China</v>
      </c>
      <c r="F312" s="11" t="str">
        <f>IFERROR(__xludf.DUMMYFUNCTION("""COMPUTED_VALUE"""),"Moe, our knitted paper yarn top.")</f>
        <v>Moe, our knitted paper yarn top.</v>
      </c>
      <c r="G312" s="11"/>
      <c r="H312" s="11" t="str">
        <f>IFERROR(__xludf.DUMMYFUNCTION("""COMPUTED_VALUE"""),"moe-paper-yarn-rose")</f>
        <v>moe-paper-yarn-rose</v>
      </c>
      <c r="I312" s="11"/>
    </row>
    <row r="313">
      <c r="A313" s="11" t="str">
        <f>IFERROR(__xludf.DUMMYFUNCTION("""COMPUTED_VALUE"""),"Livid Unisex")</f>
        <v>Livid Unisex</v>
      </c>
      <c r="B313" s="11" t="str">
        <f>IFERROR(__xludf.DUMMYFUNCTION("""COMPUTED_VALUE"""),"Knitwear")</f>
        <v>Knitwear</v>
      </c>
      <c r="C313" s="11" t="str">
        <f>IFERROR(__xludf.DUMMYFUNCTION("""COMPUTED_VALUE"""),"moe-paper-yarn-rose")</f>
        <v>moe-paper-yarn-rose</v>
      </c>
      <c r="D313" s="11" t="str">
        <f>IFERROR(__xludf.DUMMYFUNCTION("""COMPUTED_VALUE"""),"Moe Paper Yarn Rose")</f>
        <v>Moe Paper Yarn Rose</v>
      </c>
      <c r="E313" s="11" t="str">
        <f>IFERROR(__xludf.DUMMYFUNCTION("""COMPUTED_VALUE"""),"Made in China
Moe, our paper yarn sweater. Knitted in an open and textured rib with a sheer quality. Designed with an open neckline, dropped shoulders, a loose body and wide and long sleeves. 
Knitted in a paper, or washi blend yarn that gives the garme"&amp;"nt a heavy drape, and a distinct tactile handfeel that is cool on the skin, with excellent moisture wicking properties. A statement, yet versatile knit for spring and summer, to be worn layered, or straight on the skin. 
Details
- 35% cotton, 33% paper, "&amp;"27% viscose, 6% linen
- Paper yarn spun by Topline
- Cool, light and breathable 
- Knitted by Springair in China")</f>
        <v>Made in China
Moe, our paper yarn sweater. Knitted in an open and textured rib with a sheer quality. Designed with an open neckline, dropped shoulders, a loose body and wide and long sleeves. 
Knitted in a paper, or washi blend yarn that gives the garment a heavy drape, and a distinct tactile handfeel that is cool on the skin, with excellent moisture wicking properties. A statement, yet versatile knit for spring and summer, to be worn layered, or straight on the skin. 
Details
- 35% cotton, 33% paper, 27% viscose, 6% linen
- Paper yarn spun by Topline
- Cool, light and breathable 
- Knitted by Springair in China</v>
      </c>
      <c r="F313" s="11" t="str">
        <f>IFERROR(__xludf.DUMMYFUNCTION("""COMPUTED_VALUE"""),"Moe, our knitted paper yarn top.")</f>
        <v>Moe, our knitted paper yarn top.</v>
      </c>
      <c r="G313" s="11"/>
      <c r="H313" s="11" t="str">
        <f>IFERROR(__xludf.DUMMYFUNCTION("""COMPUTED_VALUE"""),"moe-paper-yarn-black")</f>
        <v>moe-paper-yarn-black</v>
      </c>
      <c r="I313" s="11"/>
    </row>
    <row r="314">
      <c r="A314" s="11" t="str">
        <f>IFERROR(__xludf.DUMMYFUNCTION("""COMPUTED_VALUE"""),"Livid Unisex")</f>
        <v>Livid Unisex</v>
      </c>
      <c r="B314" s="11" t="str">
        <f>IFERROR(__xludf.DUMMYFUNCTION("""COMPUTED_VALUE"""),"Coat")</f>
        <v>Coat</v>
      </c>
      <c r="C314" s="11" t="str">
        <f>IFERROR(__xludf.DUMMYFUNCTION("""COMPUTED_VALUE"""),"nash-black-1")</f>
        <v>nash-black-1</v>
      </c>
      <c r="D314" s="11" t="str">
        <f>IFERROR(__xludf.DUMMYFUNCTION("""COMPUTED_VALUE"""),"Nash Black")</f>
        <v>Nash Black</v>
      </c>
      <c r="E314" s="11" t="str">
        <f>IFERROR(__xludf.DUMMYFUNCTION("""COMPUTED_VALUE"""),"Made in Portugal
Above the knee in length, with slightly wide shoulders so that you comfortably can wear it over heavy knits or even a suit. A classic silhouette, with a flattering volume. When the wind gets really icy, Nash protects your neck with a shi"&amp;"eld shaped throat lash.
Made in an incredibly soft, brushed 100% recycled superfine wool fabric made by Manteco in Tuscany, Italy, resulting in a hefty, warm but still lightweight coat. Recycled superfine wool fibres are carded and spun with traditional "&amp;"methods, and the fabric is woven with a special construction that allows for the strong brushing process creating the long hair finish. 
Designed to fit unisex, the sizes ""XS/S"" and ""M/L"" are tuned to traditional women's sleeve lengths, and slightly "&amp;"slimmer at the shoulders. The regular sizes S – XL are traditional men's proportions.")</f>
        <v>Made in Portugal
Above the knee in length, with slightly wide shoulders so that you comfortably can wear it over heavy knits or even a suit. A classic silhouette, with a flattering volume. When the wind gets really icy, Nash protects your neck with a shield shaped throat lash.
Made in an incredibly soft, brushed 100% recycled superfine wool fabric made by Manteco in Tuscany, Italy, resulting in a hefty, warm but still lightweight coat. Recycled superfine wool fibres are carded and spun with traditional methods, and the fabric is woven with a special construction that allows for the strong brushing process creating the long hair finish. 
Designed to fit unisex, the sizes "XS/S" and "M/L" are tuned to traditional women's sleeve lengths, and slightly slimmer at the shoulders. The regular sizes S – XL are traditional men's proportions.</v>
      </c>
      <c r="F314" s="11" t="str">
        <f>IFERROR(__xludf.DUMMYFUNCTION("""COMPUTED_VALUE"""),"Nash, our mid-length winter overcoat.")</f>
        <v>Nash, our mid-length winter overcoat.</v>
      </c>
      <c r="G314" s="11" t="str">
        <f>IFERROR(__xludf.DUMMYFUNCTION("""COMPUTED_VALUE"""),"- 680 gsm brushed recycled wool fabric spun and woven by Manteco in Italy
- 100% recycled superfine wool, 17-19 μm
- Yarns made through the traditional carded spinning process
- Made without dyeing
- Mother of pearl buttons made by Louropel in Italy
- Sti"&amp;"tched with durable poly-core cotton thread
- Cut &amp; sewn by DIA in Portugal")</f>
        <v>- 680 gsm brushed recycled wool fabric spun and woven by Manteco in Italy
- 100% recycled superfine wool, 17-19 μm
- Yarns made through the traditional carded spinning process
- Made without dyeing
- Mother of pearl buttons made by Louropel in Italy
- Stitched with durable poly-core cotton thread
- Cut &amp; sewn by DIA in Portugal</v>
      </c>
      <c r="H314" s="11" t="str">
        <f>IFERROR(__xludf.DUMMYFUNCTION("""COMPUTED_VALUE"""),"nash-taupe")</f>
        <v>nash-taupe</v>
      </c>
      <c r="I314" s="11" t="str">
        <f>IFERROR(__xludf.DUMMYFUNCTION("""COMPUTED_VALUE"""),"keri-japan-sandbox, avoriaz-velours-graphite, kilmer-black-fluff")</f>
        <v>keri-japan-sandbox, avoriaz-velours-graphite, kilmer-black-fluff</v>
      </c>
    </row>
    <row r="315">
      <c r="A315" s="11" t="str">
        <f>IFERROR(__xludf.DUMMYFUNCTION("""COMPUTED_VALUE"""),"Livid Unisex")</f>
        <v>Livid Unisex</v>
      </c>
      <c r="B315" s="11" t="str">
        <f>IFERROR(__xludf.DUMMYFUNCTION("""COMPUTED_VALUE"""),"Jacket")</f>
        <v>Jacket</v>
      </c>
      <c r="C315" s="11" t="str">
        <f>IFERROR(__xludf.DUMMYFUNCTION("""COMPUTED_VALUE"""),"pen-black-tech")</f>
        <v>pen-black-tech</v>
      </c>
      <c r="D315" s="11" t="str">
        <f>IFERROR(__xludf.DUMMYFUNCTION("""COMPUTED_VALUE"""),"Pen Black Tech")</f>
        <v>Pen Black Tech</v>
      </c>
      <c r="E315" s="11" t="str">
        <f>IFERROR(__xludf.DUMMYFUNCTION("""COMPUTED_VALUE"""),"Made in Portugal
Combining a boxy fit with versitile functionality, our Pen jacket is a warming short jacket in cold autumn weather, and transtions to a perfect midlayer under a coat in the coldest winters. 
Made with an ultralight technical material ma"&amp;"de by Olmetex in Italy, and insulated with Primaloft silver, the Pen jacket protects you against the elements with comfortable warmth. The boxy fit with dropped shoulders, a relaxed body and slightly cropped length makes it a perfect layering piece. Riri "&amp;"button fastening at the cuffs and side seams let you easily adjust the fit. Hand warmer pockets at the waist.")</f>
        <v>Made in Portugal
Combining a boxy fit with versitile functionality, our Pen jacket is a warming short jacket in cold autumn weather, and transtions to a perfect midlayer under a coat in the coldest winters. 
Made with an ultralight technical material made by Olmetex in Italy, and insulated with Primaloft silver, the Pen jacket protects you against the elements with comfortable warmth. The boxy fit with dropped shoulders, a relaxed body and slightly cropped length makes it a perfect layering piece. Riri button fastening at the cuffs and side seams let you easily adjust the fit. Hand warmer pockets at the waist.</v>
      </c>
      <c r="F315" s="11" t="str">
        <f>IFERROR(__xludf.DUMMYFUNCTION("""COMPUTED_VALUE"""),"Pen, our ultralight insulated jacket.")</f>
        <v>Pen, our ultralight insulated jacket.</v>
      </c>
      <c r="G315" s="11" t="str">
        <f>IFERROR(__xludf.DUMMYFUNCTION("""COMPUTED_VALUE"""),"- Technical fabric made by Olmetex, Italy
- 100% polyamide fabric
- Ultralight, breathable and water repellent
- Insulated with Primaloft Silver
- Two-way silver zipper made by YKK
- Riri snap button fastening at cuffs and side hems
- Made at Stork in Por"&amp;"tugal")</f>
        <v>- Technical fabric made by Olmetex, Italy
- 100% polyamide fabric
- Ultralight, breathable and water repellent
- Insulated with Primaloft Silver
- Two-way silver zipper made by YKK
- Riri snap button fastening at cuffs and side hems
- Made at Stork in Portugal</v>
      </c>
      <c r="H315" s="11" t="str">
        <f>IFERROR(__xludf.DUMMYFUNCTION("""COMPUTED_VALUE"""),"pen-eclipse-tech")</f>
        <v>pen-eclipse-tech</v>
      </c>
      <c r="I315" s="11"/>
    </row>
    <row r="316">
      <c r="A316" s="11" t="str">
        <f>IFERROR(__xludf.DUMMYFUNCTION("""COMPUTED_VALUE"""),"Livid Unisex")</f>
        <v>Livid Unisex</v>
      </c>
      <c r="B316" s="11" t="str">
        <f>IFERROR(__xludf.DUMMYFUNCTION("""COMPUTED_VALUE"""),"Jacket")</f>
        <v>Jacket</v>
      </c>
      <c r="C316" s="11" t="str">
        <f>IFERROR(__xludf.DUMMYFUNCTION("""COMPUTED_VALUE"""),"pen-eclipse-tech")</f>
        <v>pen-eclipse-tech</v>
      </c>
      <c r="D316" s="11" t="str">
        <f>IFERROR(__xludf.DUMMYFUNCTION("""COMPUTED_VALUE"""),"Pen Eclipse Tech")</f>
        <v>Pen Eclipse Tech</v>
      </c>
      <c r="E316" s="11" t="str">
        <f>IFERROR(__xludf.DUMMYFUNCTION("""COMPUTED_VALUE"""),"Made in Portugal
Combining a boxy fit with versitile functionality, our Pen jacket is a warming short jacket in cold autumn weather, and transtions to a perfect midlayer under a coat in the coldest winters. 
Made with an ultralight technical material ma"&amp;"de by Olmetex in Italy, and insulated with Primaloft silver, the Pen jacket protects you against the elements with comfortable warmth. The boxy fit with dropped shoulders, a relaxed body and slightly cropped length makes it a perfect layering piece. Riri "&amp;"button fastening at the cuffs and side seams let you easily adjust the fit. Hand warmer pockets at the waist.")</f>
        <v>Made in Portugal
Combining a boxy fit with versitile functionality, our Pen jacket is a warming short jacket in cold autumn weather, and transtions to a perfect midlayer under a coat in the coldest winters. 
Made with an ultralight technical material made by Olmetex in Italy, and insulated with Primaloft silver, the Pen jacket protects you against the elements with comfortable warmth. The boxy fit with dropped shoulders, a relaxed body and slightly cropped length makes it a perfect layering piece. Riri button fastening at the cuffs and side seams let you easily adjust the fit. Hand warmer pockets at the waist.</v>
      </c>
      <c r="F316" s="11" t="str">
        <f>IFERROR(__xludf.DUMMYFUNCTION("""COMPUTED_VALUE"""),"Pen, our ultralight insulated jacket.")</f>
        <v>Pen, our ultralight insulated jacket.</v>
      </c>
      <c r="G316" s="11" t="str">
        <f>IFERROR(__xludf.DUMMYFUNCTION("""COMPUTED_VALUE"""),"- Technical fabric made by Olmetex, Italy
- 100% polyamide fabric
- Ultralight, breathable and water repellent
- Insulated with Primaloft Silver
- Two-way silver zipper made by YKK
- Riri snap button fastening at cuffs and side hems
- Made at Stork in Por"&amp;"tugal")</f>
        <v>- Technical fabric made by Olmetex, Italy
- 100% polyamide fabric
- Ultralight, breathable and water repellent
- Insulated with Primaloft Silver
- Two-way silver zipper made by YKK
- Riri snap button fastening at cuffs and side hems
- Made at Stork in Portugal</v>
      </c>
      <c r="H316" s="11" t="str">
        <f>IFERROR(__xludf.DUMMYFUNCTION("""COMPUTED_VALUE"""),"pen-black-tech")</f>
        <v>pen-black-tech</v>
      </c>
      <c r="I316" s="11"/>
    </row>
    <row r="317">
      <c r="A317" s="11" t="str">
        <f>IFERROR(__xludf.DUMMYFUNCTION("""COMPUTED_VALUE"""),"Livid Unisex")</f>
        <v>Livid Unisex</v>
      </c>
      <c r="B317" s="11" t="str">
        <f>IFERROR(__xludf.DUMMYFUNCTION("""COMPUTED_VALUE"""),"Beanie")</f>
        <v>Beanie</v>
      </c>
      <c r="C317" s="11" t="str">
        <f>IFERROR(__xludf.DUMMYFUNCTION("""COMPUTED_VALUE"""),"plath-black-merino-1")</f>
        <v>plath-black-merino-1</v>
      </c>
      <c r="D317" s="11" t="str">
        <f>IFERROR(__xludf.DUMMYFUNCTION("""COMPUTED_VALUE"""),"Plath Black Merino")</f>
        <v>Plath Black Merino</v>
      </c>
      <c r="E317" s="11" t="str">
        <f>IFERROR(__xludf.DUMMYFUNCTION("""COMPUTED_VALUE"""),"Made in China
The single fold Plath beanie strikes the perfect balance as a compact beanie while still providing important coverage for the coldest days.
Made from a beautiful lightweight 100% extra fine merino wool, spun by the renowned European wool s"&amp;"pinner Biella Yarn. Knits made with these yarns stand out due to its extraordinary handfeel, breathability, and the natural brilliance of its colours.
Details
- 100% extra fine merino wool
- Merino wool yarn spun in Europe by Biella Yarn
- Soft, elastic "&amp;"and super resistant.
- Single fold beanie
- Knitted by Springair in China")</f>
        <v>Made in China
The single fold Plath beanie strikes the perfect balance as a compact beanie while still providing important coverage for the coldest days.
Made from a beautiful lightweight 100% extra fine merino wool, spun by the renowned European wool spinner Biella Yarn. Knits made with these yarns stand out due to its extraordinary handfeel, breathability, and the natural brilliance of its colours.
Details
- 100% extra fine merino wool
- Merino wool yarn spun in Europe by Biella Yarn
- Soft, elastic and super resistant.
- Single fold beanie
- Knitted by Springair in China</v>
      </c>
      <c r="F317" s="11" t="str">
        <f>IFERROR(__xludf.DUMMYFUNCTION("""COMPUTED_VALUE"""),"Our single fold merino beanie, Plath.")</f>
        <v>Our single fold merino beanie, Plath.</v>
      </c>
      <c r="G317" s="11"/>
      <c r="H317" s="11" t="str">
        <f>IFERROR(__xludf.DUMMYFUNCTION("""COMPUTED_VALUE"""),"plath-charcoal-merino")</f>
        <v>plath-charcoal-merino</v>
      </c>
      <c r="I317" s="11"/>
    </row>
    <row r="318">
      <c r="A318" s="11" t="str">
        <f>IFERROR(__xludf.DUMMYFUNCTION("""COMPUTED_VALUE"""),"Livid Unisex")</f>
        <v>Livid Unisex</v>
      </c>
      <c r="B318" s="11" t="str">
        <f>IFERROR(__xludf.DUMMYFUNCTION("""COMPUTED_VALUE"""),"Beanie")</f>
        <v>Beanie</v>
      </c>
      <c r="C318" s="11" t="str">
        <f>IFERROR(__xludf.DUMMYFUNCTION("""COMPUTED_VALUE"""),"plath-blue-mohair-mix")</f>
        <v>plath-blue-mohair-mix</v>
      </c>
      <c r="D318" s="11" t="str">
        <f>IFERROR(__xludf.DUMMYFUNCTION("""COMPUTED_VALUE"""),"Plath Blue Mohair Mix")</f>
        <v>Plath Blue Mohair Mix</v>
      </c>
      <c r="E318" s="11" t="str">
        <f>IFERROR(__xludf.DUMMYFUNCTION("""COMPUTED_VALUE"""),"Made in China
The single fold Plath beanie strikes the perfect balance as a compact beanie while still providing important coverage for the coldest days.
Made in a beautiful fuzzy mohair combined with extra fine merino wool. The two pure fiber yarns are"&amp;" dyed in complimentary colours, to acheive a subtle marl.
Details
- 50% mohair, 50% extra fine merino wool
- Mohair yarn spun in China by Topline
- Merino wool yarn spun in Europe by Biella Yarn
- Single fold beanie
- Knitted by Springair in China")</f>
        <v>Made in China
The single fold Plath beanie strikes the perfect balance as a compact beanie while still providing important coverage for the coldest days.
Made in a beautiful fuzzy mohair combined with extra fine merino wool. The two pure fiber yarns are dyed in complimentary colours, to acheive a subtle marl.
Details
- 50% mohair, 50% extra fine merino wool
- Mohair yarn spun in China by Topline
- Merino wool yarn spun in Europe by Biella Yarn
- Single fold beanie
- Knitted by Springair in China</v>
      </c>
      <c r="F318" s="11" t="str">
        <f>IFERROR(__xludf.DUMMYFUNCTION("""COMPUTED_VALUE"""),"Our single fold mohair beanie, Plath.")</f>
        <v>Our single fold mohair beanie, Plath.</v>
      </c>
      <c r="G318" s="11"/>
      <c r="H318" s="11" t="str">
        <f>IFERROR(__xludf.DUMMYFUNCTION("""COMPUTED_VALUE"""),"plath-brown-mohair-mix-1, plath-grey-mohair-mix, plath-olive-mohair-mix, plath-spice-mohair-mix-1, plath-taupe-mohair-mix, plath-black-merino-1, plath-charcoal-merino")</f>
        <v>plath-brown-mohair-mix-1, plath-grey-mohair-mix, plath-olive-mohair-mix, plath-spice-mohair-mix-1, plath-taupe-mohair-mix, plath-black-merino-1, plath-charcoal-merino</v>
      </c>
      <c r="I318" s="11"/>
    </row>
    <row r="319">
      <c r="A319" s="11" t="str">
        <f>IFERROR(__xludf.DUMMYFUNCTION("""COMPUTED_VALUE"""),"Livid Unisex")</f>
        <v>Livid Unisex</v>
      </c>
      <c r="B319" s="11" t="str">
        <f>IFERROR(__xludf.DUMMYFUNCTION("""COMPUTED_VALUE"""),"Beanie")</f>
        <v>Beanie</v>
      </c>
      <c r="C319" s="11" t="str">
        <f>IFERROR(__xludf.DUMMYFUNCTION("""COMPUTED_VALUE"""),"plath-brown-mohair-mix-1")</f>
        <v>plath-brown-mohair-mix-1</v>
      </c>
      <c r="D319" s="11" t="str">
        <f>IFERROR(__xludf.DUMMYFUNCTION("""COMPUTED_VALUE"""),"Plath Brown Mohair Mix")</f>
        <v>Plath Brown Mohair Mix</v>
      </c>
      <c r="E319" s="11" t="str">
        <f>IFERROR(__xludf.DUMMYFUNCTION("""COMPUTED_VALUE"""),"Made in China
The single fold Plath beanie strikes the perfect balance as a compact beanie while still providing important coverage for the coldest days.
Made in a beautiful fuzzy mohair combined with extra fine merino wool. The two pure fiber yarns are"&amp;" dyed in complimentary colours, to acheive a subtle marl.
Details
- 50% mohair, 50% extra fine merino wool
- Mohair yarn spun in China by Topline
- Merino wool yarn spun in Europe by Biella Yarn
- Single fold beanie
- Knitted by Springair in China")</f>
        <v>Made in China
The single fold Plath beanie strikes the perfect balance as a compact beanie while still providing important coverage for the coldest days.
Made in a beautiful fuzzy mohair combined with extra fine merino wool. The two pure fiber yarns are dyed in complimentary colours, to acheive a subtle marl.
Details
- 50% mohair, 50% extra fine merino wool
- Mohair yarn spun in China by Topline
- Merino wool yarn spun in Europe by Biella Yarn
- Single fold beanie
- Knitted by Springair in China</v>
      </c>
      <c r="F319" s="11" t="str">
        <f>IFERROR(__xludf.DUMMYFUNCTION("""COMPUTED_VALUE"""),"Our single fold mohair beanie, Plath.")</f>
        <v>Our single fold mohair beanie, Plath.</v>
      </c>
      <c r="G319" s="11"/>
      <c r="H319" s="11" t="str">
        <f>IFERROR(__xludf.DUMMYFUNCTION("""COMPUTED_VALUE"""),"plath-blue-mohair-mix, plath-grey-mohair-mix, plath-olive-mohair-mix, plath-spice-mohair-mix-1, plath-taupe-mohair-mix, plath-black-merino-1, plath-charcoal-merino")</f>
        <v>plath-blue-mohair-mix, plath-grey-mohair-mix, plath-olive-mohair-mix, plath-spice-mohair-mix-1, plath-taupe-mohair-mix, plath-black-merino-1, plath-charcoal-merino</v>
      </c>
      <c r="I319" s="11"/>
    </row>
    <row r="320">
      <c r="A320" s="11" t="str">
        <f>IFERROR(__xludf.DUMMYFUNCTION("""COMPUTED_VALUE"""),"Livid Unisex")</f>
        <v>Livid Unisex</v>
      </c>
      <c r="B320" s="11" t="str">
        <f>IFERROR(__xludf.DUMMYFUNCTION("""COMPUTED_VALUE"""),"Beanie")</f>
        <v>Beanie</v>
      </c>
      <c r="C320" s="11" t="str">
        <f>IFERROR(__xludf.DUMMYFUNCTION("""COMPUTED_VALUE"""),"plath-charcoal-merino")</f>
        <v>plath-charcoal-merino</v>
      </c>
      <c r="D320" s="11" t="str">
        <f>IFERROR(__xludf.DUMMYFUNCTION("""COMPUTED_VALUE"""),"Plath Charcoal Merino")</f>
        <v>Plath Charcoal Merino</v>
      </c>
      <c r="E320" s="11" t="str">
        <f>IFERROR(__xludf.DUMMYFUNCTION("""COMPUTED_VALUE"""),"Made in China
The single fold Plath beanie strikes the perfect balance as a compact beanie while still providing important coverage for the coldest days.
Made from a beautiful lightweight 100% extra fine merino wool, spun by the renowned European wool s"&amp;"pinner Biella Yarn. Knits made with these yarns stand out due to its extraordinary handfeel, breathability, and the natural brilliance of its colours.
Details
- 100% extra fine merino wool
- Merino wool yarn spun in Europe by Biella Yarn
- Soft, elastic "&amp;"and super resistant.
- Single fold beanie
- Knitted by Springair in China")</f>
        <v>Made in China
The single fold Plath beanie strikes the perfect balance as a compact beanie while still providing important coverage for the coldest days.
Made from a beautiful lightweight 100% extra fine merino wool, spun by the renowned European wool spinner Biella Yarn. Knits made with these yarns stand out due to its extraordinary handfeel, breathability, and the natural brilliance of its colours.
Details
- 100% extra fine merino wool
- Merino wool yarn spun in Europe by Biella Yarn
- Soft, elastic and super resistant.
- Single fold beanie
- Knitted by Springair in China</v>
      </c>
      <c r="F320" s="11" t="str">
        <f>IFERROR(__xludf.DUMMYFUNCTION("""COMPUTED_VALUE"""),"Our single fold merino beanie, Plath.")</f>
        <v>Our single fold merino beanie, Plath.</v>
      </c>
      <c r="G320" s="11"/>
      <c r="H320" s="11" t="str">
        <f>IFERROR(__xludf.DUMMYFUNCTION("""COMPUTED_VALUE"""),"plath-black-merino-1")</f>
        <v>plath-black-merino-1</v>
      </c>
      <c r="I320" s="11"/>
    </row>
    <row r="321">
      <c r="A321" s="11" t="str">
        <f>IFERROR(__xludf.DUMMYFUNCTION("""COMPUTED_VALUE"""),"Livid Unisex")</f>
        <v>Livid Unisex</v>
      </c>
      <c r="B321" s="11" t="str">
        <f>IFERROR(__xludf.DUMMYFUNCTION("""COMPUTED_VALUE"""),"Beanie")</f>
        <v>Beanie</v>
      </c>
      <c r="C321" s="11" t="str">
        <f>IFERROR(__xludf.DUMMYFUNCTION("""COMPUTED_VALUE"""),"plath-grey-mohair-mix")</f>
        <v>plath-grey-mohair-mix</v>
      </c>
      <c r="D321" s="11" t="str">
        <f>IFERROR(__xludf.DUMMYFUNCTION("""COMPUTED_VALUE"""),"Plath Grey Mohair Mix")</f>
        <v>Plath Grey Mohair Mix</v>
      </c>
      <c r="E321" s="11" t="str">
        <f>IFERROR(__xludf.DUMMYFUNCTION("""COMPUTED_VALUE"""),"Made in China
The single fold Plath beanie strikes the perfect balance as a compact beanie while still providing important coverage for the coldest days.
Made in a beautiful fuzzy mohair combined with extra fine merino wool. The two pure fiber yarns are"&amp;" dyed in complimentary colours, to acheive a subtle marl.
Details
- 50% mohair, 50% extra fine merino wool
- Mohair yarn spun in China by Topline
- Merino wool yarn spun in Europe by Biella Yarn
- Single fold beanie
- Knitted by Springair in China")</f>
        <v>Made in China
The single fold Plath beanie strikes the perfect balance as a compact beanie while still providing important coverage for the coldest days.
Made in a beautiful fuzzy mohair combined with extra fine merino wool. The two pure fiber yarns are dyed in complimentary colours, to acheive a subtle marl.
Details
- 50% mohair, 50% extra fine merino wool
- Mohair yarn spun in China by Topline
- Merino wool yarn spun in Europe by Biella Yarn
- Single fold beanie
- Knitted by Springair in China</v>
      </c>
      <c r="F321" s="11" t="str">
        <f>IFERROR(__xludf.DUMMYFUNCTION("""COMPUTED_VALUE"""),"Our single fold mohair beanie, Plath.")</f>
        <v>Our single fold mohair beanie, Plath.</v>
      </c>
      <c r="G321" s="11"/>
      <c r="H321" s="11" t="str">
        <f>IFERROR(__xludf.DUMMYFUNCTION("""COMPUTED_VALUE"""),"plath-blue-mohair-mix, plath-brown-mohair-mix-1, plath-olive-mohair-mix, plath-spice-mohair-mix-1, plath-taupe-mohair-mix, plath-black-merino-1, plath-charcoal-merino")</f>
        <v>plath-blue-mohair-mix, plath-brown-mohair-mix-1, plath-olive-mohair-mix, plath-spice-mohair-mix-1, plath-taupe-mohair-mix, plath-black-merino-1, plath-charcoal-merino</v>
      </c>
      <c r="I321" s="11"/>
    </row>
    <row r="322">
      <c r="A322" s="11" t="str">
        <f>IFERROR(__xludf.DUMMYFUNCTION("""COMPUTED_VALUE"""),"Livid Unisex")</f>
        <v>Livid Unisex</v>
      </c>
      <c r="B322" s="11" t="str">
        <f>IFERROR(__xludf.DUMMYFUNCTION("""COMPUTED_VALUE"""),"Beanie")</f>
        <v>Beanie</v>
      </c>
      <c r="C322" s="11" t="str">
        <f>IFERROR(__xludf.DUMMYFUNCTION("""COMPUTED_VALUE"""),"plath-olive-mohair-mix")</f>
        <v>plath-olive-mohair-mix</v>
      </c>
      <c r="D322" s="11" t="str">
        <f>IFERROR(__xludf.DUMMYFUNCTION("""COMPUTED_VALUE"""),"Plath Olive Mohair Mix")</f>
        <v>Plath Olive Mohair Mix</v>
      </c>
      <c r="E322" s="11" t="str">
        <f>IFERROR(__xludf.DUMMYFUNCTION("""COMPUTED_VALUE"""),"Made in China
The single fold Plath beanie strikes the perfect balance as a compact beanie while still providing important coverage for the coldest days.
Made in a beautiful fuzzy mohair combined with extra fine merino wool. The two pure fiber yarns are"&amp;" dyed in complimentary colours, to acheive a subtle marl.
Details
- 50% mohair, 50% extra fine merino wool
- Mohair yarn spun in China by Topline
- Merino wool yarn spun in Europe by Biella Yarn
- Single fold beanie
- Knitted by Springair in China")</f>
        <v>Made in China
The single fold Plath beanie strikes the perfect balance as a compact beanie while still providing important coverage for the coldest days.
Made in a beautiful fuzzy mohair combined with extra fine merino wool. The two pure fiber yarns are dyed in complimentary colours, to acheive a subtle marl.
Details
- 50% mohair, 50% extra fine merino wool
- Mohair yarn spun in China by Topline
- Merino wool yarn spun in Europe by Biella Yarn
- Single fold beanie
- Knitted by Springair in China</v>
      </c>
      <c r="F322" s="11" t="str">
        <f>IFERROR(__xludf.DUMMYFUNCTION("""COMPUTED_VALUE"""),"Our single fold mohair beanie, Plath.")</f>
        <v>Our single fold mohair beanie, Plath.</v>
      </c>
      <c r="G322" s="11"/>
      <c r="H322" s="11" t="str">
        <f>IFERROR(__xludf.DUMMYFUNCTION("""COMPUTED_VALUE"""),"plath-blue-mohair-mix, plath-brown-mohair-mix-1, plath-grey-mohair-mix, plath-spice-mohair-mix-1, plath-taupe-mohair-mix, plath-black-merino-1, plath-charcoal-merino")</f>
        <v>plath-blue-mohair-mix, plath-brown-mohair-mix-1, plath-grey-mohair-mix, plath-spice-mohair-mix-1, plath-taupe-mohair-mix, plath-black-merino-1, plath-charcoal-merino</v>
      </c>
      <c r="I322" s="11"/>
    </row>
    <row r="323">
      <c r="A323" s="11" t="str">
        <f>IFERROR(__xludf.DUMMYFUNCTION("""COMPUTED_VALUE"""),"Livid Unisex")</f>
        <v>Livid Unisex</v>
      </c>
      <c r="B323" s="11" t="str">
        <f>IFERROR(__xludf.DUMMYFUNCTION("""COMPUTED_VALUE"""),"Beanie")</f>
        <v>Beanie</v>
      </c>
      <c r="C323" s="11" t="str">
        <f>IFERROR(__xludf.DUMMYFUNCTION("""COMPUTED_VALUE"""),"plath-spice-mohair-mix-1")</f>
        <v>plath-spice-mohair-mix-1</v>
      </c>
      <c r="D323" s="11" t="str">
        <f>IFERROR(__xludf.DUMMYFUNCTION("""COMPUTED_VALUE"""),"Plath Spice Mohair Mix")</f>
        <v>Plath Spice Mohair Mix</v>
      </c>
      <c r="E323" s="11" t="str">
        <f>IFERROR(__xludf.DUMMYFUNCTION("""COMPUTED_VALUE"""),"Made in China
The single fold Plath beanie strikes the perfect balance as a compact beanie while still providing important coverage for the coldest days.
Made in a beautiful fuzzy mohair combined with extra fine merino wool. The two pure fiber yarns are"&amp;" dyed in complimentary colours, to acheive a subtle marl.
Details
- 50% mohair, 50% extra fine merino wool
- Mohair yarn spun in China by Topline
- Merino wool yarn spun in Europe by Biella Yarn
- Single fold beanie
- Knitted by Springair in China")</f>
        <v>Made in China
The single fold Plath beanie strikes the perfect balance as a compact beanie while still providing important coverage for the coldest days.
Made in a beautiful fuzzy mohair combined with extra fine merino wool. The two pure fiber yarns are dyed in complimentary colours, to acheive a subtle marl.
Details
- 50% mohair, 50% extra fine merino wool
- Mohair yarn spun in China by Topline
- Merino wool yarn spun in Europe by Biella Yarn
- Single fold beanie
- Knitted by Springair in China</v>
      </c>
      <c r="F323" s="11" t="str">
        <f>IFERROR(__xludf.DUMMYFUNCTION("""COMPUTED_VALUE"""),"Our single fold mohair beanie, Plath.")</f>
        <v>Our single fold mohair beanie, Plath.</v>
      </c>
      <c r="G323" s="11"/>
      <c r="H323" s="11" t="str">
        <f>IFERROR(__xludf.DUMMYFUNCTION("""COMPUTED_VALUE"""),"plath-blue-mohair-mix, plath-brown-mohair-mix-1, plath-grey-mohair-mix, plath-olive-mohair-mix, plath-taupe-mohair-mix, plath-black-merino-1, plath-charcoal-merino")</f>
        <v>plath-blue-mohair-mix, plath-brown-mohair-mix-1, plath-grey-mohair-mix, plath-olive-mohair-mix, plath-taupe-mohair-mix, plath-black-merino-1, plath-charcoal-merino</v>
      </c>
      <c r="I323" s="11"/>
    </row>
    <row r="324">
      <c r="A324" s="11" t="str">
        <f>IFERROR(__xludf.DUMMYFUNCTION("""COMPUTED_VALUE"""),"Livid Unisex")</f>
        <v>Livid Unisex</v>
      </c>
      <c r="B324" s="11" t="str">
        <f>IFERROR(__xludf.DUMMYFUNCTION("""COMPUTED_VALUE"""),"Beanie")</f>
        <v>Beanie</v>
      </c>
      <c r="C324" s="11" t="str">
        <f>IFERROR(__xludf.DUMMYFUNCTION("""COMPUTED_VALUE"""),"plath-taupe-mohair-mix")</f>
        <v>plath-taupe-mohair-mix</v>
      </c>
      <c r="D324" s="11" t="str">
        <f>IFERROR(__xludf.DUMMYFUNCTION("""COMPUTED_VALUE"""),"Plath Taupe Mohair Mix")</f>
        <v>Plath Taupe Mohair Mix</v>
      </c>
      <c r="E324" s="11" t="str">
        <f>IFERROR(__xludf.DUMMYFUNCTION("""COMPUTED_VALUE"""),"Made in China
The single fold Plath beanie strikes the perfect balance as a compact beanie while still providing important coverage for the coldest days.
Made in a beautiful fuzzy mohair combined with extra fine merino wool. The two pure fiber yarns are"&amp;" dyed in complimentary colours, to acheive a subtle marl.
Details
- 50% mohair, 50% extra fine merino wool
- Mohair yarn spun in China by Topline
- Merino wool yarn spun in Europe by Biella Yarn
- Single fold beanie
- Knitted by Springair in China")</f>
        <v>Made in China
The single fold Plath beanie strikes the perfect balance as a compact beanie while still providing important coverage for the coldest days.
Made in a beautiful fuzzy mohair combined with extra fine merino wool. The two pure fiber yarns are dyed in complimentary colours, to acheive a subtle marl.
Details
- 50% mohair, 50% extra fine merino wool
- Mohair yarn spun in China by Topline
- Merino wool yarn spun in Europe by Biella Yarn
- Single fold beanie
- Knitted by Springair in China</v>
      </c>
      <c r="F324" s="11" t="str">
        <f>IFERROR(__xludf.DUMMYFUNCTION("""COMPUTED_VALUE"""),"Our single fold mohair beanie, Plath.")</f>
        <v>Our single fold mohair beanie, Plath.</v>
      </c>
      <c r="G324" s="11"/>
      <c r="H324" s="11" t="str">
        <f>IFERROR(__xludf.DUMMYFUNCTION("""COMPUTED_VALUE"""),"plath-blue-mohair-mix, plath-brown-mohair-mix-1, plath-grey-mohair-mix, plath-olive-mohair-mix, plath-spice-mohair-mix-1, plath-black-merino-1, plath-charcoal-merino")</f>
        <v>plath-blue-mohair-mix, plath-brown-mohair-mix-1, plath-grey-mohair-mix, plath-olive-mohair-mix, plath-spice-mohair-mix-1, plath-black-merino-1, plath-charcoal-merino</v>
      </c>
      <c r="I324" s="11"/>
    </row>
    <row r="325">
      <c r="A325" s="11" t="str">
        <f>IFERROR(__xludf.DUMMYFUNCTION("""COMPUTED_VALUE"""),"Livid Unisex")</f>
        <v>Livid Unisex</v>
      </c>
      <c r="B325" s="11" t="str">
        <f>IFERROR(__xludf.DUMMYFUNCTION("""COMPUTED_VALUE"""),"Shirt")</f>
        <v>Shirt</v>
      </c>
      <c r="C325" s="11" t="str">
        <f>IFERROR(__xludf.DUMMYFUNCTION("""COMPUTED_VALUE"""),"tim-black-bonded")</f>
        <v>tim-black-bonded</v>
      </c>
      <c r="D325" s="11" t="str">
        <f>IFERROR(__xludf.DUMMYFUNCTION("""COMPUTED_VALUE"""),"Tim Black Bonded")</f>
        <v>Tim Black Bonded</v>
      </c>
      <c r="E325" s="11" t="str">
        <f>IFERROR(__xludf.DUMMYFUNCTION("""COMPUTED_VALUE"""),"Made in Portugal
Tim, a shorter version of our unisex big shirt. Tim features oversized proportions with very dropped shoulders and a very wide body, but with a classic length and a softer curved hem.
Made in a textured fabric, consisting of a loosely w"&amp;"oven cotton fabric with a wobbly weave pattern, bonded to a loosely woven linen fabric. The resulting fabric has an added thickness, while still remaining lightweight. The two loose weaves make the shirt highly breathable, while trapping air and insulatin"&amp;"g when used as a midlayer.
Designed to be unisex, the sleeve lengths have a greater jump between sizes S and M. XS and S fit most women and shorter men, M and L fit most men and taller women.")</f>
        <v>Made in Portugal
Tim, a shorter version of our unisex big shirt. Tim features oversized proportions with very dropped shoulders and a very wide body, but with a classic length and a softer curved hem.
Made in a textured fabric, consisting of a loosely woven cotton fabric with a wobbly weave pattern, bonded to a loosely woven linen fabric. The resulting fabric has an added thickness, while still remaining lightweight. The two loose weaves make the shirt highly breathable, while trapping air and insulating when used as a midlayer.
Designed to be unisex, the sleeve lengths have a greater jump between sizes S and M. XS and S fit most women and shorter men, M and L fit most men and taller women.</v>
      </c>
      <c r="F325" s="11" t="str">
        <f>IFERROR(__xludf.DUMMYFUNCTION("""COMPUTED_VALUE"""),"Tim, our oversized unisex shirt.")</f>
        <v>Tim, our oversized unisex shirt.</v>
      </c>
      <c r="G325" s="11" t="str">
        <f>IFERROR(__xludf.DUMMYFUNCTION("""COMPUTED_VALUE"""),"- 60% cotton, 40% linen
- Woven by Somelos in Portugal, exclusively for Livid
- Mother of pearl buttons
- Stitched with durable poly-core cotton thread
- Cut &amp; sewn by Stork, Portugal")</f>
        <v>- 60% cotton, 40% linen
- Woven by Somelos in Portugal, exclusively for Livid
- Mother of pearl buttons
- Stitched with durable poly-core cotton thread
- Cut &amp; sewn by Stork, Portugal</v>
      </c>
      <c r="H325" s="11" t="str">
        <f>IFERROR(__xludf.DUMMYFUNCTION("""COMPUTED_VALUE"""),"tim-milk-bonded, tim-celeste-pop")</f>
        <v>tim-milk-bonded, tim-celeste-pop</v>
      </c>
      <c r="I325" s="11"/>
    </row>
    <row r="326">
      <c r="A326" s="11" t="str">
        <f>IFERROR(__xludf.DUMMYFUNCTION("""COMPUTED_VALUE"""),"Livid Unisex")</f>
        <v>Livid Unisex</v>
      </c>
      <c r="B326" s="11" t="str">
        <f>IFERROR(__xludf.DUMMYFUNCTION("""COMPUTED_VALUE"""),"Shirt")</f>
        <v>Shirt</v>
      </c>
      <c r="C326" s="11" t="str">
        <f>IFERROR(__xludf.DUMMYFUNCTION("""COMPUTED_VALUE"""),"tim-black-check-bonded")</f>
        <v>tim-black-check-bonded</v>
      </c>
      <c r="D326" s="11" t="str">
        <f>IFERROR(__xludf.DUMMYFUNCTION("""COMPUTED_VALUE"""),"Tim Black Check Bonded")</f>
        <v>Tim Black Check Bonded</v>
      </c>
      <c r="E326" s="11"/>
      <c r="F326" s="11"/>
      <c r="G326" s="11"/>
      <c r="H326" s="11"/>
      <c r="I326" s="11"/>
    </row>
    <row r="327">
      <c r="A327" s="11" t="str">
        <f>IFERROR(__xludf.DUMMYFUNCTION("""COMPUTED_VALUE"""),"Livid Unisex")</f>
        <v>Livid Unisex</v>
      </c>
      <c r="B327" s="11" t="str">
        <f>IFERROR(__xludf.DUMMYFUNCTION("""COMPUTED_VALUE"""),"Shirt")</f>
        <v>Shirt</v>
      </c>
      <c r="C327" s="11" t="str">
        <f>IFERROR(__xludf.DUMMYFUNCTION("""COMPUTED_VALUE"""),"tim-celeste-pop")</f>
        <v>tim-celeste-pop</v>
      </c>
      <c r="D327" s="11" t="str">
        <f>IFERROR(__xludf.DUMMYFUNCTION("""COMPUTED_VALUE"""),"Tim Celeste Pop")</f>
        <v>Tim Celeste Pop</v>
      </c>
      <c r="E327" s="11" t="str">
        <f>IFERROR(__xludf.DUMMYFUNCTION("""COMPUTED_VALUE"""),"Made in Portugal
Tim, a shorter version of our unisex big shirt. Tim features oversized proportions with very dropped shoulders and a very wide body, but with a classic length and a softer curved hem.
Made in a crisp office stripe poplin designed and de"&amp;"veloped by Livid, and woven by Somelos in Portugal. This particular poplin has vibrant feel due to the subtle marl of the light blue yarns of the background colour.
Designed to be unisex, the sleeve lengths have a greater jump between sizes S and M. XS a"&amp;"nd S fit most women and shorter men, M and L fit most men and taller women.")</f>
        <v>Made in Portugal
Tim, a shorter version of our unisex big shirt. Tim features oversized proportions with very dropped shoulders and a very wide body, but with a classic length and a softer curved hem.
Made in a crisp office stripe poplin designed and developed by Livid, and woven by Somelos in Portugal. This particular poplin has vibrant feel due to the subtle marl of the light blue yarns of the background colour.
Designed to be unisex, the sleeve lengths have a greater jump between sizes S and M. XS and S fit most women and shorter men, M and L fit most men and taller women.</v>
      </c>
      <c r="F327" s="11" t="str">
        <f>IFERROR(__xludf.DUMMYFUNCTION("""COMPUTED_VALUE"""),"Tim, our oversized unisex shirt.")</f>
        <v>Tim, our oversized unisex shirt.</v>
      </c>
      <c r="G327" s="11" t="str">
        <f>IFERROR(__xludf.DUMMYFUNCTION("""COMPUTED_VALUE"""),"- 100% cotton poplin
- Woven by Somelos in Portugal, exclusively for Livid
- Mother of pearl buttons
- Stitched with durable poly-core cotton thread
- Cut &amp; sewn by Stork, Portugal")</f>
        <v>- 100% cotton poplin
- Woven by Somelos in Portugal, exclusively for Livid
- Mother of pearl buttons
- Stitched with durable poly-core cotton thread
- Cut &amp; sewn by Stork, Portugal</v>
      </c>
      <c r="H327" s="11" t="str">
        <f>IFERROR(__xludf.DUMMYFUNCTION("""COMPUTED_VALUE"""),"tim-black-bonded, tim-milk-bonded")</f>
        <v>tim-black-bonded, tim-milk-bonded</v>
      </c>
      <c r="I327" s="11"/>
    </row>
    <row r="328">
      <c r="A328" s="11" t="str">
        <f>IFERROR(__xludf.DUMMYFUNCTION("""COMPUTED_VALUE"""),"Livid Unisex")</f>
        <v>Livid Unisex</v>
      </c>
      <c r="B328" s="11" t="str">
        <f>IFERROR(__xludf.DUMMYFUNCTION("""COMPUTED_VALUE"""),"Shirt")</f>
        <v>Shirt</v>
      </c>
      <c r="C328" s="11" t="str">
        <f>IFERROR(__xludf.DUMMYFUNCTION("""COMPUTED_VALUE"""),"tim-green-bonded")</f>
        <v>tim-green-bonded</v>
      </c>
      <c r="D328" s="11" t="str">
        <f>IFERROR(__xludf.DUMMYFUNCTION("""COMPUTED_VALUE"""),"Tim Green Bonded")</f>
        <v>Tim Green Bonded</v>
      </c>
      <c r="E328" s="11"/>
      <c r="F328" s="11"/>
      <c r="G328" s="11"/>
      <c r="H328" s="11"/>
      <c r="I328" s="11"/>
    </row>
    <row r="329">
      <c r="A329" s="11" t="str">
        <f>IFERROR(__xludf.DUMMYFUNCTION("""COMPUTED_VALUE"""),"Livid Unisex")</f>
        <v>Livid Unisex</v>
      </c>
      <c r="B329" s="11" t="str">
        <f>IFERROR(__xludf.DUMMYFUNCTION("""COMPUTED_VALUE"""),"Shirt")</f>
        <v>Shirt</v>
      </c>
      <c r="C329" s="11" t="str">
        <f>IFERROR(__xludf.DUMMYFUNCTION("""COMPUTED_VALUE"""),"tim-green-seersucker")</f>
        <v>tim-green-seersucker</v>
      </c>
      <c r="D329" s="11" t="str">
        <f>IFERROR(__xludf.DUMMYFUNCTION("""COMPUTED_VALUE"""),"Tim Green Seersucker")</f>
        <v>Tim Green Seersucker</v>
      </c>
      <c r="E329" s="11"/>
      <c r="F329" s="11"/>
      <c r="G329" s="11"/>
      <c r="H329" s="11"/>
      <c r="I329" s="11"/>
    </row>
    <row r="330">
      <c r="A330" s="11" t="str">
        <f>IFERROR(__xludf.DUMMYFUNCTION("""COMPUTED_VALUE"""),"Livid Unisex")</f>
        <v>Livid Unisex</v>
      </c>
      <c r="B330" s="11" t="str">
        <f>IFERROR(__xludf.DUMMYFUNCTION("""COMPUTED_VALUE"""),"Shirt")</f>
        <v>Shirt</v>
      </c>
      <c r="C330" s="11" t="str">
        <f>IFERROR(__xludf.DUMMYFUNCTION("""COMPUTED_VALUE"""),"tim-milk-bonded")</f>
        <v>tim-milk-bonded</v>
      </c>
      <c r="D330" s="11" t="str">
        <f>IFERROR(__xludf.DUMMYFUNCTION("""COMPUTED_VALUE"""),"Tim Milk Bonded")</f>
        <v>Tim Milk Bonded</v>
      </c>
      <c r="E330" s="11" t="str">
        <f>IFERROR(__xludf.DUMMYFUNCTION("""COMPUTED_VALUE"""),"Made in Portugal
Tim, a shorter version of our unisex big shirt. Tim features oversized proportions with very dropped shoulders and a very wide body, but with a classic length and a softer curved hem.
Made in a textured fabric, consisting of a loosely w"&amp;"oven cotton fabric with a wobbly weave pattern, bonded to a loosely woven linen fabric. The resulting fabric has an added thickness, while still remaining lightweight. The two loose weaves make the shirt highly breathable, while trapping air and insulatin"&amp;"g when used as a midlayer.
Designed to be unisex, the sleeve lengths have a greater jump between sizes S and M. XS and S fit most women and shorter men, M and L fit most men and taller women.")</f>
        <v>Made in Portugal
Tim, a shorter version of our unisex big shirt. Tim features oversized proportions with very dropped shoulders and a very wide body, but with a classic length and a softer curved hem.
Made in a textured fabric, consisting of a loosely woven cotton fabric with a wobbly weave pattern, bonded to a loosely woven linen fabric. The resulting fabric has an added thickness, while still remaining lightweight. The two loose weaves make the shirt highly breathable, while trapping air and insulating when used as a midlayer.
Designed to be unisex, the sleeve lengths have a greater jump between sizes S and M. XS and S fit most women and shorter men, M and L fit most men and taller women.</v>
      </c>
      <c r="F330" s="11" t="str">
        <f>IFERROR(__xludf.DUMMYFUNCTION("""COMPUTED_VALUE"""),"Tim, our oversized unisex shirt.")</f>
        <v>Tim, our oversized unisex shirt.</v>
      </c>
      <c r="G330" s="11" t="str">
        <f>IFERROR(__xludf.DUMMYFUNCTION("""COMPUTED_VALUE"""),"- 60% cotton, 40% linen
- Woven by Somelos in Portugal, exclusively for Livid
- Mother of pearl buttons
- Stitched with durable poly-core cotton thread
- Cut &amp; sewn by Stork, Portugal")</f>
        <v>- 60% cotton, 40% linen
- Woven by Somelos in Portugal, exclusively for Livid
- Mother of pearl buttons
- Stitched with durable poly-core cotton thread
- Cut &amp; sewn by Stork, Portugal</v>
      </c>
      <c r="H330" s="11" t="str">
        <f>IFERROR(__xludf.DUMMYFUNCTION("""COMPUTED_VALUE"""),"tim-black-bonded, tim-celeste-pop")</f>
        <v>tim-black-bonded, tim-celeste-pop</v>
      </c>
      <c r="I330" s="11"/>
    </row>
    <row r="331">
      <c r="A331" s="11"/>
      <c r="B331" s="11"/>
      <c r="C331" s="11" t="str">
        <f>IFERROR(__xludf.DUMMYFUNCTION("""COMPUTED_VALUE"""),"eva-black")</f>
        <v>eva-black</v>
      </c>
      <c r="D331" s="11"/>
      <c r="E331" s="11"/>
      <c r="F331" s="11"/>
      <c r="G331" s="11"/>
      <c r="H331" s="11"/>
      <c r="I331" s="11"/>
    </row>
    <row r="332">
      <c r="A332" s="11"/>
      <c r="B332" s="11"/>
      <c r="C332" s="11" t="str">
        <f>IFERROR(__xludf.DUMMYFUNCTION("""COMPUTED_VALUE"""),"eva-white")</f>
        <v>eva-white</v>
      </c>
      <c r="D332" s="11"/>
      <c r="E332" s="11"/>
      <c r="F332" s="11"/>
      <c r="G332" s="11"/>
      <c r="H332" s="11"/>
      <c r="I332"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0"/>
  <cols>
    <col customWidth="1" min="1" max="1" width="20.75"/>
    <col customWidth="1" min="2" max="2" width="13.88"/>
    <col customWidth="1" hidden="1" min="3" max="3" width="30.75"/>
    <col customWidth="1" min="4" max="5" width="30.75"/>
    <col customWidth="1" min="6" max="6" width="72.63"/>
    <col customWidth="1" min="7" max="7" width="45.13"/>
    <col customWidth="1" min="8" max="8" width="29.5"/>
    <col customWidth="1" hidden="1" min="9" max="9" width="25.88"/>
    <col customWidth="1" min="10" max="10" width="22.63"/>
    <col customWidth="1" min="11" max="11" width="18.5"/>
    <col customWidth="1" min="12" max="20" width="14.88"/>
    <col customWidth="1" hidden="1" min="21" max="30" width="7.88"/>
    <col customWidth="1" min="31" max="31" width="40.75"/>
    <col customWidth="1" min="32" max="40" width="7.88"/>
    <col customWidth="1" min="41" max="41" width="78.25"/>
    <col customWidth="1" min="42" max="44" width="7.88"/>
  </cols>
  <sheetData>
    <row r="1">
      <c r="A1" s="8" t="s">
        <v>2</v>
      </c>
      <c r="B1" s="8" t="s">
        <v>3</v>
      </c>
      <c r="C1" s="8" t="s">
        <v>0</v>
      </c>
      <c r="D1" s="8" t="s">
        <v>1</v>
      </c>
      <c r="E1" s="9" t="s">
        <v>13</v>
      </c>
      <c r="F1" s="9" t="s">
        <v>8</v>
      </c>
      <c r="G1" s="12" t="s">
        <v>23</v>
      </c>
      <c r="H1" s="9" t="s">
        <v>6</v>
      </c>
      <c r="I1" s="9" t="s">
        <v>7</v>
      </c>
      <c r="J1" s="13"/>
      <c r="K1" s="14">
        <v>1.0</v>
      </c>
      <c r="L1" s="15">
        <v>2.0</v>
      </c>
      <c r="M1" s="15">
        <v>3.0</v>
      </c>
      <c r="N1" s="15">
        <v>4.0</v>
      </c>
      <c r="O1" s="15">
        <v>5.0</v>
      </c>
      <c r="P1" s="15">
        <v>6.0</v>
      </c>
      <c r="Q1" s="15">
        <v>7.0</v>
      </c>
      <c r="R1" s="15">
        <v>8.0</v>
      </c>
      <c r="S1" s="15">
        <v>9.0</v>
      </c>
      <c r="T1" s="16">
        <v>10.0</v>
      </c>
      <c r="U1" s="15">
        <v>1.0</v>
      </c>
      <c r="V1" s="15">
        <v>2.0</v>
      </c>
      <c r="W1" s="15">
        <v>3.0</v>
      </c>
      <c r="X1" s="15">
        <v>4.0</v>
      </c>
      <c r="Y1" s="15">
        <v>5.0</v>
      </c>
      <c r="Z1" s="15">
        <v>6.0</v>
      </c>
      <c r="AA1" s="15">
        <v>7.0</v>
      </c>
      <c r="AB1" s="15">
        <v>8.0</v>
      </c>
      <c r="AC1" s="15">
        <v>9.0</v>
      </c>
      <c r="AD1" s="15">
        <v>10.0</v>
      </c>
      <c r="AE1" s="17"/>
      <c r="AF1" s="17"/>
      <c r="AG1" s="17"/>
      <c r="AH1" s="17"/>
      <c r="AI1" s="17"/>
      <c r="AJ1" s="17"/>
      <c r="AK1" s="17"/>
      <c r="AL1" s="17"/>
      <c r="AM1" s="17"/>
      <c r="AN1" s="17"/>
      <c r="AO1" s="17"/>
      <c r="AP1" s="15"/>
      <c r="AQ1" s="15"/>
      <c r="AR1" s="15"/>
    </row>
    <row r="2">
      <c r="A2" s="8" t="s">
        <v>2</v>
      </c>
      <c r="B2" s="8" t="s">
        <v>3</v>
      </c>
      <c r="C2" s="8" t="s">
        <v>0</v>
      </c>
      <c r="D2" s="8" t="s">
        <v>1</v>
      </c>
      <c r="E2" s="9" t="s">
        <v>13</v>
      </c>
      <c r="F2" s="9" t="s">
        <v>8</v>
      </c>
      <c r="G2" s="12" t="s">
        <v>23</v>
      </c>
      <c r="H2" s="9" t="s">
        <v>6</v>
      </c>
      <c r="I2" s="9" t="s">
        <v>7</v>
      </c>
      <c r="J2" s="13"/>
      <c r="K2" s="14">
        <v>1.0</v>
      </c>
      <c r="L2" s="15">
        <v>2.0</v>
      </c>
      <c r="M2" s="15">
        <v>3.0</v>
      </c>
      <c r="N2" s="15">
        <v>4.0</v>
      </c>
      <c r="O2" s="15">
        <v>5.0</v>
      </c>
      <c r="P2" s="15">
        <v>6.0</v>
      </c>
      <c r="Q2" s="15">
        <v>7.0</v>
      </c>
      <c r="R2" s="15">
        <v>8.0</v>
      </c>
      <c r="S2" s="15">
        <v>9.0</v>
      </c>
      <c r="T2" s="16">
        <v>10.0</v>
      </c>
      <c r="U2" s="15">
        <v>1.0</v>
      </c>
      <c r="V2" s="15">
        <v>2.0</v>
      </c>
      <c r="W2" s="15">
        <v>3.0</v>
      </c>
      <c r="X2" s="15">
        <v>4.0</v>
      </c>
      <c r="Y2" s="15">
        <v>5.0</v>
      </c>
      <c r="Z2" s="15">
        <v>6.0</v>
      </c>
      <c r="AA2" s="15">
        <v>7.0</v>
      </c>
      <c r="AB2" s="15">
        <v>8.0</v>
      </c>
      <c r="AC2" s="15">
        <v>9.0</v>
      </c>
      <c r="AD2" s="15">
        <v>10.0</v>
      </c>
      <c r="AE2" s="17"/>
      <c r="AF2" s="17"/>
      <c r="AG2" s="17"/>
      <c r="AH2" s="17"/>
      <c r="AI2" s="17"/>
      <c r="AJ2" s="17"/>
      <c r="AK2" s="17"/>
      <c r="AL2" s="17"/>
      <c r="AM2" s="17"/>
      <c r="AN2" s="17"/>
      <c r="AO2" s="17" t="s">
        <v>2131</v>
      </c>
      <c r="AP2" s="15"/>
      <c r="AQ2" s="15"/>
      <c r="AR2" s="15"/>
    </row>
    <row r="3" ht="16.5" customHeight="1">
      <c r="A3" s="11" t="s">
        <v>154</v>
      </c>
      <c r="B3" s="11" t="s">
        <v>155</v>
      </c>
      <c r="C3" s="11" t="s">
        <v>159</v>
      </c>
      <c r="D3" s="11" t="s">
        <v>160</v>
      </c>
      <c r="J3" s="18"/>
      <c r="K3" s="19"/>
      <c r="L3" s="19"/>
      <c r="M3" s="19"/>
      <c r="N3" s="19"/>
      <c r="O3" s="20"/>
      <c r="P3" s="20"/>
      <c r="Q3" s="20"/>
      <c r="R3" s="20"/>
      <c r="S3" s="20"/>
      <c r="T3" s="20"/>
      <c r="AE3" s="21" t="str">
        <f t="shared" ref="AE3:AE6" si="2">if(not(isblank(K3)),K3,"")</f>
        <v/>
      </c>
      <c r="AF3" s="21" t="str">
        <f t="shared" ref="AF3:AN3" si="1">if(not(isblank(L3)),", "&amp;L3,"")</f>
        <v/>
      </c>
      <c r="AG3" s="21" t="str">
        <f t="shared" si="1"/>
        <v/>
      </c>
      <c r="AH3" s="21" t="str">
        <f t="shared" si="1"/>
        <v/>
      </c>
      <c r="AI3" s="21" t="str">
        <f t="shared" si="1"/>
        <v/>
      </c>
      <c r="AJ3" s="21" t="str">
        <f t="shared" si="1"/>
        <v/>
      </c>
      <c r="AK3" s="21" t="str">
        <f t="shared" si="1"/>
        <v/>
      </c>
      <c r="AL3" s="21" t="str">
        <f t="shared" si="1"/>
        <v/>
      </c>
      <c r="AM3" s="21" t="str">
        <f t="shared" si="1"/>
        <v/>
      </c>
      <c r="AN3" s="21" t="str">
        <f t="shared" si="1"/>
        <v/>
      </c>
      <c r="AO3" s="21" t="str">
        <f t="shared" ref="AO3:AO6" si="4">if(isblank(K3),H3,AE3&amp;AF3&amp;AG3&amp;AH3&amp;AI3&amp;AJ3&amp;AK3&amp;AL3&amp;AM3&amp;AN3)</f>
        <v/>
      </c>
    </row>
    <row r="4" ht="16.5" customHeight="1">
      <c r="A4" s="11" t="s">
        <v>154</v>
      </c>
      <c r="B4" s="11" t="s">
        <v>155</v>
      </c>
      <c r="C4" s="11" t="s">
        <v>161</v>
      </c>
      <c r="D4" s="11" t="s">
        <v>162</v>
      </c>
      <c r="J4" s="18"/>
      <c r="K4" s="19"/>
      <c r="L4" s="19"/>
      <c r="M4" s="19"/>
      <c r="N4" s="19"/>
      <c r="O4" s="20"/>
      <c r="P4" s="20"/>
      <c r="Q4" s="20"/>
      <c r="R4" s="20"/>
      <c r="S4" s="20"/>
      <c r="T4" s="20"/>
      <c r="AE4" s="21" t="str">
        <f t="shared" si="2"/>
        <v/>
      </c>
      <c r="AF4" s="21" t="str">
        <f t="shared" ref="AF4:AN4" si="3">if(not(isblank(L4)),", "&amp;L4,"")</f>
        <v/>
      </c>
      <c r="AG4" s="21" t="str">
        <f t="shared" si="3"/>
        <v/>
      </c>
      <c r="AH4" s="21" t="str">
        <f t="shared" si="3"/>
        <v/>
      </c>
      <c r="AI4" s="21" t="str">
        <f t="shared" si="3"/>
        <v/>
      </c>
      <c r="AJ4" s="21" t="str">
        <f t="shared" si="3"/>
        <v/>
      </c>
      <c r="AK4" s="21" t="str">
        <f t="shared" si="3"/>
        <v/>
      </c>
      <c r="AL4" s="21" t="str">
        <f t="shared" si="3"/>
        <v/>
      </c>
      <c r="AM4" s="21" t="str">
        <f t="shared" si="3"/>
        <v/>
      </c>
      <c r="AN4" s="21" t="str">
        <f t="shared" si="3"/>
        <v/>
      </c>
      <c r="AO4" s="21" t="str">
        <f t="shared" si="4"/>
        <v/>
      </c>
    </row>
    <row r="5" ht="16.5" customHeight="1">
      <c r="A5" s="11" t="s">
        <v>154</v>
      </c>
      <c r="B5" s="11" t="s">
        <v>165</v>
      </c>
      <c r="C5" s="11" t="s">
        <v>163</v>
      </c>
      <c r="D5" s="11" t="s">
        <v>164</v>
      </c>
      <c r="J5" s="18"/>
      <c r="K5" s="19"/>
      <c r="L5" s="19"/>
      <c r="M5" s="19"/>
      <c r="N5" s="19"/>
      <c r="O5" s="20"/>
      <c r="P5" s="20"/>
      <c r="Q5" s="20"/>
      <c r="R5" s="20"/>
      <c r="S5" s="20"/>
      <c r="T5" s="20"/>
      <c r="AE5" s="21" t="str">
        <f t="shared" si="2"/>
        <v/>
      </c>
      <c r="AF5" s="21" t="str">
        <f t="shared" ref="AF5:AN5" si="5">if(not(isblank(L5)),", "&amp;L5,"")</f>
        <v/>
      </c>
      <c r="AG5" s="21" t="str">
        <f t="shared" si="5"/>
        <v/>
      </c>
      <c r="AH5" s="21" t="str">
        <f t="shared" si="5"/>
        <v/>
      </c>
      <c r="AI5" s="21" t="str">
        <f t="shared" si="5"/>
        <v/>
      </c>
      <c r="AJ5" s="21" t="str">
        <f t="shared" si="5"/>
        <v/>
      </c>
      <c r="AK5" s="21" t="str">
        <f t="shared" si="5"/>
        <v/>
      </c>
      <c r="AL5" s="21" t="str">
        <f t="shared" si="5"/>
        <v/>
      </c>
      <c r="AM5" s="21" t="str">
        <f t="shared" si="5"/>
        <v/>
      </c>
      <c r="AN5" s="21" t="str">
        <f t="shared" si="5"/>
        <v/>
      </c>
      <c r="AO5" s="21" t="str">
        <f t="shared" si="4"/>
        <v/>
      </c>
    </row>
    <row r="6" ht="16.5" customHeight="1">
      <c r="A6" s="11" t="s">
        <v>154</v>
      </c>
      <c r="B6" s="11" t="s">
        <v>168</v>
      </c>
      <c r="C6" s="11" t="s">
        <v>166</v>
      </c>
      <c r="D6" s="11" t="s">
        <v>167</v>
      </c>
      <c r="J6" s="18"/>
      <c r="K6" s="19"/>
      <c r="L6" s="19"/>
      <c r="M6" s="19"/>
      <c r="N6" s="19"/>
      <c r="O6" s="20"/>
      <c r="P6" s="20"/>
      <c r="Q6" s="20"/>
      <c r="R6" s="20"/>
      <c r="S6" s="20"/>
      <c r="T6" s="20"/>
      <c r="AE6" s="21" t="str">
        <f t="shared" si="2"/>
        <v/>
      </c>
      <c r="AF6" s="21" t="str">
        <f t="shared" ref="AF6:AN6" si="6">if(not(isblank(L6)),", "&amp;L6,"")</f>
        <v/>
      </c>
      <c r="AG6" s="21" t="str">
        <f t="shared" si="6"/>
        <v/>
      </c>
      <c r="AH6" s="21" t="str">
        <f t="shared" si="6"/>
        <v/>
      </c>
      <c r="AI6" s="21" t="str">
        <f t="shared" si="6"/>
        <v/>
      </c>
      <c r="AJ6" s="21" t="str">
        <f t="shared" si="6"/>
        <v/>
      </c>
      <c r="AK6" s="21" t="str">
        <f t="shared" si="6"/>
        <v/>
      </c>
      <c r="AL6" s="21" t="str">
        <f t="shared" si="6"/>
        <v/>
      </c>
      <c r="AM6" s="21" t="str">
        <f t="shared" si="6"/>
        <v/>
      </c>
      <c r="AN6" s="21" t="str">
        <f t="shared" si="6"/>
        <v/>
      </c>
      <c r="AO6" s="21" t="str">
        <f t="shared" si="4"/>
        <v/>
      </c>
    </row>
    <row r="7" ht="16.5" customHeight="1">
      <c r="A7" s="11" t="s">
        <v>154</v>
      </c>
      <c r="B7" s="11" t="s">
        <v>168</v>
      </c>
      <c r="C7" s="11" t="s">
        <v>169</v>
      </c>
      <c r="D7" s="11" t="s">
        <v>170</v>
      </c>
      <c r="J7" s="18"/>
      <c r="K7" s="19"/>
      <c r="L7" s="19"/>
      <c r="M7" s="19"/>
      <c r="N7" s="19"/>
      <c r="O7" s="19"/>
      <c r="P7" s="19"/>
      <c r="Q7" s="20"/>
      <c r="R7" s="20"/>
      <c r="S7" s="20"/>
      <c r="T7" s="20"/>
      <c r="AE7" s="21" t="str">
        <f>if(not(isblank(#REF!)),#REF!,"")</f>
        <v>#REF!</v>
      </c>
      <c r="AF7" s="21" t="str">
        <f t="shared" ref="AF7:AN7" si="7">if(not(isblank(L7)),", "&amp;L7,"")</f>
        <v/>
      </c>
      <c r="AG7" s="21" t="str">
        <f t="shared" si="7"/>
        <v/>
      </c>
      <c r="AH7" s="21" t="str">
        <f t="shared" si="7"/>
        <v/>
      </c>
      <c r="AI7" s="21" t="str">
        <f t="shared" si="7"/>
        <v/>
      </c>
      <c r="AJ7" s="21" t="str">
        <f t="shared" si="7"/>
        <v/>
      </c>
      <c r="AK7" s="21" t="str">
        <f t="shared" si="7"/>
        <v/>
      </c>
      <c r="AL7" s="21" t="str">
        <f t="shared" si="7"/>
        <v/>
      </c>
      <c r="AM7" s="21" t="str">
        <f t="shared" si="7"/>
        <v/>
      </c>
      <c r="AN7" s="21" t="str">
        <f t="shared" si="7"/>
        <v/>
      </c>
      <c r="AO7" s="21" t="str">
        <f>if(isblank(#REF!),H7,AE7&amp;AF7&amp;AG7&amp;AH7&amp;AI7&amp;AJ7&amp;AK7&amp;AL7&amp;AM7&amp;AN7)</f>
        <v>#REF!</v>
      </c>
    </row>
    <row r="8" ht="16.5" customHeight="1">
      <c r="A8" s="11" t="s">
        <v>154</v>
      </c>
      <c r="B8" s="11" t="s">
        <v>165</v>
      </c>
      <c r="C8" s="11" t="s">
        <v>171</v>
      </c>
      <c r="D8" s="11" t="s">
        <v>172</v>
      </c>
      <c r="E8" s="22" t="s">
        <v>2132</v>
      </c>
      <c r="J8" s="18"/>
      <c r="L8" s="19"/>
      <c r="M8" s="19"/>
      <c r="N8" s="19"/>
      <c r="O8" s="19"/>
      <c r="P8" s="19"/>
      <c r="Q8" s="20"/>
      <c r="R8" s="20"/>
      <c r="S8" s="20"/>
      <c r="T8" s="20"/>
      <c r="AE8" s="21" t="str">
        <f>if(not(isblank(K7)),K7,"")</f>
        <v/>
      </c>
      <c r="AF8" s="21" t="str">
        <f t="shared" ref="AF8:AN8" si="8">if(not(isblank(L8)),", "&amp;L8,"")</f>
        <v/>
      </c>
      <c r="AG8" s="21" t="str">
        <f t="shared" si="8"/>
        <v/>
      </c>
      <c r="AH8" s="21" t="str">
        <f t="shared" si="8"/>
        <v/>
      </c>
      <c r="AI8" s="21" t="str">
        <f t="shared" si="8"/>
        <v/>
      </c>
      <c r="AJ8" s="21" t="str">
        <f t="shared" si="8"/>
        <v/>
      </c>
      <c r="AK8" s="21" t="str">
        <f t="shared" si="8"/>
        <v/>
      </c>
      <c r="AL8" s="21" t="str">
        <f t="shared" si="8"/>
        <v/>
      </c>
      <c r="AM8" s="21" t="str">
        <f t="shared" si="8"/>
        <v/>
      </c>
      <c r="AN8" s="21" t="str">
        <f t="shared" si="8"/>
        <v/>
      </c>
      <c r="AO8" s="21" t="str">
        <f>if(isblank(K7),H8,AE8&amp;AF8&amp;AG8&amp;AH8&amp;AI8&amp;AJ8&amp;AK8&amp;AL8&amp;AM8&amp;AN8)</f>
        <v/>
      </c>
    </row>
    <row r="9" ht="16.5" customHeight="1">
      <c r="A9" s="11" t="s">
        <v>154</v>
      </c>
      <c r="B9" s="11" t="s">
        <v>165</v>
      </c>
      <c r="C9" s="11" t="s">
        <v>173</v>
      </c>
      <c r="D9" s="11" t="s">
        <v>174</v>
      </c>
      <c r="E9" s="22" t="s">
        <v>2133</v>
      </c>
      <c r="J9" s="18"/>
      <c r="K9" s="19"/>
      <c r="L9" s="19"/>
      <c r="M9" s="19"/>
      <c r="N9" s="19"/>
      <c r="O9" s="19"/>
      <c r="P9" s="19"/>
      <c r="Q9" s="20"/>
      <c r="R9" s="20"/>
      <c r="S9" s="20"/>
      <c r="T9" s="20"/>
      <c r="AE9" s="21" t="str">
        <f t="shared" ref="AE9:AE62" si="10">if(not(isblank(K9)),K9,"")</f>
        <v/>
      </c>
      <c r="AF9" s="21" t="str">
        <f t="shared" ref="AF9:AN9" si="9">if(not(isblank(L9)),", "&amp;L9,"")</f>
        <v/>
      </c>
      <c r="AG9" s="21" t="str">
        <f t="shared" si="9"/>
        <v/>
      </c>
      <c r="AH9" s="21" t="str">
        <f t="shared" si="9"/>
        <v/>
      </c>
      <c r="AI9" s="21" t="str">
        <f t="shared" si="9"/>
        <v/>
      </c>
      <c r="AJ9" s="21" t="str">
        <f t="shared" si="9"/>
        <v/>
      </c>
      <c r="AK9" s="21" t="str">
        <f t="shared" si="9"/>
        <v/>
      </c>
      <c r="AL9" s="21" t="str">
        <f t="shared" si="9"/>
        <v/>
      </c>
      <c r="AM9" s="21" t="str">
        <f t="shared" si="9"/>
        <v/>
      </c>
      <c r="AN9" s="21" t="str">
        <f t="shared" si="9"/>
        <v/>
      </c>
      <c r="AO9" s="21" t="str">
        <f t="shared" ref="AO9:AO19" si="12">if(isblank(K9),H9,AE9&amp;AF9&amp;AG9&amp;AH9&amp;AI9&amp;AJ9&amp;AK9&amp;AL9&amp;AM9&amp;AN9)</f>
        <v/>
      </c>
    </row>
    <row r="10" ht="16.5" customHeight="1">
      <c r="A10" s="11" t="s">
        <v>154</v>
      </c>
      <c r="B10" s="11" t="s">
        <v>168</v>
      </c>
      <c r="C10" s="11" t="s">
        <v>175</v>
      </c>
      <c r="D10" s="11" t="s">
        <v>176</v>
      </c>
      <c r="E10" s="11" t="s">
        <v>158</v>
      </c>
      <c r="F10" s="22" t="s">
        <v>2134</v>
      </c>
      <c r="J10" s="18"/>
      <c r="K10" s="19" t="s">
        <v>152</v>
      </c>
      <c r="L10" s="19"/>
      <c r="M10" s="19"/>
      <c r="N10" s="19"/>
      <c r="O10" s="19"/>
      <c r="P10" s="19"/>
      <c r="Q10" s="20"/>
      <c r="R10" s="20"/>
      <c r="S10" s="20"/>
      <c r="T10" s="20"/>
      <c r="AE10" s="21" t="str">
        <f t="shared" si="10"/>
        <v>naples-wrapped-suede-taupe-bg</v>
      </c>
      <c r="AF10" s="21" t="str">
        <f t="shared" ref="AF10:AN10" si="11">if(not(isblank(L10)),", "&amp;L10,"")</f>
        <v/>
      </c>
      <c r="AG10" s="21" t="str">
        <f t="shared" si="11"/>
        <v/>
      </c>
      <c r="AH10" s="21" t="str">
        <f t="shared" si="11"/>
        <v/>
      </c>
      <c r="AI10" s="21" t="str">
        <f t="shared" si="11"/>
        <v/>
      </c>
      <c r="AJ10" s="21" t="str">
        <f t="shared" si="11"/>
        <v/>
      </c>
      <c r="AK10" s="21" t="str">
        <f t="shared" si="11"/>
        <v/>
      </c>
      <c r="AL10" s="21" t="str">
        <f t="shared" si="11"/>
        <v/>
      </c>
      <c r="AM10" s="21" t="str">
        <f t="shared" si="11"/>
        <v/>
      </c>
      <c r="AN10" s="21" t="str">
        <f t="shared" si="11"/>
        <v/>
      </c>
      <c r="AO10" s="21" t="str">
        <f t="shared" si="12"/>
        <v>naples-wrapped-suede-taupe-bg</v>
      </c>
    </row>
    <row r="11" ht="16.5" customHeight="1">
      <c r="A11" s="11" t="s">
        <v>154</v>
      </c>
      <c r="B11" s="11" t="s">
        <v>155</v>
      </c>
      <c r="C11" s="11" t="s">
        <v>152</v>
      </c>
      <c r="D11" s="11" t="s">
        <v>153</v>
      </c>
      <c r="E11" s="11" t="s">
        <v>158</v>
      </c>
      <c r="F11" s="11" t="s">
        <v>157</v>
      </c>
      <c r="J11" s="18"/>
      <c r="K11" s="19" t="s">
        <v>175</v>
      </c>
      <c r="L11" s="19"/>
      <c r="M11" s="19"/>
      <c r="N11" s="19"/>
      <c r="O11" s="19"/>
      <c r="P11" s="19"/>
      <c r="Q11" s="20"/>
      <c r="R11" s="20"/>
      <c r="S11" s="20"/>
      <c r="T11" s="20"/>
      <c r="AE11" s="21" t="str">
        <f t="shared" si="10"/>
        <v>naples-wrapped-suede-carafe</v>
      </c>
      <c r="AF11" s="21" t="str">
        <f t="shared" ref="AF11:AN11" si="13">if(not(isblank(L11)),", "&amp;L11,"")</f>
        <v/>
      </c>
      <c r="AG11" s="21" t="str">
        <f t="shared" si="13"/>
        <v/>
      </c>
      <c r="AH11" s="21" t="str">
        <f t="shared" si="13"/>
        <v/>
      </c>
      <c r="AI11" s="21" t="str">
        <f t="shared" si="13"/>
        <v/>
      </c>
      <c r="AJ11" s="21" t="str">
        <f t="shared" si="13"/>
        <v/>
      </c>
      <c r="AK11" s="21" t="str">
        <f t="shared" si="13"/>
        <v/>
      </c>
      <c r="AL11" s="21" t="str">
        <f t="shared" si="13"/>
        <v/>
      </c>
      <c r="AM11" s="21" t="str">
        <f t="shared" si="13"/>
        <v/>
      </c>
      <c r="AN11" s="21" t="str">
        <f t="shared" si="13"/>
        <v/>
      </c>
      <c r="AO11" s="21" t="str">
        <f t="shared" si="12"/>
        <v>naples-wrapped-suede-carafe</v>
      </c>
    </row>
    <row r="12" ht="16.5" customHeight="1">
      <c r="A12" s="11" t="s">
        <v>154</v>
      </c>
      <c r="B12" s="11" t="s">
        <v>179</v>
      </c>
      <c r="C12" s="11" t="s">
        <v>177</v>
      </c>
      <c r="D12" s="11" t="s">
        <v>178</v>
      </c>
      <c r="J12" s="18"/>
      <c r="K12" s="19"/>
      <c r="L12" s="19"/>
      <c r="M12" s="19"/>
      <c r="N12" s="19"/>
      <c r="O12" s="19"/>
      <c r="P12" s="19"/>
      <c r="Q12" s="20"/>
      <c r="R12" s="20"/>
      <c r="S12" s="20"/>
      <c r="T12" s="20"/>
      <c r="AE12" s="21" t="str">
        <f t="shared" si="10"/>
        <v/>
      </c>
      <c r="AF12" s="21" t="str">
        <f t="shared" ref="AF12:AN12" si="14">if(not(isblank(L12)),", "&amp;L12,"")</f>
        <v/>
      </c>
      <c r="AG12" s="21" t="str">
        <f t="shared" si="14"/>
        <v/>
      </c>
      <c r="AH12" s="21" t="str">
        <f t="shared" si="14"/>
        <v/>
      </c>
      <c r="AI12" s="21" t="str">
        <f t="shared" si="14"/>
        <v/>
      </c>
      <c r="AJ12" s="21" t="str">
        <f t="shared" si="14"/>
        <v/>
      </c>
      <c r="AK12" s="21" t="str">
        <f t="shared" si="14"/>
        <v/>
      </c>
      <c r="AL12" s="21" t="str">
        <f t="shared" si="14"/>
        <v/>
      </c>
      <c r="AM12" s="21" t="str">
        <f t="shared" si="14"/>
        <v/>
      </c>
      <c r="AN12" s="21" t="str">
        <f t="shared" si="14"/>
        <v/>
      </c>
      <c r="AO12" s="21" t="str">
        <f t="shared" si="12"/>
        <v/>
      </c>
    </row>
    <row r="13" ht="16.5" customHeight="1">
      <c r="A13" s="11" t="s">
        <v>38</v>
      </c>
      <c r="B13" s="11" t="s">
        <v>35</v>
      </c>
      <c r="C13" s="11" t="s">
        <v>180</v>
      </c>
      <c r="D13" s="11" t="s">
        <v>181</v>
      </c>
      <c r="E13" s="22" t="s">
        <v>2135</v>
      </c>
      <c r="F13" s="22" t="s">
        <v>2136</v>
      </c>
      <c r="G13" s="22" t="s">
        <v>2137</v>
      </c>
      <c r="J13" s="18"/>
      <c r="K13" s="19" t="s">
        <v>428</v>
      </c>
      <c r="L13" s="19"/>
      <c r="M13" s="19"/>
      <c r="N13" s="20"/>
      <c r="O13" s="20"/>
      <c r="P13" s="20"/>
      <c r="Q13" s="20"/>
      <c r="R13" s="20"/>
      <c r="S13" s="20"/>
      <c r="T13" s="20"/>
      <c r="AE13" s="21" t="str">
        <f t="shared" si="10"/>
        <v>abby-otter-ministripe</v>
      </c>
      <c r="AF13" s="21" t="str">
        <f t="shared" ref="AF13:AN13" si="15">if(not(isblank(L13)),", "&amp;L13,"")</f>
        <v/>
      </c>
      <c r="AG13" s="21" t="str">
        <f t="shared" si="15"/>
        <v/>
      </c>
      <c r="AH13" s="21" t="str">
        <f t="shared" si="15"/>
        <v/>
      </c>
      <c r="AI13" s="21" t="str">
        <f t="shared" si="15"/>
        <v/>
      </c>
      <c r="AJ13" s="21" t="str">
        <f t="shared" si="15"/>
        <v/>
      </c>
      <c r="AK13" s="21" t="str">
        <f t="shared" si="15"/>
        <v/>
      </c>
      <c r="AL13" s="21" t="str">
        <f t="shared" si="15"/>
        <v/>
      </c>
      <c r="AM13" s="21" t="str">
        <f t="shared" si="15"/>
        <v/>
      </c>
      <c r="AN13" s="21" t="str">
        <f t="shared" si="15"/>
        <v/>
      </c>
      <c r="AO13" s="21" t="str">
        <f t="shared" si="12"/>
        <v>abby-otter-ministripe</v>
      </c>
    </row>
    <row r="14" ht="16.5" customHeight="1">
      <c r="A14" s="11" t="s">
        <v>38</v>
      </c>
      <c r="B14" s="11" t="s">
        <v>44</v>
      </c>
      <c r="C14" s="11" t="s">
        <v>184</v>
      </c>
      <c r="D14" s="11" t="s">
        <v>185</v>
      </c>
      <c r="E14" s="22" t="s">
        <v>2138</v>
      </c>
      <c r="J14" s="18"/>
      <c r="K14" s="19"/>
      <c r="L14" s="19"/>
      <c r="M14" s="19"/>
      <c r="N14" s="20"/>
      <c r="O14" s="20"/>
      <c r="P14" s="20"/>
      <c r="Q14" s="20"/>
      <c r="R14" s="20"/>
      <c r="S14" s="20"/>
      <c r="T14" s="20"/>
      <c r="AE14" s="21" t="str">
        <f t="shared" si="10"/>
        <v/>
      </c>
      <c r="AF14" s="21" t="str">
        <f t="shared" ref="AF14:AN14" si="16">if(not(isblank(L14)),", "&amp;L14,"")</f>
        <v/>
      </c>
      <c r="AG14" s="21" t="str">
        <f t="shared" si="16"/>
        <v/>
      </c>
      <c r="AH14" s="21" t="str">
        <f t="shared" si="16"/>
        <v/>
      </c>
      <c r="AI14" s="21" t="str">
        <f t="shared" si="16"/>
        <v/>
      </c>
      <c r="AJ14" s="21" t="str">
        <f t="shared" si="16"/>
        <v/>
      </c>
      <c r="AK14" s="21" t="str">
        <f t="shared" si="16"/>
        <v/>
      </c>
      <c r="AL14" s="21" t="str">
        <f t="shared" si="16"/>
        <v/>
      </c>
      <c r="AM14" s="21" t="str">
        <f t="shared" si="16"/>
        <v/>
      </c>
      <c r="AN14" s="21" t="str">
        <f t="shared" si="16"/>
        <v/>
      </c>
      <c r="AO14" s="21" t="str">
        <f t="shared" si="12"/>
        <v/>
      </c>
    </row>
    <row r="15" ht="16.5" customHeight="1">
      <c r="A15" s="11" t="s">
        <v>38</v>
      </c>
      <c r="B15" s="11" t="s">
        <v>39</v>
      </c>
      <c r="C15" s="11" t="s">
        <v>186</v>
      </c>
      <c r="D15" s="11" t="s">
        <v>187</v>
      </c>
      <c r="E15" s="22" t="s">
        <v>2139</v>
      </c>
      <c r="F15" s="22" t="s">
        <v>2140</v>
      </c>
      <c r="G15" s="22" t="s">
        <v>2141</v>
      </c>
      <c r="J15" s="18"/>
      <c r="K15" s="19" t="s">
        <v>188</v>
      </c>
      <c r="L15" s="19" t="s">
        <v>61</v>
      </c>
      <c r="M15" s="19"/>
      <c r="N15" s="20"/>
      <c r="O15" s="20"/>
      <c r="P15" s="20"/>
      <c r="Q15" s="20"/>
      <c r="R15" s="20"/>
      <c r="S15" s="20"/>
      <c r="T15" s="20"/>
      <c r="AE15" s="21" t="str">
        <f t="shared" si="10"/>
        <v>amber-japan-fog</v>
      </c>
      <c r="AF15" s="21" t="str">
        <f t="shared" ref="AF15:AN15" si="17">if(not(isblank(L15)),", "&amp;L15,"")</f>
        <v>, amber-japan-gravel</v>
      </c>
      <c r="AG15" s="21" t="str">
        <f t="shared" si="17"/>
        <v/>
      </c>
      <c r="AH15" s="21" t="str">
        <f t="shared" si="17"/>
        <v/>
      </c>
      <c r="AI15" s="21" t="str">
        <f t="shared" si="17"/>
        <v/>
      </c>
      <c r="AJ15" s="21" t="str">
        <f t="shared" si="17"/>
        <v/>
      </c>
      <c r="AK15" s="21" t="str">
        <f t="shared" si="17"/>
        <v/>
      </c>
      <c r="AL15" s="21" t="str">
        <f t="shared" si="17"/>
        <v/>
      </c>
      <c r="AM15" s="21" t="str">
        <f t="shared" si="17"/>
        <v/>
      </c>
      <c r="AN15" s="21" t="str">
        <f t="shared" si="17"/>
        <v/>
      </c>
      <c r="AO15" s="21" t="str">
        <f t="shared" si="12"/>
        <v>amber-japan-fog, amber-japan-gravel</v>
      </c>
    </row>
    <row r="16" ht="16.5" customHeight="1">
      <c r="A16" s="11" t="s">
        <v>38</v>
      </c>
      <c r="B16" s="11" t="s">
        <v>39</v>
      </c>
      <c r="C16" s="11" t="s">
        <v>188</v>
      </c>
      <c r="D16" s="11" t="s">
        <v>189</v>
      </c>
      <c r="E16" s="22" t="s">
        <v>2142</v>
      </c>
      <c r="F16" s="22" t="s">
        <v>2140</v>
      </c>
      <c r="G16" s="22" t="s">
        <v>2143</v>
      </c>
      <c r="J16" s="18"/>
      <c r="K16" s="19" t="s">
        <v>186</v>
      </c>
      <c r="L16" s="19" t="s">
        <v>61</v>
      </c>
      <c r="M16" s="19"/>
      <c r="N16" s="19"/>
      <c r="O16" s="19"/>
      <c r="P16" s="20"/>
      <c r="Q16" s="20"/>
      <c r="R16" s="20"/>
      <c r="S16" s="20"/>
      <c r="T16" s="20"/>
      <c r="AE16" s="21" t="str">
        <f t="shared" si="10"/>
        <v>amber-japan-blue-scurry</v>
      </c>
      <c r="AF16" s="21" t="str">
        <f t="shared" ref="AF16:AN16" si="18">if(not(isblank(L16)),", "&amp;L16,"")</f>
        <v>, amber-japan-gravel</v>
      </c>
      <c r="AG16" s="21" t="str">
        <f t="shared" si="18"/>
        <v/>
      </c>
      <c r="AH16" s="21" t="str">
        <f t="shared" si="18"/>
        <v/>
      </c>
      <c r="AI16" s="21" t="str">
        <f t="shared" si="18"/>
        <v/>
      </c>
      <c r="AJ16" s="21" t="str">
        <f t="shared" si="18"/>
        <v/>
      </c>
      <c r="AK16" s="21" t="str">
        <f t="shared" si="18"/>
        <v/>
      </c>
      <c r="AL16" s="21" t="str">
        <f t="shared" si="18"/>
        <v/>
      </c>
      <c r="AM16" s="21" t="str">
        <f t="shared" si="18"/>
        <v/>
      </c>
      <c r="AN16" s="21" t="str">
        <f t="shared" si="18"/>
        <v/>
      </c>
      <c r="AO16" s="21" t="str">
        <f t="shared" si="12"/>
        <v>amber-japan-blue-scurry, amber-japan-gravel</v>
      </c>
    </row>
    <row r="17" ht="16.5" customHeight="1">
      <c r="A17" s="11" t="s">
        <v>38</v>
      </c>
      <c r="B17" s="11" t="s">
        <v>39</v>
      </c>
      <c r="C17" s="11" t="s">
        <v>61</v>
      </c>
      <c r="D17" s="11" t="s">
        <v>62</v>
      </c>
      <c r="E17" s="22" t="s">
        <v>2144</v>
      </c>
      <c r="F17" s="22" t="s">
        <v>2140</v>
      </c>
      <c r="G17" s="22" t="s">
        <v>2141</v>
      </c>
      <c r="J17" s="18"/>
      <c r="K17" s="19" t="s">
        <v>188</v>
      </c>
      <c r="L17" s="19" t="s">
        <v>186</v>
      </c>
      <c r="M17" s="19"/>
      <c r="N17" s="19"/>
      <c r="O17" s="19"/>
      <c r="P17" s="20"/>
      <c r="Q17" s="20"/>
      <c r="R17" s="20"/>
      <c r="S17" s="20"/>
      <c r="T17" s="20"/>
      <c r="AE17" s="21" t="str">
        <f t="shared" si="10"/>
        <v>amber-japan-fog</v>
      </c>
      <c r="AF17" s="21" t="str">
        <f t="shared" ref="AF17:AN17" si="19">if(not(isblank(L17)),", "&amp;L17,"")</f>
        <v>, amber-japan-blue-scurry</v>
      </c>
      <c r="AG17" s="21" t="str">
        <f t="shared" si="19"/>
        <v/>
      </c>
      <c r="AH17" s="21" t="str">
        <f t="shared" si="19"/>
        <v/>
      </c>
      <c r="AI17" s="21" t="str">
        <f t="shared" si="19"/>
        <v/>
      </c>
      <c r="AJ17" s="21" t="str">
        <f t="shared" si="19"/>
        <v/>
      </c>
      <c r="AK17" s="21" t="str">
        <f t="shared" si="19"/>
        <v/>
      </c>
      <c r="AL17" s="21" t="str">
        <f t="shared" si="19"/>
        <v/>
      </c>
      <c r="AM17" s="21" t="str">
        <f t="shared" si="19"/>
        <v/>
      </c>
      <c r="AN17" s="21" t="str">
        <f t="shared" si="19"/>
        <v/>
      </c>
      <c r="AO17" s="21" t="str">
        <f t="shared" si="12"/>
        <v>amber-japan-fog, amber-japan-blue-scurry</v>
      </c>
    </row>
    <row r="18" ht="16.5" customHeight="1">
      <c r="A18" s="11" t="s">
        <v>38</v>
      </c>
      <c r="B18" s="11" t="s">
        <v>103</v>
      </c>
      <c r="C18" s="11" t="s">
        <v>101</v>
      </c>
      <c r="D18" s="11" t="s">
        <v>102</v>
      </c>
      <c r="J18" s="18"/>
      <c r="K18" s="19"/>
      <c r="L18" s="19"/>
      <c r="M18" s="19"/>
      <c r="N18" s="19"/>
      <c r="O18" s="19"/>
      <c r="P18" s="20"/>
      <c r="Q18" s="20"/>
      <c r="R18" s="20"/>
      <c r="S18" s="20"/>
      <c r="T18" s="20"/>
      <c r="AE18" s="21" t="str">
        <f t="shared" si="10"/>
        <v/>
      </c>
      <c r="AF18" s="21" t="str">
        <f t="shared" ref="AF18:AN18" si="20">if(not(isblank(L18)),", "&amp;L18,"")</f>
        <v/>
      </c>
      <c r="AG18" s="21" t="str">
        <f t="shared" si="20"/>
        <v/>
      </c>
      <c r="AH18" s="21" t="str">
        <f t="shared" si="20"/>
        <v/>
      </c>
      <c r="AI18" s="21" t="str">
        <f t="shared" si="20"/>
        <v/>
      </c>
      <c r="AJ18" s="21" t="str">
        <f t="shared" si="20"/>
        <v/>
      </c>
      <c r="AK18" s="21" t="str">
        <f t="shared" si="20"/>
        <v/>
      </c>
      <c r="AL18" s="21" t="str">
        <f t="shared" si="20"/>
        <v/>
      </c>
      <c r="AM18" s="21" t="str">
        <f t="shared" si="20"/>
        <v/>
      </c>
      <c r="AN18" s="21" t="str">
        <f t="shared" si="20"/>
        <v/>
      </c>
      <c r="AO18" s="21" t="str">
        <f t="shared" si="12"/>
        <v/>
      </c>
    </row>
    <row r="19" ht="16.5" customHeight="1">
      <c r="A19" s="11" t="s">
        <v>38</v>
      </c>
      <c r="B19" s="11" t="s">
        <v>39</v>
      </c>
      <c r="C19" s="11" t="s">
        <v>130</v>
      </c>
      <c r="D19" s="11" t="s">
        <v>131</v>
      </c>
      <c r="E19" s="22" t="s">
        <v>2145</v>
      </c>
      <c r="F19" s="22" t="s">
        <v>2146</v>
      </c>
      <c r="G19" s="22" t="s">
        <v>2147</v>
      </c>
      <c r="J19" s="18"/>
      <c r="K19" s="19" t="s">
        <v>132</v>
      </c>
      <c r="L19" s="19"/>
      <c r="M19" s="19"/>
      <c r="N19" s="19"/>
      <c r="O19" s="19"/>
      <c r="P19" s="20"/>
      <c r="Q19" s="20"/>
      <c r="R19" s="20"/>
      <c r="S19" s="20"/>
      <c r="T19" s="20"/>
      <c r="AE19" s="21" t="str">
        <f t="shared" si="10"/>
        <v>centi-white-fine-silk</v>
      </c>
      <c r="AF19" s="21" t="str">
        <f t="shared" ref="AF19:AN19" si="21">if(not(isblank(L19)),", "&amp;L19,"")</f>
        <v/>
      </c>
      <c r="AG19" s="21" t="str">
        <f t="shared" si="21"/>
        <v/>
      </c>
      <c r="AH19" s="21" t="str">
        <f t="shared" si="21"/>
        <v/>
      </c>
      <c r="AI19" s="21" t="str">
        <f t="shared" si="21"/>
        <v/>
      </c>
      <c r="AJ19" s="21" t="str">
        <f t="shared" si="21"/>
        <v/>
      </c>
      <c r="AK19" s="21" t="str">
        <f t="shared" si="21"/>
        <v/>
      </c>
      <c r="AL19" s="21" t="str">
        <f t="shared" si="21"/>
        <v/>
      </c>
      <c r="AM19" s="21" t="str">
        <f t="shared" si="21"/>
        <v/>
      </c>
      <c r="AN19" s="21" t="str">
        <f t="shared" si="21"/>
        <v/>
      </c>
      <c r="AO19" s="21" t="str">
        <f t="shared" si="12"/>
        <v>centi-white-fine-silk</v>
      </c>
    </row>
    <row r="20" ht="16.5" customHeight="1">
      <c r="A20" s="11" t="s">
        <v>38</v>
      </c>
      <c r="B20" s="11" t="s">
        <v>39</v>
      </c>
      <c r="C20" s="11" t="s">
        <v>132</v>
      </c>
      <c r="D20" s="11" t="s">
        <v>133</v>
      </c>
      <c r="E20" s="22" t="s">
        <v>2145</v>
      </c>
      <c r="F20" s="22" t="s">
        <v>2146</v>
      </c>
      <c r="G20" s="22" t="s">
        <v>2147</v>
      </c>
      <c r="J20" s="18"/>
      <c r="K20" s="19" t="s">
        <v>130</v>
      </c>
      <c r="L20" s="19"/>
      <c r="M20" s="19"/>
      <c r="N20" s="19"/>
      <c r="O20" s="19"/>
      <c r="P20" s="20"/>
      <c r="Q20" s="20"/>
      <c r="R20" s="20"/>
      <c r="S20" s="20"/>
      <c r="T20" s="20"/>
      <c r="AE20" s="21" t="str">
        <f t="shared" si="10"/>
        <v>centi-aloe-fine-silk</v>
      </c>
      <c r="AF20" s="21" t="str">
        <f t="shared" ref="AF20:AN20" si="22">if(not(isblank(L20)),", "&amp;L20,"")</f>
        <v/>
      </c>
      <c r="AG20" s="21" t="str">
        <f t="shared" si="22"/>
        <v/>
      </c>
      <c r="AH20" s="21" t="str">
        <f t="shared" si="22"/>
        <v/>
      </c>
      <c r="AI20" s="21" t="str">
        <f t="shared" si="22"/>
        <v/>
      </c>
      <c r="AJ20" s="21" t="str">
        <f t="shared" si="22"/>
        <v/>
      </c>
      <c r="AK20" s="21" t="str">
        <f t="shared" si="22"/>
        <v/>
      </c>
      <c r="AL20" s="21" t="str">
        <f t="shared" si="22"/>
        <v/>
      </c>
      <c r="AM20" s="21" t="str">
        <f t="shared" si="22"/>
        <v/>
      </c>
      <c r="AN20" s="21" t="str">
        <f t="shared" si="22"/>
        <v/>
      </c>
      <c r="AO20" s="21" t="str">
        <f>if(isblank(K20),F20,AE20&amp;AF20&amp;AG20&amp;AH20&amp;AI20&amp;AJ20&amp;AK20&amp;AL20&amp;AM20&amp;AN20)</f>
        <v>centi-aloe-fine-silk</v>
      </c>
    </row>
    <row r="21" ht="16.5" customHeight="1">
      <c r="A21" s="11" t="s">
        <v>38</v>
      </c>
      <c r="B21" s="11" t="s">
        <v>44</v>
      </c>
      <c r="C21" s="11" t="s">
        <v>134</v>
      </c>
      <c r="D21" s="11" t="s">
        <v>135</v>
      </c>
      <c r="J21" s="18"/>
      <c r="K21" s="19"/>
      <c r="L21" s="19"/>
      <c r="M21" s="19"/>
      <c r="N21" s="19"/>
      <c r="O21" s="19"/>
      <c r="P21" s="20"/>
      <c r="Q21" s="20"/>
      <c r="R21" s="20"/>
      <c r="S21" s="20"/>
      <c r="T21" s="20"/>
      <c r="AE21" s="21" t="str">
        <f t="shared" si="10"/>
        <v/>
      </c>
      <c r="AF21" s="21" t="str">
        <f t="shared" ref="AF21:AN21" si="23">if(not(isblank(L21)),", "&amp;L21,"")</f>
        <v/>
      </c>
      <c r="AG21" s="21" t="str">
        <f t="shared" si="23"/>
        <v/>
      </c>
      <c r="AH21" s="21" t="str">
        <f t="shared" si="23"/>
        <v/>
      </c>
      <c r="AI21" s="21" t="str">
        <f t="shared" si="23"/>
        <v/>
      </c>
      <c r="AJ21" s="21" t="str">
        <f t="shared" si="23"/>
        <v/>
      </c>
      <c r="AK21" s="21" t="str">
        <f t="shared" si="23"/>
        <v/>
      </c>
      <c r="AL21" s="21" t="str">
        <f t="shared" si="23"/>
        <v/>
      </c>
      <c r="AM21" s="21" t="str">
        <f t="shared" si="23"/>
        <v/>
      </c>
      <c r="AN21" s="21" t="str">
        <f t="shared" si="23"/>
        <v/>
      </c>
      <c r="AO21" s="21" t="str">
        <f t="shared" ref="AO21:AO22" si="25">if(isblank(K21),H21,AE21&amp;AF21&amp;AG21&amp;AH21&amp;AI21&amp;AJ21&amp;AK21&amp;AL21&amp;AM21&amp;AN21)</f>
        <v/>
      </c>
    </row>
    <row r="22" ht="16.5" customHeight="1">
      <c r="A22" s="11" t="s">
        <v>38</v>
      </c>
      <c r="B22" s="11" t="s">
        <v>47</v>
      </c>
      <c r="C22" s="11" t="s">
        <v>142</v>
      </c>
      <c r="D22" s="11" t="s">
        <v>143</v>
      </c>
      <c r="E22" s="22" t="s">
        <v>2148</v>
      </c>
      <c r="F22" s="22" t="s">
        <v>2149</v>
      </c>
      <c r="G22" s="22" t="s">
        <v>2150</v>
      </c>
      <c r="J22" s="18"/>
      <c r="K22" s="19" t="s">
        <v>2129</v>
      </c>
      <c r="L22" s="19" t="s">
        <v>2130</v>
      </c>
      <c r="M22" s="19"/>
      <c r="N22" s="19"/>
      <c r="O22" s="19"/>
      <c r="P22" s="20"/>
      <c r="Q22" s="20"/>
      <c r="R22" s="20"/>
      <c r="S22" s="20"/>
      <c r="T22" s="20"/>
      <c r="AE22" s="21" t="str">
        <f t="shared" si="10"/>
        <v>eva-white</v>
      </c>
      <c r="AF22" s="21" t="str">
        <f t="shared" ref="AF22:AN22" si="24">if(not(isblank(L22)),", "&amp;L22,"")</f>
        <v>, eva-black</v>
      </c>
      <c r="AG22" s="21" t="str">
        <f t="shared" si="24"/>
        <v/>
      </c>
      <c r="AH22" s="21" t="str">
        <f t="shared" si="24"/>
        <v/>
      </c>
      <c r="AI22" s="21" t="str">
        <f t="shared" si="24"/>
        <v/>
      </c>
      <c r="AJ22" s="21" t="str">
        <f t="shared" si="24"/>
        <v/>
      </c>
      <c r="AK22" s="21" t="str">
        <f t="shared" si="24"/>
        <v/>
      </c>
      <c r="AL22" s="21" t="str">
        <f t="shared" si="24"/>
        <v/>
      </c>
      <c r="AM22" s="21" t="str">
        <f t="shared" si="24"/>
        <v/>
      </c>
      <c r="AN22" s="21" t="str">
        <f t="shared" si="24"/>
        <v/>
      </c>
      <c r="AO22" s="21" t="str">
        <f t="shared" si="25"/>
        <v>eva-white, eva-black</v>
      </c>
    </row>
    <row r="23" ht="16.5" customHeight="1">
      <c r="A23" s="11" t="s">
        <v>38</v>
      </c>
      <c r="B23" s="11" t="s">
        <v>44</v>
      </c>
      <c r="C23" s="11" t="s">
        <v>144</v>
      </c>
      <c r="D23" s="11" t="s">
        <v>145</v>
      </c>
      <c r="J23" s="18"/>
      <c r="K23" s="19"/>
      <c r="L23" s="19"/>
      <c r="M23" s="19"/>
      <c r="N23" s="19"/>
      <c r="O23" s="19"/>
      <c r="P23" s="20"/>
      <c r="Q23" s="20"/>
      <c r="R23" s="20"/>
      <c r="S23" s="20"/>
      <c r="T23" s="20"/>
      <c r="AE23" s="21" t="str">
        <f t="shared" si="10"/>
        <v/>
      </c>
      <c r="AF23" s="21" t="str">
        <f t="shared" ref="AF23:AN23" si="26">if(not(isblank(L23)),", "&amp;L23,"")</f>
        <v/>
      </c>
      <c r="AG23" s="21" t="str">
        <f t="shared" si="26"/>
        <v/>
      </c>
      <c r="AH23" s="21" t="str">
        <f t="shared" si="26"/>
        <v/>
      </c>
      <c r="AI23" s="21" t="str">
        <f t="shared" si="26"/>
        <v/>
      </c>
      <c r="AJ23" s="21" t="str">
        <f t="shared" si="26"/>
        <v/>
      </c>
      <c r="AK23" s="21" t="str">
        <f t="shared" si="26"/>
        <v/>
      </c>
      <c r="AL23" s="21" t="str">
        <f t="shared" si="26"/>
        <v/>
      </c>
      <c r="AM23" s="21" t="str">
        <f t="shared" si="26"/>
        <v/>
      </c>
      <c r="AN23" s="21" t="str">
        <f t="shared" si="26"/>
        <v/>
      </c>
      <c r="AO23" s="21" t="str">
        <f t="shared" ref="AO23:AO24" si="28">if(isblank(K23),F23,AE23&amp;AF23&amp;AG23&amp;AH23&amp;AI23&amp;AJ23&amp;AK23&amp;AL23&amp;AM23&amp;AN23)</f>
        <v/>
      </c>
    </row>
    <row r="24" ht="16.5" customHeight="1">
      <c r="A24" s="11" t="s">
        <v>38</v>
      </c>
      <c r="B24" s="11" t="s">
        <v>73</v>
      </c>
      <c r="C24" s="11" t="s">
        <v>150</v>
      </c>
      <c r="D24" s="11" t="s">
        <v>151</v>
      </c>
      <c r="J24" s="18"/>
      <c r="K24" s="19"/>
      <c r="L24" s="19"/>
      <c r="M24" s="19"/>
      <c r="N24" s="19"/>
      <c r="O24" s="19"/>
      <c r="P24" s="20"/>
      <c r="Q24" s="20"/>
      <c r="R24" s="20"/>
      <c r="S24" s="20"/>
      <c r="T24" s="20"/>
      <c r="AE24" s="21" t="str">
        <f t="shared" si="10"/>
        <v/>
      </c>
      <c r="AF24" s="21" t="str">
        <f t="shared" ref="AF24:AN24" si="27">if(not(isblank(L24)),", "&amp;L24,"")</f>
        <v/>
      </c>
      <c r="AG24" s="21" t="str">
        <f t="shared" si="27"/>
        <v/>
      </c>
      <c r="AH24" s="21" t="str">
        <f t="shared" si="27"/>
        <v/>
      </c>
      <c r="AI24" s="21" t="str">
        <f t="shared" si="27"/>
        <v/>
      </c>
      <c r="AJ24" s="21" t="str">
        <f t="shared" si="27"/>
        <v/>
      </c>
      <c r="AK24" s="21" t="str">
        <f t="shared" si="27"/>
        <v/>
      </c>
      <c r="AL24" s="21" t="str">
        <f t="shared" si="27"/>
        <v/>
      </c>
      <c r="AM24" s="21" t="str">
        <f t="shared" si="27"/>
        <v/>
      </c>
      <c r="AN24" s="21" t="str">
        <f t="shared" si="27"/>
        <v/>
      </c>
      <c r="AO24" s="21" t="str">
        <f t="shared" si="28"/>
        <v/>
      </c>
    </row>
    <row r="25" ht="16.5" customHeight="1">
      <c r="A25" s="11" t="s">
        <v>38</v>
      </c>
      <c r="B25" s="11" t="s">
        <v>44</v>
      </c>
      <c r="C25" s="11" t="s">
        <v>190</v>
      </c>
      <c r="D25" s="11" t="s">
        <v>191</v>
      </c>
      <c r="E25" s="22" t="s">
        <v>2151</v>
      </c>
      <c r="F25" s="22" t="s">
        <v>2152</v>
      </c>
      <c r="G25" s="22" t="s">
        <v>2153</v>
      </c>
      <c r="J25" s="18"/>
      <c r="K25" s="19"/>
      <c r="L25" s="19"/>
      <c r="M25" s="19"/>
      <c r="N25" s="19"/>
      <c r="O25" s="19"/>
      <c r="P25" s="20"/>
      <c r="Q25" s="20"/>
      <c r="R25" s="20"/>
      <c r="S25" s="20"/>
      <c r="T25" s="20"/>
      <c r="AE25" s="21" t="str">
        <f t="shared" si="10"/>
        <v/>
      </c>
      <c r="AF25" s="21" t="str">
        <f t="shared" ref="AF25:AN25" si="29">if(not(isblank(L25)),", "&amp;L25,"")</f>
        <v/>
      </c>
      <c r="AG25" s="21" t="str">
        <f t="shared" si="29"/>
        <v/>
      </c>
      <c r="AH25" s="21" t="str">
        <f t="shared" si="29"/>
        <v/>
      </c>
      <c r="AI25" s="21" t="str">
        <f t="shared" si="29"/>
        <v/>
      </c>
      <c r="AJ25" s="21" t="str">
        <f t="shared" si="29"/>
        <v/>
      </c>
      <c r="AK25" s="21" t="str">
        <f t="shared" si="29"/>
        <v/>
      </c>
      <c r="AL25" s="21" t="str">
        <f t="shared" si="29"/>
        <v/>
      </c>
      <c r="AM25" s="21" t="str">
        <f t="shared" si="29"/>
        <v/>
      </c>
      <c r="AN25" s="21" t="str">
        <f t="shared" si="29"/>
        <v/>
      </c>
      <c r="AO25" s="21" t="str">
        <f t="shared" ref="AO25:AO62" si="31">if(isblank(K25),H25,AE25&amp;AF25&amp;AG25&amp;AH25&amp;AI25&amp;AJ25&amp;AK25&amp;AL25&amp;AM25&amp;AN25)</f>
        <v/>
      </c>
    </row>
    <row r="26" ht="16.5" customHeight="1">
      <c r="A26" s="11" t="s">
        <v>38</v>
      </c>
      <c r="B26" s="11" t="s">
        <v>44</v>
      </c>
      <c r="C26" s="11" t="s">
        <v>192</v>
      </c>
      <c r="D26" s="11" t="s">
        <v>193</v>
      </c>
      <c r="E26" s="22" t="s">
        <v>2151</v>
      </c>
      <c r="F26" s="22" t="s">
        <v>2154</v>
      </c>
      <c r="G26" s="11" t="s">
        <v>1007</v>
      </c>
      <c r="J26" s="18"/>
      <c r="K26" s="19"/>
      <c r="L26" s="19"/>
      <c r="M26" s="20"/>
      <c r="N26" s="20"/>
      <c r="O26" s="20"/>
      <c r="P26" s="20"/>
      <c r="Q26" s="20"/>
      <c r="R26" s="20"/>
      <c r="S26" s="20"/>
      <c r="T26" s="20"/>
      <c r="AE26" s="21" t="str">
        <f t="shared" si="10"/>
        <v/>
      </c>
      <c r="AF26" s="21" t="str">
        <f t="shared" ref="AF26:AN26" si="30">if(not(isblank(L26)),", "&amp;L26,"")</f>
        <v/>
      </c>
      <c r="AG26" s="21" t="str">
        <f t="shared" si="30"/>
        <v/>
      </c>
      <c r="AH26" s="21" t="str">
        <f t="shared" si="30"/>
        <v/>
      </c>
      <c r="AI26" s="21" t="str">
        <f t="shared" si="30"/>
        <v/>
      </c>
      <c r="AJ26" s="21" t="str">
        <f t="shared" si="30"/>
        <v/>
      </c>
      <c r="AK26" s="21" t="str">
        <f t="shared" si="30"/>
        <v/>
      </c>
      <c r="AL26" s="21" t="str">
        <f t="shared" si="30"/>
        <v/>
      </c>
      <c r="AM26" s="21" t="str">
        <f t="shared" si="30"/>
        <v/>
      </c>
      <c r="AN26" s="21" t="str">
        <f t="shared" si="30"/>
        <v/>
      </c>
      <c r="AO26" s="21" t="str">
        <f t="shared" si="31"/>
        <v/>
      </c>
    </row>
    <row r="27" ht="16.5" customHeight="1">
      <c r="A27" s="11" t="s">
        <v>38</v>
      </c>
      <c r="B27" s="11" t="s">
        <v>73</v>
      </c>
      <c r="C27" s="11" t="s">
        <v>194</v>
      </c>
      <c r="D27" s="11" t="s">
        <v>195</v>
      </c>
      <c r="J27" s="18"/>
      <c r="K27" s="19"/>
      <c r="L27" s="19"/>
      <c r="M27" s="20"/>
      <c r="N27" s="20"/>
      <c r="O27" s="20"/>
      <c r="P27" s="20"/>
      <c r="Q27" s="20"/>
      <c r="R27" s="20"/>
      <c r="S27" s="20"/>
      <c r="T27" s="20"/>
      <c r="AE27" s="21" t="str">
        <f t="shared" si="10"/>
        <v/>
      </c>
      <c r="AF27" s="21" t="str">
        <f t="shared" ref="AF27:AN27" si="32">if(not(isblank(L27)),", "&amp;L27,"")</f>
        <v/>
      </c>
      <c r="AG27" s="21" t="str">
        <f t="shared" si="32"/>
        <v/>
      </c>
      <c r="AH27" s="21" t="str">
        <f t="shared" si="32"/>
        <v/>
      </c>
      <c r="AI27" s="21" t="str">
        <f t="shared" si="32"/>
        <v/>
      </c>
      <c r="AJ27" s="21" t="str">
        <f t="shared" si="32"/>
        <v/>
      </c>
      <c r="AK27" s="21" t="str">
        <f t="shared" si="32"/>
        <v/>
      </c>
      <c r="AL27" s="21" t="str">
        <f t="shared" si="32"/>
        <v/>
      </c>
      <c r="AM27" s="21" t="str">
        <f t="shared" si="32"/>
        <v/>
      </c>
      <c r="AN27" s="21" t="str">
        <f t="shared" si="32"/>
        <v/>
      </c>
      <c r="AO27" s="21" t="str">
        <f t="shared" si="31"/>
        <v/>
      </c>
    </row>
    <row r="28" ht="16.5" customHeight="1">
      <c r="A28" s="11" t="s">
        <v>38</v>
      </c>
      <c r="B28" s="11" t="s">
        <v>73</v>
      </c>
      <c r="C28" s="11" t="s">
        <v>85</v>
      </c>
      <c r="D28" s="11" t="s">
        <v>86</v>
      </c>
      <c r="J28" s="18"/>
      <c r="K28" s="23"/>
      <c r="L28" s="19"/>
      <c r="M28" s="19"/>
      <c r="N28" s="20"/>
      <c r="O28" s="20"/>
      <c r="P28" s="20"/>
      <c r="Q28" s="20"/>
      <c r="R28" s="20"/>
      <c r="S28" s="20"/>
      <c r="T28" s="20"/>
      <c r="AE28" s="21" t="str">
        <f t="shared" si="10"/>
        <v/>
      </c>
      <c r="AF28" s="21" t="str">
        <f t="shared" ref="AF28:AN28" si="33">if(not(isblank(L28)),", "&amp;L28,"")</f>
        <v/>
      </c>
      <c r="AG28" s="21" t="str">
        <f t="shared" si="33"/>
        <v/>
      </c>
      <c r="AH28" s="21" t="str">
        <f t="shared" si="33"/>
        <v/>
      </c>
      <c r="AI28" s="21" t="str">
        <f t="shared" si="33"/>
        <v/>
      </c>
      <c r="AJ28" s="21" t="str">
        <f t="shared" si="33"/>
        <v/>
      </c>
      <c r="AK28" s="21" t="str">
        <f t="shared" si="33"/>
        <v/>
      </c>
      <c r="AL28" s="21" t="str">
        <f t="shared" si="33"/>
        <v/>
      </c>
      <c r="AM28" s="21" t="str">
        <f t="shared" si="33"/>
        <v/>
      </c>
      <c r="AN28" s="21" t="str">
        <f t="shared" si="33"/>
        <v/>
      </c>
      <c r="AO28" s="21" t="str">
        <f t="shared" si="31"/>
        <v/>
      </c>
    </row>
    <row r="29" ht="16.5" customHeight="1">
      <c r="A29" s="11" t="s">
        <v>38</v>
      </c>
      <c r="B29" s="11" t="s">
        <v>44</v>
      </c>
      <c r="C29" s="11" t="s">
        <v>196</v>
      </c>
      <c r="D29" s="11" t="s">
        <v>197</v>
      </c>
      <c r="J29" s="18"/>
      <c r="K29" s="19"/>
      <c r="L29" s="20"/>
      <c r="M29" s="20"/>
      <c r="N29" s="20"/>
      <c r="O29" s="20"/>
      <c r="P29" s="20"/>
      <c r="Q29" s="20"/>
      <c r="R29" s="20"/>
      <c r="S29" s="20"/>
      <c r="T29" s="20"/>
      <c r="AE29" s="21" t="str">
        <f t="shared" si="10"/>
        <v/>
      </c>
      <c r="AF29" s="21" t="str">
        <f t="shared" ref="AF29:AN29" si="34">if(not(isblank(L29)),", "&amp;L29,"")</f>
        <v/>
      </c>
      <c r="AG29" s="21" t="str">
        <f t="shared" si="34"/>
        <v/>
      </c>
      <c r="AH29" s="21" t="str">
        <f t="shared" si="34"/>
        <v/>
      </c>
      <c r="AI29" s="21" t="str">
        <f t="shared" si="34"/>
        <v/>
      </c>
      <c r="AJ29" s="21" t="str">
        <f t="shared" si="34"/>
        <v/>
      </c>
      <c r="AK29" s="21" t="str">
        <f t="shared" si="34"/>
        <v/>
      </c>
      <c r="AL29" s="21" t="str">
        <f t="shared" si="34"/>
        <v/>
      </c>
      <c r="AM29" s="21" t="str">
        <f t="shared" si="34"/>
        <v/>
      </c>
      <c r="AN29" s="21" t="str">
        <f t="shared" si="34"/>
        <v/>
      </c>
      <c r="AO29" s="21" t="str">
        <f t="shared" si="31"/>
        <v/>
      </c>
    </row>
    <row r="30" ht="16.5" customHeight="1">
      <c r="A30" s="11" t="s">
        <v>38</v>
      </c>
      <c r="B30" s="11" t="s">
        <v>44</v>
      </c>
      <c r="C30" s="11" t="s">
        <v>198</v>
      </c>
      <c r="D30" s="11" t="s">
        <v>199</v>
      </c>
      <c r="J30" s="18"/>
      <c r="K30" s="19"/>
      <c r="L30" s="19"/>
      <c r="M30" s="20"/>
      <c r="N30" s="20"/>
      <c r="O30" s="20"/>
      <c r="P30" s="20"/>
      <c r="Q30" s="20"/>
      <c r="R30" s="20"/>
      <c r="S30" s="20"/>
      <c r="T30" s="20"/>
      <c r="AE30" s="21" t="str">
        <f t="shared" si="10"/>
        <v/>
      </c>
      <c r="AF30" s="21" t="str">
        <f t="shared" ref="AF30:AN30" si="35">if(not(isblank(L30)),", "&amp;L30,"")</f>
        <v/>
      </c>
      <c r="AG30" s="21" t="str">
        <f t="shared" si="35"/>
        <v/>
      </c>
      <c r="AH30" s="21" t="str">
        <f t="shared" si="35"/>
        <v/>
      </c>
      <c r="AI30" s="21" t="str">
        <f t="shared" si="35"/>
        <v/>
      </c>
      <c r="AJ30" s="21" t="str">
        <f t="shared" si="35"/>
        <v/>
      </c>
      <c r="AK30" s="21" t="str">
        <f t="shared" si="35"/>
        <v/>
      </c>
      <c r="AL30" s="21" t="str">
        <f t="shared" si="35"/>
        <v/>
      </c>
      <c r="AM30" s="21" t="str">
        <f t="shared" si="35"/>
        <v/>
      </c>
      <c r="AN30" s="21" t="str">
        <f t="shared" si="35"/>
        <v/>
      </c>
      <c r="AO30" s="21" t="str">
        <f t="shared" si="31"/>
        <v/>
      </c>
    </row>
    <row r="31" ht="16.5" customHeight="1">
      <c r="A31" s="11" t="s">
        <v>38</v>
      </c>
      <c r="B31" s="11" t="s">
        <v>39</v>
      </c>
      <c r="C31" s="11" t="s">
        <v>36</v>
      </c>
      <c r="D31" s="11" t="s">
        <v>37</v>
      </c>
      <c r="E31" s="22" t="s">
        <v>2155</v>
      </c>
      <c r="F31" s="22" t="s">
        <v>2156</v>
      </c>
      <c r="G31" s="22" t="s">
        <v>2157</v>
      </c>
      <c r="J31" s="18"/>
      <c r="K31" s="19" t="s">
        <v>40</v>
      </c>
      <c r="L31" s="19"/>
      <c r="M31" s="20"/>
      <c r="N31" s="20"/>
      <c r="O31" s="20"/>
      <c r="P31" s="20"/>
      <c r="Q31" s="20"/>
      <c r="R31" s="20"/>
      <c r="S31" s="20"/>
      <c r="T31" s="20"/>
      <c r="AE31" s="21" t="str">
        <f t="shared" si="10"/>
        <v>nikka-peat-linen</v>
      </c>
      <c r="AF31" s="21" t="str">
        <f t="shared" ref="AF31:AN31" si="36">if(not(isblank(L31)),", "&amp;L31,"")</f>
        <v/>
      </c>
      <c r="AG31" s="21" t="str">
        <f t="shared" si="36"/>
        <v/>
      </c>
      <c r="AH31" s="21" t="str">
        <f t="shared" si="36"/>
        <v/>
      </c>
      <c r="AI31" s="21" t="str">
        <f t="shared" si="36"/>
        <v/>
      </c>
      <c r="AJ31" s="21" t="str">
        <f t="shared" si="36"/>
        <v/>
      </c>
      <c r="AK31" s="21" t="str">
        <f t="shared" si="36"/>
        <v/>
      </c>
      <c r="AL31" s="21" t="str">
        <f t="shared" si="36"/>
        <v/>
      </c>
      <c r="AM31" s="21" t="str">
        <f t="shared" si="36"/>
        <v/>
      </c>
      <c r="AN31" s="21" t="str">
        <f t="shared" si="36"/>
        <v/>
      </c>
      <c r="AO31" s="21" t="str">
        <f t="shared" si="31"/>
        <v>nikka-peat-linen</v>
      </c>
    </row>
    <row r="32" ht="16.5" customHeight="1">
      <c r="A32" s="11" t="s">
        <v>38</v>
      </c>
      <c r="B32" s="11" t="s">
        <v>39</v>
      </c>
      <c r="C32" s="11" t="s">
        <v>40</v>
      </c>
      <c r="D32" s="11" t="s">
        <v>41</v>
      </c>
      <c r="E32" s="22" t="s">
        <v>2155</v>
      </c>
      <c r="F32" s="22" t="s">
        <v>2156</v>
      </c>
      <c r="G32" s="22" t="s">
        <v>2157</v>
      </c>
      <c r="J32" s="18"/>
      <c r="K32" s="19" t="s">
        <v>36</v>
      </c>
      <c r="L32" s="19"/>
      <c r="M32" s="20"/>
      <c r="N32" s="20"/>
      <c r="O32" s="20"/>
      <c r="P32" s="20"/>
      <c r="Q32" s="20"/>
      <c r="R32" s="20"/>
      <c r="S32" s="20"/>
      <c r="T32" s="20"/>
      <c r="AE32" s="21" t="str">
        <f t="shared" si="10"/>
        <v>nikka-khaki-linen</v>
      </c>
      <c r="AF32" s="21" t="str">
        <f t="shared" ref="AF32:AN32" si="37">if(not(isblank(L32)),", "&amp;L32,"")</f>
        <v/>
      </c>
      <c r="AG32" s="21" t="str">
        <f t="shared" si="37"/>
        <v/>
      </c>
      <c r="AH32" s="21" t="str">
        <f t="shared" si="37"/>
        <v/>
      </c>
      <c r="AI32" s="21" t="str">
        <f t="shared" si="37"/>
        <v/>
      </c>
      <c r="AJ32" s="21" t="str">
        <f t="shared" si="37"/>
        <v/>
      </c>
      <c r="AK32" s="21" t="str">
        <f t="shared" si="37"/>
        <v/>
      </c>
      <c r="AL32" s="21" t="str">
        <f t="shared" si="37"/>
        <v/>
      </c>
      <c r="AM32" s="21" t="str">
        <f t="shared" si="37"/>
        <v/>
      </c>
      <c r="AN32" s="21" t="str">
        <f t="shared" si="37"/>
        <v/>
      </c>
      <c r="AO32" s="21" t="str">
        <f t="shared" si="31"/>
        <v>nikka-khaki-linen</v>
      </c>
    </row>
    <row r="33" ht="16.5" customHeight="1">
      <c r="A33" s="11" t="s">
        <v>38</v>
      </c>
      <c r="B33" s="11" t="s">
        <v>39</v>
      </c>
      <c r="C33" s="11" t="s">
        <v>83</v>
      </c>
      <c r="D33" s="11" t="s">
        <v>84</v>
      </c>
      <c r="J33" s="18"/>
      <c r="K33" s="19"/>
      <c r="L33" s="19"/>
      <c r="M33" s="20"/>
      <c r="N33" s="20"/>
      <c r="O33" s="20"/>
      <c r="P33" s="20"/>
      <c r="Q33" s="20"/>
      <c r="R33" s="20"/>
      <c r="S33" s="20"/>
      <c r="T33" s="20"/>
      <c r="AE33" s="21" t="str">
        <f t="shared" si="10"/>
        <v/>
      </c>
      <c r="AF33" s="21" t="str">
        <f t="shared" ref="AF33:AN33" si="38">if(not(isblank(L33)),", "&amp;L33,"")</f>
        <v/>
      </c>
      <c r="AG33" s="21" t="str">
        <f t="shared" si="38"/>
        <v/>
      </c>
      <c r="AH33" s="21" t="str">
        <f t="shared" si="38"/>
        <v/>
      </c>
      <c r="AI33" s="21" t="str">
        <f t="shared" si="38"/>
        <v/>
      </c>
      <c r="AJ33" s="21" t="str">
        <f t="shared" si="38"/>
        <v/>
      </c>
      <c r="AK33" s="21" t="str">
        <f t="shared" si="38"/>
        <v/>
      </c>
      <c r="AL33" s="21" t="str">
        <f t="shared" si="38"/>
        <v/>
      </c>
      <c r="AM33" s="21" t="str">
        <f t="shared" si="38"/>
        <v/>
      </c>
      <c r="AN33" s="21" t="str">
        <f t="shared" si="38"/>
        <v/>
      </c>
      <c r="AO33" s="21" t="str">
        <f t="shared" si="31"/>
        <v/>
      </c>
    </row>
    <row r="34" ht="16.5" customHeight="1">
      <c r="A34" s="11" t="s">
        <v>38</v>
      </c>
      <c r="B34" s="11" t="s">
        <v>39</v>
      </c>
      <c r="C34" s="11" t="s">
        <v>148</v>
      </c>
      <c r="D34" s="11" t="s">
        <v>149</v>
      </c>
      <c r="E34" s="22" t="s">
        <v>2158</v>
      </c>
      <c r="F34" s="22" t="s">
        <v>2159</v>
      </c>
      <c r="G34" s="22" t="s">
        <v>2160</v>
      </c>
      <c r="J34" s="18"/>
      <c r="K34" s="23"/>
      <c r="L34" s="20"/>
      <c r="M34" s="20"/>
      <c r="N34" s="20"/>
      <c r="O34" s="20"/>
      <c r="P34" s="20"/>
      <c r="Q34" s="20"/>
      <c r="R34" s="20"/>
      <c r="S34" s="20"/>
      <c r="T34" s="20"/>
      <c r="AE34" s="21" t="str">
        <f t="shared" si="10"/>
        <v/>
      </c>
      <c r="AF34" s="21" t="str">
        <f t="shared" ref="AF34:AN34" si="39">if(not(isblank(L34)),", "&amp;L34,"")</f>
        <v/>
      </c>
      <c r="AG34" s="21" t="str">
        <f t="shared" si="39"/>
        <v/>
      </c>
      <c r="AH34" s="21" t="str">
        <f t="shared" si="39"/>
        <v/>
      </c>
      <c r="AI34" s="21" t="str">
        <f t="shared" si="39"/>
        <v/>
      </c>
      <c r="AJ34" s="21" t="str">
        <f t="shared" si="39"/>
        <v/>
      </c>
      <c r="AK34" s="21" t="str">
        <f t="shared" si="39"/>
        <v/>
      </c>
      <c r="AL34" s="21" t="str">
        <f t="shared" si="39"/>
        <v/>
      </c>
      <c r="AM34" s="21" t="str">
        <f t="shared" si="39"/>
        <v/>
      </c>
      <c r="AN34" s="21" t="str">
        <f t="shared" si="39"/>
        <v/>
      </c>
      <c r="AO34" s="21" t="str">
        <f t="shared" si="31"/>
        <v/>
      </c>
    </row>
    <row r="35" ht="16.5" customHeight="1">
      <c r="A35" s="11" t="s">
        <v>38</v>
      </c>
      <c r="B35" s="11" t="s">
        <v>39</v>
      </c>
      <c r="C35" s="11" t="s">
        <v>1172</v>
      </c>
      <c r="D35" s="11" t="s">
        <v>1173</v>
      </c>
      <c r="E35" s="22" t="s">
        <v>2161</v>
      </c>
      <c r="F35" s="22" t="s">
        <v>2162</v>
      </c>
      <c r="G35" s="22" t="s">
        <v>2147</v>
      </c>
      <c r="H35" s="11" t="s">
        <v>1175</v>
      </c>
      <c r="I35" s="11" t="s">
        <v>233</v>
      </c>
      <c r="J35" s="18"/>
      <c r="K35" s="23" t="s">
        <v>1175</v>
      </c>
      <c r="L35" s="19" t="s">
        <v>74</v>
      </c>
      <c r="M35" s="19" t="s">
        <v>342</v>
      </c>
      <c r="N35" s="19"/>
      <c r="O35" s="19"/>
      <c r="P35" s="20"/>
      <c r="Q35" s="20"/>
      <c r="R35" s="20"/>
      <c r="S35" s="20"/>
      <c r="T35" s="20"/>
      <c r="AE35" s="21" t="str">
        <f t="shared" si="10"/>
        <v>tiki-silk-white</v>
      </c>
      <c r="AF35" s="21" t="str">
        <f t="shared" ref="AF35:AN35" si="40">if(not(isblank(L35)),", "&amp;L35,"")</f>
        <v>, tiki-blue-pop</v>
      </c>
      <c r="AG35" s="21" t="str">
        <f t="shared" si="40"/>
        <v>, tiki-noil-silk-black</v>
      </c>
      <c r="AH35" s="21" t="str">
        <f t="shared" si="40"/>
        <v/>
      </c>
      <c r="AI35" s="21" t="str">
        <f t="shared" si="40"/>
        <v/>
      </c>
      <c r="AJ35" s="21" t="str">
        <f t="shared" si="40"/>
        <v/>
      </c>
      <c r="AK35" s="21" t="str">
        <f t="shared" si="40"/>
        <v/>
      </c>
      <c r="AL35" s="21" t="str">
        <f t="shared" si="40"/>
        <v/>
      </c>
      <c r="AM35" s="21" t="str">
        <f t="shared" si="40"/>
        <v/>
      </c>
      <c r="AN35" s="21" t="str">
        <f t="shared" si="40"/>
        <v/>
      </c>
      <c r="AO35" s="21" t="str">
        <f t="shared" si="31"/>
        <v>tiki-silk-white, tiki-blue-pop, tiki-noil-silk-black</v>
      </c>
    </row>
    <row r="36" ht="16.5" customHeight="1">
      <c r="A36" s="11" t="s">
        <v>38</v>
      </c>
      <c r="B36" s="11" t="s">
        <v>39</v>
      </c>
      <c r="C36" s="11" t="s">
        <v>1175</v>
      </c>
      <c r="D36" s="11" t="s">
        <v>1180</v>
      </c>
      <c r="E36" s="22" t="s">
        <v>2161</v>
      </c>
      <c r="F36" s="22" t="s">
        <v>2162</v>
      </c>
      <c r="G36" s="22" t="s">
        <v>2147</v>
      </c>
      <c r="H36" s="11" t="s">
        <v>1172</v>
      </c>
      <c r="I36" s="11" t="s">
        <v>637</v>
      </c>
      <c r="J36" s="18"/>
      <c r="K36" s="23" t="s">
        <v>1172</v>
      </c>
      <c r="L36" s="19" t="s">
        <v>74</v>
      </c>
      <c r="M36" s="19" t="s">
        <v>342</v>
      </c>
      <c r="N36" s="19"/>
      <c r="O36" s="19"/>
      <c r="P36" s="20"/>
      <c r="Q36" s="20"/>
      <c r="R36" s="20"/>
      <c r="S36" s="20"/>
      <c r="T36" s="20"/>
      <c r="AE36" s="21" t="str">
        <f t="shared" si="10"/>
        <v>tiki-silk-black</v>
      </c>
      <c r="AF36" s="21" t="str">
        <f t="shared" ref="AF36:AN36" si="41">if(not(isblank(L36)),", "&amp;L36,"")</f>
        <v>, tiki-blue-pop</v>
      </c>
      <c r="AG36" s="21" t="str">
        <f t="shared" si="41"/>
        <v>, tiki-noil-silk-black</v>
      </c>
      <c r="AH36" s="21" t="str">
        <f t="shared" si="41"/>
        <v/>
      </c>
      <c r="AI36" s="21" t="str">
        <f t="shared" si="41"/>
        <v/>
      </c>
      <c r="AJ36" s="21" t="str">
        <f t="shared" si="41"/>
        <v/>
      </c>
      <c r="AK36" s="21" t="str">
        <f t="shared" si="41"/>
        <v/>
      </c>
      <c r="AL36" s="21" t="str">
        <f t="shared" si="41"/>
        <v/>
      </c>
      <c r="AM36" s="21" t="str">
        <f t="shared" si="41"/>
        <v/>
      </c>
      <c r="AN36" s="21" t="str">
        <f t="shared" si="41"/>
        <v/>
      </c>
      <c r="AO36" s="21" t="str">
        <f t="shared" si="31"/>
        <v>tiki-silk-black, tiki-blue-pop, tiki-noil-silk-black</v>
      </c>
    </row>
    <row r="37" ht="16.5" customHeight="1">
      <c r="A37" s="11" t="s">
        <v>38</v>
      </c>
      <c r="B37" s="11" t="s">
        <v>39</v>
      </c>
      <c r="C37" s="11" t="s">
        <v>74</v>
      </c>
      <c r="D37" s="11" t="s">
        <v>75</v>
      </c>
      <c r="E37" s="22" t="s">
        <v>2163</v>
      </c>
      <c r="F37" s="22" t="s">
        <v>2164</v>
      </c>
      <c r="G37" s="22" t="s">
        <v>2165</v>
      </c>
      <c r="J37" s="18"/>
      <c r="K37" s="23" t="s">
        <v>1172</v>
      </c>
      <c r="L37" s="19" t="s">
        <v>1175</v>
      </c>
      <c r="M37" s="19" t="s">
        <v>342</v>
      </c>
      <c r="N37" s="20"/>
      <c r="O37" s="20"/>
      <c r="P37" s="20"/>
      <c r="Q37" s="20"/>
      <c r="R37" s="20"/>
      <c r="S37" s="20"/>
      <c r="T37" s="20"/>
      <c r="AE37" s="21" t="str">
        <f t="shared" si="10"/>
        <v>tiki-silk-black</v>
      </c>
      <c r="AF37" s="21" t="str">
        <f t="shared" ref="AF37:AN37" si="42">if(not(isblank(L37)),", "&amp;L37,"")</f>
        <v>, tiki-silk-white</v>
      </c>
      <c r="AG37" s="21" t="str">
        <f t="shared" si="42"/>
        <v>, tiki-noil-silk-black</v>
      </c>
      <c r="AH37" s="21" t="str">
        <f t="shared" si="42"/>
        <v/>
      </c>
      <c r="AI37" s="21" t="str">
        <f t="shared" si="42"/>
        <v/>
      </c>
      <c r="AJ37" s="21" t="str">
        <f t="shared" si="42"/>
        <v/>
      </c>
      <c r="AK37" s="21" t="str">
        <f t="shared" si="42"/>
        <v/>
      </c>
      <c r="AL37" s="21" t="str">
        <f t="shared" si="42"/>
        <v/>
      </c>
      <c r="AM37" s="21" t="str">
        <f t="shared" si="42"/>
        <v/>
      </c>
      <c r="AN37" s="21" t="str">
        <f t="shared" si="42"/>
        <v/>
      </c>
      <c r="AO37" s="21" t="str">
        <f t="shared" si="31"/>
        <v>tiki-silk-black, tiki-silk-white, tiki-noil-silk-black</v>
      </c>
    </row>
    <row r="38" ht="16.5" customHeight="1">
      <c r="A38" s="11" t="s">
        <v>78</v>
      </c>
      <c r="B38" s="11" t="s">
        <v>39</v>
      </c>
      <c r="C38" s="11" t="s">
        <v>76</v>
      </c>
      <c r="D38" s="11" t="s">
        <v>77</v>
      </c>
      <c r="E38" s="22" t="s">
        <v>2166</v>
      </c>
      <c r="F38" s="22" t="s">
        <v>2167</v>
      </c>
      <c r="G38" s="22" t="s">
        <v>2168</v>
      </c>
      <c r="J38" s="18"/>
      <c r="K38" s="23"/>
      <c r="L38" s="20"/>
      <c r="M38" s="20"/>
      <c r="N38" s="20"/>
      <c r="O38" s="20"/>
      <c r="P38" s="20"/>
      <c r="Q38" s="20"/>
      <c r="R38" s="20"/>
      <c r="S38" s="20"/>
      <c r="T38" s="20"/>
      <c r="AE38" s="21" t="str">
        <f t="shared" si="10"/>
        <v/>
      </c>
      <c r="AF38" s="21" t="str">
        <f t="shared" ref="AF38:AN38" si="43">if(not(isblank(L38)),", "&amp;L38,"")</f>
        <v/>
      </c>
      <c r="AG38" s="21" t="str">
        <f t="shared" si="43"/>
        <v/>
      </c>
      <c r="AH38" s="21" t="str">
        <f t="shared" si="43"/>
        <v/>
      </c>
      <c r="AI38" s="21" t="str">
        <f t="shared" si="43"/>
        <v/>
      </c>
      <c r="AJ38" s="21" t="str">
        <f t="shared" si="43"/>
        <v/>
      </c>
      <c r="AK38" s="21" t="str">
        <f t="shared" si="43"/>
        <v/>
      </c>
      <c r="AL38" s="21" t="str">
        <f t="shared" si="43"/>
        <v/>
      </c>
      <c r="AM38" s="21" t="str">
        <f t="shared" si="43"/>
        <v/>
      </c>
      <c r="AN38" s="21" t="str">
        <f t="shared" si="43"/>
        <v/>
      </c>
      <c r="AO38" s="21" t="str">
        <f t="shared" si="31"/>
        <v/>
      </c>
    </row>
    <row r="39" ht="16.5" customHeight="1">
      <c r="A39" s="11" t="s">
        <v>78</v>
      </c>
      <c r="B39" s="11" t="s">
        <v>39</v>
      </c>
      <c r="C39" s="11" t="s">
        <v>79</v>
      </c>
      <c r="D39" s="11" t="s">
        <v>80</v>
      </c>
      <c r="E39" s="22" t="s">
        <v>2166</v>
      </c>
      <c r="F39" s="22" t="s">
        <v>2167</v>
      </c>
      <c r="G39" s="22" t="s">
        <v>2168</v>
      </c>
      <c r="J39" s="18"/>
      <c r="K39" s="23"/>
      <c r="L39" s="19"/>
      <c r="M39" s="20"/>
      <c r="N39" s="20"/>
      <c r="O39" s="20"/>
      <c r="P39" s="20"/>
      <c r="Q39" s="20"/>
      <c r="R39" s="20"/>
      <c r="S39" s="20"/>
      <c r="T39" s="20"/>
      <c r="AE39" s="21" t="str">
        <f t="shared" si="10"/>
        <v/>
      </c>
      <c r="AF39" s="21" t="str">
        <f t="shared" ref="AF39:AN39" si="44">if(not(isblank(L39)),", "&amp;L39,"")</f>
        <v/>
      </c>
      <c r="AG39" s="21" t="str">
        <f t="shared" si="44"/>
        <v/>
      </c>
      <c r="AH39" s="21" t="str">
        <f t="shared" si="44"/>
        <v/>
      </c>
      <c r="AI39" s="21" t="str">
        <f t="shared" si="44"/>
        <v/>
      </c>
      <c r="AJ39" s="21" t="str">
        <f t="shared" si="44"/>
        <v/>
      </c>
      <c r="AK39" s="21" t="str">
        <f t="shared" si="44"/>
        <v/>
      </c>
      <c r="AL39" s="21" t="str">
        <f t="shared" si="44"/>
        <v/>
      </c>
      <c r="AM39" s="21" t="str">
        <f t="shared" si="44"/>
        <v/>
      </c>
      <c r="AN39" s="21" t="str">
        <f t="shared" si="44"/>
        <v/>
      </c>
      <c r="AO39" s="21" t="str">
        <f t="shared" si="31"/>
        <v/>
      </c>
    </row>
    <row r="40" ht="16.5" customHeight="1">
      <c r="A40" s="11" t="s">
        <v>78</v>
      </c>
      <c r="B40" s="11" t="s">
        <v>39</v>
      </c>
      <c r="C40" s="11" t="s">
        <v>81</v>
      </c>
      <c r="D40" s="11" t="s">
        <v>82</v>
      </c>
      <c r="E40" s="22" t="s">
        <v>2169</v>
      </c>
      <c r="F40" s="22" t="s">
        <v>2167</v>
      </c>
      <c r="G40" s="22" t="s">
        <v>2160</v>
      </c>
      <c r="J40" s="18"/>
      <c r="K40" s="23"/>
      <c r="L40" s="19"/>
      <c r="M40" s="20"/>
      <c r="N40" s="20"/>
      <c r="O40" s="20"/>
      <c r="P40" s="20"/>
      <c r="Q40" s="20"/>
      <c r="R40" s="20"/>
      <c r="S40" s="20"/>
      <c r="T40" s="20"/>
      <c r="AE40" s="21" t="str">
        <f t="shared" si="10"/>
        <v/>
      </c>
      <c r="AF40" s="21" t="str">
        <f t="shared" ref="AF40:AN40" si="45">if(not(isblank(L40)),", "&amp;L40,"")</f>
        <v/>
      </c>
      <c r="AG40" s="21" t="str">
        <f t="shared" si="45"/>
        <v/>
      </c>
      <c r="AH40" s="21" t="str">
        <f t="shared" si="45"/>
        <v/>
      </c>
      <c r="AI40" s="21" t="str">
        <f t="shared" si="45"/>
        <v/>
      </c>
      <c r="AJ40" s="21" t="str">
        <f t="shared" si="45"/>
        <v/>
      </c>
      <c r="AK40" s="21" t="str">
        <f t="shared" si="45"/>
        <v/>
      </c>
      <c r="AL40" s="21" t="str">
        <f t="shared" si="45"/>
        <v/>
      </c>
      <c r="AM40" s="21" t="str">
        <f t="shared" si="45"/>
        <v/>
      </c>
      <c r="AN40" s="21" t="str">
        <f t="shared" si="45"/>
        <v/>
      </c>
      <c r="AO40" s="21" t="str">
        <f t="shared" si="31"/>
        <v/>
      </c>
    </row>
    <row r="41" ht="16.5" customHeight="1">
      <c r="A41" s="11" t="s">
        <v>34</v>
      </c>
      <c r="B41" s="11" t="s">
        <v>39</v>
      </c>
      <c r="C41" s="11" t="s">
        <v>87</v>
      </c>
      <c r="D41" s="11" t="s">
        <v>88</v>
      </c>
      <c r="J41" s="18"/>
      <c r="K41" s="19"/>
      <c r="L41" s="20"/>
      <c r="M41" s="20"/>
      <c r="N41" s="20"/>
      <c r="O41" s="20"/>
      <c r="P41" s="20"/>
      <c r="Q41" s="20"/>
      <c r="R41" s="20"/>
      <c r="S41" s="20"/>
      <c r="T41" s="20"/>
      <c r="AE41" s="21" t="str">
        <f t="shared" si="10"/>
        <v/>
      </c>
      <c r="AF41" s="21" t="str">
        <f t="shared" ref="AF41:AN41" si="46">if(not(isblank(L41)),", "&amp;L41,"")</f>
        <v/>
      </c>
      <c r="AG41" s="21" t="str">
        <f t="shared" si="46"/>
        <v/>
      </c>
      <c r="AH41" s="21" t="str">
        <f t="shared" si="46"/>
        <v/>
      </c>
      <c r="AI41" s="21" t="str">
        <f t="shared" si="46"/>
        <v/>
      </c>
      <c r="AJ41" s="21" t="str">
        <f t="shared" si="46"/>
        <v/>
      </c>
      <c r="AK41" s="21" t="str">
        <f t="shared" si="46"/>
        <v/>
      </c>
      <c r="AL41" s="21" t="str">
        <f t="shared" si="46"/>
        <v/>
      </c>
      <c r="AM41" s="21" t="str">
        <f t="shared" si="46"/>
        <v/>
      </c>
      <c r="AN41" s="21" t="str">
        <f t="shared" si="46"/>
        <v/>
      </c>
      <c r="AO41" s="21" t="str">
        <f t="shared" si="31"/>
        <v/>
      </c>
    </row>
    <row r="42" ht="16.5" customHeight="1">
      <c r="A42" s="11" t="s">
        <v>34</v>
      </c>
      <c r="B42" s="11" t="s">
        <v>39</v>
      </c>
      <c r="C42" s="11" t="s">
        <v>89</v>
      </c>
      <c r="D42" s="11" t="s">
        <v>90</v>
      </c>
      <c r="J42" s="18"/>
      <c r="K42" s="19"/>
      <c r="L42" s="19"/>
      <c r="M42" s="20"/>
      <c r="N42" s="20"/>
      <c r="O42" s="20"/>
      <c r="P42" s="20"/>
      <c r="Q42" s="20"/>
      <c r="R42" s="20"/>
      <c r="S42" s="20"/>
      <c r="T42" s="20"/>
      <c r="AE42" s="21" t="str">
        <f t="shared" si="10"/>
        <v/>
      </c>
      <c r="AF42" s="21" t="str">
        <f t="shared" ref="AF42:AN42" si="47">if(not(isblank(L42)),", "&amp;L42,"")</f>
        <v/>
      </c>
      <c r="AG42" s="21" t="str">
        <f t="shared" si="47"/>
        <v/>
      </c>
      <c r="AH42" s="21" t="str">
        <f t="shared" si="47"/>
        <v/>
      </c>
      <c r="AI42" s="21" t="str">
        <f t="shared" si="47"/>
        <v/>
      </c>
      <c r="AJ42" s="21" t="str">
        <f t="shared" si="47"/>
        <v/>
      </c>
      <c r="AK42" s="21" t="str">
        <f t="shared" si="47"/>
        <v/>
      </c>
      <c r="AL42" s="21" t="str">
        <f t="shared" si="47"/>
        <v/>
      </c>
      <c r="AM42" s="21" t="str">
        <f t="shared" si="47"/>
        <v/>
      </c>
      <c r="AN42" s="21" t="str">
        <f t="shared" si="47"/>
        <v/>
      </c>
      <c r="AO42" s="21" t="str">
        <f t="shared" si="31"/>
        <v/>
      </c>
    </row>
    <row r="43" ht="16.5" customHeight="1">
      <c r="A43" s="11" t="s">
        <v>34</v>
      </c>
      <c r="B43" s="11" t="s">
        <v>39</v>
      </c>
      <c r="C43" s="11" t="s">
        <v>91</v>
      </c>
      <c r="D43" s="11" t="s">
        <v>92</v>
      </c>
      <c r="G43" s="22" t="s">
        <v>2160</v>
      </c>
      <c r="J43" s="18"/>
      <c r="K43" s="23"/>
      <c r="L43" s="19"/>
      <c r="M43" s="19"/>
      <c r="N43" s="19"/>
      <c r="O43" s="19"/>
      <c r="P43" s="20"/>
      <c r="Q43" s="20"/>
      <c r="R43" s="20"/>
      <c r="S43" s="20"/>
      <c r="T43" s="20"/>
      <c r="AE43" s="21" t="str">
        <f t="shared" si="10"/>
        <v/>
      </c>
      <c r="AF43" s="21" t="str">
        <f t="shared" ref="AF43:AN43" si="48">if(not(isblank(L43)),", "&amp;L43,"")</f>
        <v/>
      </c>
      <c r="AG43" s="21" t="str">
        <f t="shared" si="48"/>
        <v/>
      </c>
      <c r="AH43" s="21" t="str">
        <f t="shared" si="48"/>
        <v/>
      </c>
      <c r="AI43" s="21" t="str">
        <f t="shared" si="48"/>
        <v/>
      </c>
      <c r="AJ43" s="21" t="str">
        <f t="shared" si="48"/>
        <v/>
      </c>
      <c r="AK43" s="21" t="str">
        <f t="shared" si="48"/>
        <v/>
      </c>
      <c r="AL43" s="21" t="str">
        <f t="shared" si="48"/>
        <v/>
      </c>
      <c r="AM43" s="21" t="str">
        <f t="shared" si="48"/>
        <v/>
      </c>
      <c r="AN43" s="21" t="str">
        <f t="shared" si="48"/>
        <v/>
      </c>
      <c r="AO43" s="21" t="str">
        <f t="shared" si="31"/>
        <v/>
      </c>
    </row>
    <row r="44" ht="16.5" customHeight="1">
      <c r="A44" s="11" t="s">
        <v>34</v>
      </c>
      <c r="B44" s="11" t="s">
        <v>39</v>
      </c>
      <c r="C44" s="11" t="s">
        <v>93</v>
      </c>
      <c r="D44" s="11" t="s">
        <v>94</v>
      </c>
      <c r="E44" s="24" t="s">
        <v>2170</v>
      </c>
      <c r="G44" s="22" t="s">
        <v>2171</v>
      </c>
      <c r="J44" s="18"/>
      <c r="K44" s="23"/>
      <c r="L44" s="19"/>
      <c r="M44" s="20"/>
      <c r="N44" s="20"/>
      <c r="O44" s="20"/>
      <c r="P44" s="20"/>
      <c r="Q44" s="20"/>
      <c r="R44" s="20"/>
      <c r="S44" s="20"/>
      <c r="T44" s="20"/>
      <c r="AE44" s="21" t="str">
        <f t="shared" si="10"/>
        <v/>
      </c>
      <c r="AF44" s="21" t="str">
        <f t="shared" ref="AF44:AN44" si="49">if(not(isblank(L44)),", "&amp;L44,"")</f>
        <v/>
      </c>
      <c r="AG44" s="21" t="str">
        <f t="shared" si="49"/>
        <v/>
      </c>
      <c r="AH44" s="21" t="str">
        <f t="shared" si="49"/>
        <v/>
      </c>
      <c r="AI44" s="21" t="str">
        <f t="shared" si="49"/>
        <v/>
      </c>
      <c r="AJ44" s="21" t="str">
        <f t="shared" si="49"/>
        <v/>
      </c>
      <c r="AK44" s="21" t="str">
        <f t="shared" si="49"/>
        <v/>
      </c>
      <c r="AL44" s="21" t="str">
        <f t="shared" si="49"/>
        <v/>
      </c>
      <c r="AM44" s="21" t="str">
        <f t="shared" si="49"/>
        <v/>
      </c>
      <c r="AN44" s="21" t="str">
        <f t="shared" si="49"/>
        <v/>
      </c>
      <c r="AO44" s="21" t="str">
        <f t="shared" si="31"/>
        <v/>
      </c>
    </row>
    <row r="45" ht="16.5" customHeight="1">
      <c r="A45" s="11" t="s">
        <v>34</v>
      </c>
      <c r="B45" s="11" t="s">
        <v>39</v>
      </c>
      <c r="C45" s="11" t="s">
        <v>95</v>
      </c>
      <c r="D45" s="11" t="s">
        <v>96</v>
      </c>
      <c r="J45" s="18"/>
      <c r="K45" s="19"/>
      <c r="L45" s="19"/>
      <c r="M45" s="20"/>
      <c r="N45" s="20"/>
      <c r="O45" s="20"/>
      <c r="P45" s="20"/>
      <c r="Q45" s="20"/>
      <c r="R45" s="20"/>
      <c r="S45" s="20"/>
      <c r="T45" s="20"/>
      <c r="AE45" s="21" t="str">
        <f t="shared" si="10"/>
        <v/>
      </c>
      <c r="AF45" s="21" t="str">
        <f t="shared" ref="AF45:AN45" si="50">if(not(isblank(L45)),", "&amp;L45,"")</f>
        <v/>
      </c>
      <c r="AG45" s="21" t="str">
        <f t="shared" si="50"/>
        <v/>
      </c>
      <c r="AH45" s="21" t="str">
        <f t="shared" si="50"/>
        <v/>
      </c>
      <c r="AI45" s="21" t="str">
        <f t="shared" si="50"/>
        <v/>
      </c>
      <c r="AJ45" s="21" t="str">
        <f t="shared" si="50"/>
        <v/>
      </c>
      <c r="AK45" s="21" t="str">
        <f t="shared" si="50"/>
        <v/>
      </c>
      <c r="AL45" s="21" t="str">
        <f t="shared" si="50"/>
        <v/>
      </c>
      <c r="AM45" s="21" t="str">
        <f t="shared" si="50"/>
        <v/>
      </c>
      <c r="AN45" s="21" t="str">
        <f t="shared" si="50"/>
        <v/>
      </c>
      <c r="AO45" s="21" t="str">
        <f t="shared" si="31"/>
        <v/>
      </c>
    </row>
    <row r="46" ht="16.5" customHeight="1">
      <c r="A46" s="11" t="s">
        <v>34</v>
      </c>
      <c r="B46" s="11" t="s">
        <v>39</v>
      </c>
      <c r="C46" s="11" t="s">
        <v>97</v>
      </c>
      <c r="D46" s="11" t="s">
        <v>98</v>
      </c>
      <c r="E46" s="24" t="s">
        <v>2172</v>
      </c>
      <c r="G46" s="22" t="s">
        <v>2173</v>
      </c>
      <c r="J46" s="18"/>
      <c r="K46" s="19"/>
      <c r="L46" s="19"/>
      <c r="M46" s="20"/>
      <c r="N46" s="20"/>
      <c r="O46" s="20"/>
      <c r="P46" s="20"/>
      <c r="Q46" s="20"/>
      <c r="R46" s="20"/>
      <c r="S46" s="20"/>
      <c r="T46" s="20"/>
      <c r="AE46" s="21" t="str">
        <f t="shared" si="10"/>
        <v/>
      </c>
      <c r="AF46" s="21" t="str">
        <f t="shared" ref="AF46:AN46" si="51">if(not(isblank(L46)),", "&amp;L46,"")</f>
        <v/>
      </c>
      <c r="AG46" s="21" t="str">
        <f t="shared" si="51"/>
        <v/>
      </c>
      <c r="AH46" s="21" t="str">
        <f t="shared" si="51"/>
        <v/>
      </c>
      <c r="AI46" s="21" t="str">
        <f t="shared" si="51"/>
        <v/>
      </c>
      <c r="AJ46" s="21" t="str">
        <f t="shared" si="51"/>
        <v/>
      </c>
      <c r="AK46" s="21" t="str">
        <f t="shared" si="51"/>
        <v/>
      </c>
      <c r="AL46" s="21" t="str">
        <f t="shared" si="51"/>
        <v/>
      </c>
      <c r="AM46" s="21" t="str">
        <f t="shared" si="51"/>
        <v/>
      </c>
      <c r="AN46" s="21" t="str">
        <f t="shared" si="51"/>
        <v/>
      </c>
      <c r="AO46" s="21" t="str">
        <f t="shared" si="31"/>
        <v/>
      </c>
    </row>
    <row r="47" ht="16.5" customHeight="1">
      <c r="A47" s="11" t="s">
        <v>34</v>
      </c>
      <c r="B47" s="11" t="s">
        <v>39</v>
      </c>
      <c r="C47" s="11" t="s">
        <v>99</v>
      </c>
      <c r="D47" s="11" t="s">
        <v>100</v>
      </c>
      <c r="E47" s="24" t="s">
        <v>2172</v>
      </c>
      <c r="G47" s="22" t="s">
        <v>2173</v>
      </c>
      <c r="J47" s="18"/>
      <c r="K47" s="19"/>
      <c r="L47" s="19"/>
      <c r="M47" s="19"/>
      <c r="N47" s="19"/>
      <c r="O47" s="19"/>
      <c r="P47" s="19"/>
      <c r="Q47" s="20"/>
      <c r="R47" s="20"/>
      <c r="S47" s="20"/>
      <c r="T47" s="20"/>
      <c r="AE47" s="21" t="str">
        <f t="shared" si="10"/>
        <v/>
      </c>
      <c r="AF47" s="21" t="str">
        <f t="shared" ref="AF47:AN47" si="52">if(not(isblank(L47)),", "&amp;L47,"")</f>
        <v/>
      </c>
      <c r="AG47" s="21" t="str">
        <f t="shared" si="52"/>
        <v/>
      </c>
      <c r="AH47" s="21" t="str">
        <f t="shared" si="52"/>
        <v/>
      </c>
      <c r="AI47" s="21" t="str">
        <f t="shared" si="52"/>
        <v/>
      </c>
      <c r="AJ47" s="21" t="str">
        <f t="shared" si="52"/>
        <v/>
      </c>
      <c r="AK47" s="21" t="str">
        <f t="shared" si="52"/>
        <v/>
      </c>
      <c r="AL47" s="21" t="str">
        <f t="shared" si="52"/>
        <v/>
      </c>
      <c r="AM47" s="21" t="str">
        <f t="shared" si="52"/>
        <v/>
      </c>
      <c r="AN47" s="21" t="str">
        <f t="shared" si="52"/>
        <v/>
      </c>
      <c r="AO47" s="21" t="str">
        <f t="shared" si="31"/>
        <v/>
      </c>
    </row>
    <row r="48" ht="16.5" customHeight="1">
      <c r="A48" s="11" t="s">
        <v>34</v>
      </c>
      <c r="B48" s="11" t="s">
        <v>39</v>
      </c>
      <c r="C48" s="11" t="s">
        <v>146</v>
      </c>
      <c r="D48" s="11" t="s">
        <v>147</v>
      </c>
      <c r="E48" s="22" t="s">
        <v>2174</v>
      </c>
      <c r="F48" s="22" t="s">
        <v>2175</v>
      </c>
      <c r="G48" s="22" t="s">
        <v>2176</v>
      </c>
      <c r="J48" s="18"/>
      <c r="K48" s="19" t="s">
        <v>2046</v>
      </c>
      <c r="L48" s="19"/>
      <c r="M48" s="19"/>
      <c r="N48" s="19"/>
      <c r="O48" s="19"/>
      <c r="P48" s="19"/>
      <c r="Q48" s="20"/>
      <c r="R48" s="20"/>
      <c r="S48" s="20"/>
      <c r="T48" s="20"/>
      <c r="AE48" s="21" t="str">
        <f t="shared" si="10"/>
        <v>huff-white-silk</v>
      </c>
      <c r="AF48" s="21" t="str">
        <f t="shared" ref="AF48:AN48" si="53">if(not(isblank(L48)),", "&amp;L48,"")</f>
        <v/>
      </c>
      <c r="AG48" s="21" t="str">
        <f t="shared" si="53"/>
        <v/>
      </c>
      <c r="AH48" s="21" t="str">
        <f t="shared" si="53"/>
        <v/>
      </c>
      <c r="AI48" s="21" t="str">
        <f t="shared" si="53"/>
        <v/>
      </c>
      <c r="AJ48" s="21" t="str">
        <f t="shared" si="53"/>
        <v/>
      </c>
      <c r="AK48" s="21" t="str">
        <f t="shared" si="53"/>
        <v/>
      </c>
      <c r="AL48" s="21" t="str">
        <f t="shared" si="53"/>
        <v/>
      </c>
      <c r="AM48" s="21" t="str">
        <f t="shared" si="53"/>
        <v/>
      </c>
      <c r="AN48" s="21" t="str">
        <f t="shared" si="53"/>
        <v/>
      </c>
      <c r="AO48" s="21" t="str">
        <f t="shared" si="31"/>
        <v>huff-white-silk</v>
      </c>
    </row>
    <row r="49" ht="16.5" customHeight="1">
      <c r="A49" s="11" t="s">
        <v>34</v>
      </c>
      <c r="B49" s="11" t="s">
        <v>39</v>
      </c>
      <c r="C49" s="11" t="s">
        <v>118</v>
      </c>
      <c r="D49" s="11" t="s">
        <v>119</v>
      </c>
      <c r="E49" s="22" t="s">
        <v>2177</v>
      </c>
      <c r="F49" s="22" t="s">
        <v>2178</v>
      </c>
      <c r="G49" s="22" t="s">
        <v>2179</v>
      </c>
      <c r="J49" s="18"/>
      <c r="K49" s="19"/>
      <c r="L49" s="20"/>
      <c r="M49" s="20"/>
      <c r="N49" s="20"/>
      <c r="O49" s="20"/>
      <c r="P49" s="20"/>
      <c r="Q49" s="20"/>
      <c r="R49" s="20"/>
      <c r="S49" s="20"/>
      <c r="T49" s="20"/>
      <c r="AE49" s="21" t="str">
        <f t="shared" si="10"/>
        <v/>
      </c>
      <c r="AF49" s="21" t="str">
        <f t="shared" ref="AF49:AN49" si="54">if(not(isblank(L49)),", "&amp;L49,"")</f>
        <v/>
      </c>
      <c r="AG49" s="21" t="str">
        <f t="shared" si="54"/>
        <v/>
      </c>
      <c r="AH49" s="21" t="str">
        <f t="shared" si="54"/>
        <v/>
      </c>
      <c r="AI49" s="21" t="str">
        <f t="shared" si="54"/>
        <v/>
      </c>
      <c r="AJ49" s="21" t="str">
        <f t="shared" si="54"/>
        <v/>
      </c>
      <c r="AK49" s="21" t="str">
        <f t="shared" si="54"/>
        <v/>
      </c>
      <c r="AL49" s="21" t="str">
        <f t="shared" si="54"/>
        <v/>
      </c>
      <c r="AM49" s="21" t="str">
        <f t="shared" si="54"/>
        <v/>
      </c>
      <c r="AN49" s="21" t="str">
        <f t="shared" si="54"/>
        <v/>
      </c>
      <c r="AO49" s="21" t="str">
        <f t="shared" si="31"/>
        <v/>
      </c>
    </row>
    <row r="50" ht="16.5" customHeight="1">
      <c r="A50" s="11" t="s">
        <v>34</v>
      </c>
      <c r="B50" s="11" t="s">
        <v>39</v>
      </c>
      <c r="C50" s="11" t="s">
        <v>110</v>
      </c>
      <c r="D50" s="11" t="s">
        <v>111</v>
      </c>
      <c r="E50" s="22" t="s">
        <v>2180</v>
      </c>
      <c r="F50" s="22" t="s">
        <v>2181</v>
      </c>
      <c r="G50" s="22" t="s">
        <v>2160</v>
      </c>
      <c r="J50" s="18"/>
      <c r="K50" s="19"/>
      <c r="L50" s="19"/>
      <c r="M50" s="20"/>
      <c r="N50" s="20"/>
      <c r="O50" s="20"/>
      <c r="P50" s="20"/>
      <c r="Q50" s="20"/>
      <c r="R50" s="20"/>
      <c r="S50" s="20"/>
      <c r="T50" s="20"/>
      <c r="AE50" s="21" t="str">
        <f t="shared" si="10"/>
        <v/>
      </c>
      <c r="AF50" s="21" t="str">
        <f t="shared" ref="AF50:AN50" si="55">if(not(isblank(L50)),", "&amp;L50,"")</f>
        <v/>
      </c>
      <c r="AG50" s="21" t="str">
        <f t="shared" si="55"/>
        <v/>
      </c>
      <c r="AH50" s="21" t="str">
        <f t="shared" si="55"/>
        <v/>
      </c>
      <c r="AI50" s="21" t="str">
        <f t="shared" si="55"/>
        <v/>
      </c>
      <c r="AJ50" s="21" t="str">
        <f t="shared" si="55"/>
        <v/>
      </c>
      <c r="AK50" s="21" t="str">
        <f t="shared" si="55"/>
        <v/>
      </c>
      <c r="AL50" s="21" t="str">
        <f t="shared" si="55"/>
        <v/>
      </c>
      <c r="AM50" s="21" t="str">
        <f t="shared" si="55"/>
        <v/>
      </c>
      <c r="AN50" s="21" t="str">
        <f t="shared" si="55"/>
        <v/>
      </c>
      <c r="AO50" s="21" t="str">
        <f t="shared" si="31"/>
        <v/>
      </c>
    </row>
    <row r="51" ht="16.5" customHeight="1">
      <c r="A51" s="11" t="s">
        <v>34</v>
      </c>
      <c r="B51" s="11" t="s">
        <v>39</v>
      </c>
      <c r="C51" s="11" t="s">
        <v>112</v>
      </c>
      <c r="D51" s="11" t="s">
        <v>113</v>
      </c>
      <c r="E51" s="22" t="s">
        <v>2180</v>
      </c>
      <c r="F51" s="22" t="s">
        <v>2181</v>
      </c>
      <c r="G51" s="22" t="s">
        <v>2160</v>
      </c>
      <c r="J51" s="18"/>
      <c r="K51" s="23"/>
      <c r="L51" s="20"/>
      <c r="M51" s="20"/>
      <c r="N51" s="20"/>
      <c r="O51" s="20"/>
      <c r="P51" s="20"/>
      <c r="Q51" s="20"/>
      <c r="R51" s="20"/>
      <c r="S51" s="20"/>
      <c r="T51" s="20"/>
      <c r="AE51" s="21" t="str">
        <f t="shared" si="10"/>
        <v/>
      </c>
      <c r="AF51" s="21" t="str">
        <f t="shared" ref="AF51:AN51" si="56">if(not(isblank(L51)),", "&amp;L51,"")</f>
        <v/>
      </c>
      <c r="AG51" s="21" t="str">
        <f t="shared" si="56"/>
        <v/>
      </c>
      <c r="AH51" s="21" t="str">
        <f t="shared" si="56"/>
        <v/>
      </c>
      <c r="AI51" s="21" t="str">
        <f t="shared" si="56"/>
        <v/>
      </c>
      <c r="AJ51" s="21" t="str">
        <f t="shared" si="56"/>
        <v/>
      </c>
      <c r="AK51" s="21" t="str">
        <f t="shared" si="56"/>
        <v/>
      </c>
      <c r="AL51" s="21" t="str">
        <f t="shared" si="56"/>
        <v/>
      </c>
      <c r="AM51" s="21" t="str">
        <f t="shared" si="56"/>
        <v/>
      </c>
      <c r="AN51" s="21" t="str">
        <f t="shared" si="56"/>
        <v/>
      </c>
      <c r="AO51" s="21" t="str">
        <f t="shared" si="31"/>
        <v/>
      </c>
    </row>
    <row r="52" ht="16.5" customHeight="1">
      <c r="A52" s="11" t="s">
        <v>34</v>
      </c>
      <c r="B52" s="11" t="s">
        <v>39</v>
      </c>
      <c r="C52" s="11" t="s">
        <v>114</v>
      </c>
      <c r="D52" s="11" t="s">
        <v>115</v>
      </c>
      <c r="J52" s="18"/>
      <c r="K52" s="19"/>
      <c r="L52" s="20"/>
      <c r="M52" s="20"/>
      <c r="N52" s="20"/>
      <c r="O52" s="20"/>
      <c r="P52" s="20"/>
      <c r="Q52" s="20"/>
      <c r="R52" s="20"/>
      <c r="S52" s="20"/>
      <c r="T52" s="20"/>
      <c r="AE52" s="21" t="str">
        <f t="shared" si="10"/>
        <v/>
      </c>
      <c r="AF52" s="21" t="str">
        <f t="shared" ref="AF52:AN52" si="57">if(not(isblank(L52)),", "&amp;L52,"")</f>
        <v/>
      </c>
      <c r="AG52" s="21" t="str">
        <f t="shared" si="57"/>
        <v/>
      </c>
      <c r="AH52" s="21" t="str">
        <f t="shared" si="57"/>
        <v/>
      </c>
      <c r="AI52" s="21" t="str">
        <f t="shared" si="57"/>
        <v/>
      </c>
      <c r="AJ52" s="21" t="str">
        <f t="shared" si="57"/>
        <v/>
      </c>
      <c r="AK52" s="21" t="str">
        <f t="shared" si="57"/>
        <v/>
      </c>
      <c r="AL52" s="21" t="str">
        <f t="shared" si="57"/>
        <v/>
      </c>
      <c r="AM52" s="21" t="str">
        <f t="shared" si="57"/>
        <v/>
      </c>
      <c r="AN52" s="21" t="str">
        <f t="shared" si="57"/>
        <v/>
      </c>
      <c r="AO52" s="21" t="str">
        <f t="shared" si="31"/>
        <v/>
      </c>
    </row>
    <row r="53" ht="16.5" customHeight="1">
      <c r="A53" s="11" t="s">
        <v>34</v>
      </c>
      <c r="B53" s="11" t="s">
        <v>39</v>
      </c>
      <c r="C53" s="11" t="s">
        <v>116</v>
      </c>
      <c r="D53" s="11" t="s">
        <v>117</v>
      </c>
      <c r="J53" s="18"/>
      <c r="K53" s="19"/>
      <c r="L53" s="20"/>
      <c r="M53" s="20"/>
      <c r="N53" s="20"/>
      <c r="O53" s="20"/>
      <c r="P53" s="20"/>
      <c r="Q53" s="20"/>
      <c r="R53" s="20"/>
      <c r="S53" s="20"/>
      <c r="T53" s="20"/>
      <c r="AE53" s="21" t="str">
        <f t="shared" si="10"/>
        <v/>
      </c>
      <c r="AF53" s="21" t="str">
        <f t="shared" ref="AF53:AN53" si="58">if(not(isblank(L53)),", "&amp;L53,"")</f>
        <v/>
      </c>
      <c r="AG53" s="21" t="str">
        <f t="shared" si="58"/>
        <v/>
      </c>
      <c r="AH53" s="21" t="str">
        <f t="shared" si="58"/>
        <v/>
      </c>
      <c r="AI53" s="21" t="str">
        <f t="shared" si="58"/>
        <v/>
      </c>
      <c r="AJ53" s="21" t="str">
        <f t="shared" si="58"/>
        <v/>
      </c>
      <c r="AK53" s="21" t="str">
        <f t="shared" si="58"/>
        <v/>
      </c>
      <c r="AL53" s="21" t="str">
        <f t="shared" si="58"/>
        <v/>
      </c>
      <c r="AM53" s="21" t="str">
        <f t="shared" si="58"/>
        <v/>
      </c>
      <c r="AN53" s="21" t="str">
        <f t="shared" si="58"/>
        <v/>
      </c>
      <c r="AO53" s="21" t="str">
        <f t="shared" si="31"/>
        <v/>
      </c>
    </row>
    <row r="54" ht="16.5" customHeight="1">
      <c r="A54" s="11" t="s">
        <v>34</v>
      </c>
      <c r="B54" s="11" t="s">
        <v>39</v>
      </c>
      <c r="C54" s="11" t="s">
        <v>53</v>
      </c>
      <c r="D54" s="11" t="s">
        <v>54</v>
      </c>
      <c r="J54" s="18"/>
      <c r="K54" s="19"/>
      <c r="L54" s="19"/>
      <c r="M54" s="19"/>
      <c r="N54" s="20"/>
      <c r="O54" s="20"/>
      <c r="P54" s="20"/>
      <c r="Q54" s="20"/>
      <c r="R54" s="20"/>
      <c r="S54" s="20"/>
      <c r="T54" s="20"/>
      <c r="AE54" s="21" t="str">
        <f t="shared" si="10"/>
        <v/>
      </c>
      <c r="AF54" s="21" t="str">
        <f t="shared" ref="AF54:AN54" si="59">if(not(isblank(L54)),", "&amp;L54,"")</f>
        <v/>
      </c>
      <c r="AG54" s="21" t="str">
        <f t="shared" si="59"/>
        <v/>
      </c>
      <c r="AH54" s="21" t="str">
        <f t="shared" si="59"/>
        <v/>
      </c>
      <c r="AI54" s="21" t="str">
        <f t="shared" si="59"/>
        <v/>
      </c>
      <c r="AJ54" s="21" t="str">
        <f t="shared" si="59"/>
        <v/>
      </c>
      <c r="AK54" s="21" t="str">
        <f t="shared" si="59"/>
        <v/>
      </c>
      <c r="AL54" s="21" t="str">
        <f t="shared" si="59"/>
        <v/>
      </c>
      <c r="AM54" s="21" t="str">
        <f t="shared" si="59"/>
        <v/>
      </c>
      <c r="AN54" s="21" t="str">
        <f t="shared" si="59"/>
        <v/>
      </c>
      <c r="AO54" s="21" t="str">
        <f t="shared" si="31"/>
        <v/>
      </c>
    </row>
    <row r="55" ht="16.5" customHeight="1">
      <c r="A55" s="11" t="s">
        <v>34</v>
      </c>
      <c r="B55" s="11" t="s">
        <v>39</v>
      </c>
      <c r="C55" s="11" t="s">
        <v>57</v>
      </c>
      <c r="D55" s="11" t="s">
        <v>58</v>
      </c>
      <c r="E55" s="24" t="s">
        <v>2170</v>
      </c>
      <c r="G55" s="22" t="s">
        <v>2171</v>
      </c>
      <c r="J55" s="18"/>
      <c r="K55" s="19"/>
      <c r="L55" s="20"/>
      <c r="M55" s="20"/>
      <c r="N55" s="20"/>
      <c r="O55" s="20"/>
      <c r="P55" s="20"/>
      <c r="Q55" s="20"/>
      <c r="R55" s="20"/>
      <c r="S55" s="20"/>
      <c r="T55" s="20"/>
      <c r="AE55" s="21" t="str">
        <f t="shared" si="10"/>
        <v/>
      </c>
      <c r="AF55" s="21" t="str">
        <f t="shared" ref="AF55:AN55" si="60">if(not(isblank(L55)),", "&amp;L55,"")</f>
        <v/>
      </c>
      <c r="AG55" s="21" t="str">
        <f t="shared" si="60"/>
        <v/>
      </c>
      <c r="AH55" s="21" t="str">
        <f t="shared" si="60"/>
        <v/>
      </c>
      <c r="AI55" s="21" t="str">
        <f t="shared" si="60"/>
        <v/>
      </c>
      <c r="AJ55" s="21" t="str">
        <f t="shared" si="60"/>
        <v/>
      </c>
      <c r="AK55" s="21" t="str">
        <f t="shared" si="60"/>
        <v/>
      </c>
      <c r="AL55" s="21" t="str">
        <f t="shared" si="60"/>
        <v/>
      </c>
      <c r="AM55" s="21" t="str">
        <f t="shared" si="60"/>
        <v/>
      </c>
      <c r="AN55" s="21" t="str">
        <f t="shared" si="60"/>
        <v/>
      </c>
      <c r="AO55" s="21" t="str">
        <f t="shared" si="31"/>
        <v/>
      </c>
    </row>
    <row r="56" ht="16.5" customHeight="1">
      <c r="A56" s="11" t="s">
        <v>34</v>
      </c>
      <c r="B56" s="11" t="s">
        <v>39</v>
      </c>
      <c r="C56" s="11" t="s">
        <v>55</v>
      </c>
      <c r="D56" s="11" t="s">
        <v>56</v>
      </c>
      <c r="J56" s="18"/>
      <c r="K56" s="19"/>
      <c r="L56" s="20"/>
      <c r="M56" s="20"/>
      <c r="N56" s="20"/>
      <c r="O56" s="20"/>
      <c r="P56" s="20"/>
      <c r="Q56" s="20"/>
      <c r="R56" s="20"/>
      <c r="S56" s="20"/>
      <c r="T56" s="20"/>
      <c r="AE56" s="21" t="str">
        <f t="shared" si="10"/>
        <v/>
      </c>
      <c r="AF56" s="21" t="str">
        <f t="shared" ref="AF56:AN56" si="61">if(not(isblank(L56)),", "&amp;L56,"")</f>
        <v/>
      </c>
      <c r="AG56" s="21" t="str">
        <f t="shared" si="61"/>
        <v/>
      </c>
      <c r="AH56" s="21" t="str">
        <f t="shared" si="61"/>
        <v/>
      </c>
      <c r="AI56" s="21" t="str">
        <f t="shared" si="61"/>
        <v/>
      </c>
      <c r="AJ56" s="21" t="str">
        <f t="shared" si="61"/>
        <v/>
      </c>
      <c r="AK56" s="21" t="str">
        <f t="shared" si="61"/>
        <v/>
      </c>
      <c r="AL56" s="21" t="str">
        <f t="shared" si="61"/>
        <v/>
      </c>
      <c r="AM56" s="21" t="str">
        <f t="shared" si="61"/>
        <v/>
      </c>
      <c r="AN56" s="21" t="str">
        <f t="shared" si="61"/>
        <v/>
      </c>
      <c r="AO56" s="21" t="str">
        <f t="shared" si="31"/>
        <v/>
      </c>
    </row>
    <row r="57" ht="16.5" customHeight="1">
      <c r="A57" s="11" t="s">
        <v>34</v>
      </c>
      <c r="B57" s="11" t="s">
        <v>39</v>
      </c>
      <c r="C57" s="11" t="s">
        <v>59</v>
      </c>
      <c r="D57" s="11" t="s">
        <v>60</v>
      </c>
      <c r="J57" s="18"/>
      <c r="K57" s="19"/>
      <c r="L57" s="20"/>
      <c r="M57" s="20"/>
      <c r="N57" s="20"/>
      <c r="O57" s="20"/>
      <c r="P57" s="20"/>
      <c r="Q57" s="20"/>
      <c r="R57" s="20"/>
      <c r="S57" s="20"/>
      <c r="T57" s="20"/>
      <c r="AE57" s="21" t="str">
        <f t="shared" si="10"/>
        <v/>
      </c>
      <c r="AF57" s="21" t="str">
        <f t="shared" ref="AF57:AN57" si="62">if(not(isblank(L57)),", "&amp;L57,"")</f>
        <v/>
      </c>
      <c r="AG57" s="21" t="str">
        <f t="shared" si="62"/>
        <v/>
      </c>
      <c r="AH57" s="21" t="str">
        <f t="shared" si="62"/>
        <v/>
      </c>
      <c r="AI57" s="21" t="str">
        <f t="shared" si="62"/>
        <v/>
      </c>
      <c r="AJ57" s="21" t="str">
        <f t="shared" si="62"/>
        <v/>
      </c>
      <c r="AK57" s="21" t="str">
        <f t="shared" si="62"/>
        <v/>
      </c>
      <c r="AL57" s="21" t="str">
        <f t="shared" si="62"/>
        <v/>
      </c>
      <c r="AM57" s="21" t="str">
        <f t="shared" si="62"/>
        <v/>
      </c>
      <c r="AN57" s="21" t="str">
        <f t="shared" si="62"/>
        <v/>
      </c>
      <c r="AO57" s="21" t="str">
        <f t="shared" si="31"/>
        <v/>
      </c>
    </row>
    <row r="58" ht="16.5" customHeight="1">
      <c r="A58" s="11" t="s">
        <v>34</v>
      </c>
      <c r="B58" s="11" t="s">
        <v>35</v>
      </c>
      <c r="C58" s="11" t="s">
        <v>200</v>
      </c>
      <c r="D58" s="11" t="s">
        <v>201</v>
      </c>
      <c r="E58" s="7" t="s">
        <v>2182</v>
      </c>
      <c r="F58" s="22" t="s">
        <v>2183</v>
      </c>
      <c r="G58" s="22" t="s">
        <v>2184</v>
      </c>
      <c r="J58" s="18"/>
      <c r="K58" s="23"/>
      <c r="L58" s="20"/>
      <c r="M58" s="20"/>
      <c r="N58" s="20"/>
      <c r="O58" s="20"/>
      <c r="P58" s="20"/>
      <c r="Q58" s="20"/>
      <c r="R58" s="20"/>
      <c r="S58" s="20"/>
      <c r="T58" s="20"/>
      <c r="AE58" s="21" t="str">
        <f t="shared" si="10"/>
        <v/>
      </c>
      <c r="AF58" s="21" t="str">
        <f t="shared" ref="AF58:AN58" si="63">if(not(isblank(L58)),", "&amp;L58,"")</f>
        <v/>
      </c>
      <c r="AG58" s="21" t="str">
        <f t="shared" si="63"/>
        <v/>
      </c>
      <c r="AH58" s="21" t="str">
        <f t="shared" si="63"/>
        <v/>
      </c>
      <c r="AI58" s="21" t="str">
        <f t="shared" si="63"/>
        <v/>
      </c>
      <c r="AJ58" s="21" t="str">
        <f t="shared" si="63"/>
        <v/>
      </c>
      <c r="AK58" s="21" t="str">
        <f t="shared" si="63"/>
        <v/>
      </c>
      <c r="AL58" s="21" t="str">
        <f t="shared" si="63"/>
        <v/>
      </c>
      <c r="AM58" s="21" t="str">
        <f t="shared" si="63"/>
        <v/>
      </c>
      <c r="AN58" s="21" t="str">
        <f t="shared" si="63"/>
        <v/>
      </c>
      <c r="AO58" s="21" t="str">
        <f t="shared" si="31"/>
        <v/>
      </c>
    </row>
    <row r="59" ht="16.5" customHeight="1">
      <c r="A59" s="11" t="s">
        <v>34</v>
      </c>
      <c r="B59" s="11" t="s">
        <v>35</v>
      </c>
      <c r="C59" s="11" t="s">
        <v>206</v>
      </c>
      <c r="D59" s="11" t="s">
        <v>207</v>
      </c>
      <c r="E59" s="7" t="s">
        <v>2182</v>
      </c>
      <c r="F59" s="22" t="s">
        <v>2183</v>
      </c>
      <c r="G59" s="22" t="s">
        <v>2184</v>
      </c>
      <c r="J59" s="18"/>
      <c r="K59" s="19"/>
      <c r="L59" s="19"/>
      <c r="M59" s="20"/>
      <c r="N59" s="20"/>
      <c r="O59" s="20"/>
      <c r="P59" s="20"/>
      <c r="Q59" s="20"/>
      <c r="R59" s="20"/>
      <c r="S59" s="20"/>
      <c r="T59" s="20"/>
      <c r="AE59" s="21" t="str">
        <f t="shared" si="10"/>
        <v/>
      </c>
      <c r="AF59" s="21" t="str">
        <f t="shared" ref="AF59:AN59" si="64">if(not(isblank(L59)),", "&amp;L59,"")</f>
        <v/>
      </c>
      <c r="AG59" s="21" t="str">
        <f t="shared" si="64"/>
        <v/>
      </c>
      <c r="AH59" s="21" t="str">
        <f t="shared" si="64"/>
        <v/>
      </c>
      <c r="AI59" s="21" t="str">
        <f t="shared" si="64"/>
        <v/>
      </c>
      <c r="AJ59" s="21" t="str">
        <f t="shared" si="64"/>
        <v/>
      </c>
      <c r="AK59" s="21" t="str">
        <f t="shared" si="64"/>
        <v/>
      </c>
      <c r="AL59" s="21" t="str">
        <f t="shared" si="64"/>
        <v/>
      </c>
      <c r="AM59" s="21" t="str">
        <f t="shared" si="64"/>
        <v/>
      </c>
      <c r="AN59" s="21" t="str">
        <f t="shared" si="64"/>
        <v/>
      </c>
      <c r="AO59" s="21" t="str">
        <f t="shared" si="31"/>
        <v/>
      </c>
    </row>
    <row r="60" ht="16.5" customHeight="1">
      <c r="A60" s="11" t="s">
        <v>34</v>
      </c>
      <c r="B60" s="11" t="s">
        <v>35</v>
      </c>
      <c r="C60" s="11" t="s">
        <v>202</v>
      </c>
      <c r="D60" s="11" t="s">
        <v>203</v>
      </c>
      <c r="E60" s="7" t="s">
        <v>2185</v>
      </c>
      <c r="F60" s="22" t="s">
        <v>2186</v>
      </c>
      <c r="G60" s="22" t="s">
        <v>2184</v>
      </c>
      <c r="J60" s="18"/>
      <c r="K60" s="19"/>
      <c r="L60" s="19"/>
      <c r="M60" s="20"/>
      <c r="N60" s="20"/>
      <c r="O60" s="20"/>
      <c r="P60" s="20"/>
      <c r="Q60" s="20"/>
      <c r="R60" s="20"/>
      <c r="S60" s="20"/>
      <c r="T60" s="20"/>
      <c r="AE60" s="21" t="str">
        <f t="shared" si="10"/>
        <v/>
      </c>
      <c r="AF60" s="21" t="str">
        <f t="shared" ref="AF60:AN60" si="65">if(not(isblank(L60)),", "&amp;L60,"")</f>
        <v/>
      </c>
      <c r="AG60" s="21" t="str">
        <f t="shared" si="65"/>
        <v/>
      </c>
      <c r="AH60" s="21" t="str">
        <f t="shared" si="65"/>
        <v/>
      </c>
      <c r="AI60" s="21" t="str">
        <f t="shared" si="65"/>
        <v/>
      </c>
      <c r="AJ60" s="21" t="str">
        <f t="shared" si="65"/>
        <v/>
      </c>
      <c r="AK60" s="21" t="str">
        <f t="shared" si="65"/>
        <v/>
      </c>
      <c r="AL60" s="21" t="str">
        <f t="shared" si="65"/>
        <v/>
      </c>
      <c r="AM60" s="21" t="str">
        <f t="shared" si="65"/>
        <v/>
      </c>
      <c r="AN60" s="21" t="str">
        <f t="shared" si="65"/>
        <v/>
      </c>
      <c r="AO60" s="21" t="str">
        <f t="shared" si="31"/>
        <v/>
      </c>
    </row>
    <row r="61" ht="16.5" customHeight="1">
      <c r="A61" s="11" t="s">
        <v>34</v>
      </c>
      <c r="B61" s="11" t="s">
        <v>35</v>
      </c>
      <c r="C61" s="11" t="s">
        <v>204</v>
      </c>
      <c r="D61" s="11" t="s">
        <v>205</v>
      </c>
      <c r="E61" s="7" t="s">
        <v>2185</v>
      </c>
      <c r="F61" s="22" t="s">
        <v>2186</v>
      </c>
      <c r="G61" s="22" t="s">
        <v>2184</v>
      </c>
      <c r="J61" s="18"/>
      <c r="K61" s="19"/>
      <c r="L61" s="19"/>
      <c r="M61" s="20"/>
      <c r="N61" s="20"/>
      <c r="O61" s="20"/>
      <c r="P61" s="20"/>
      <c r="Q61" s="20"/>
      <c r="R61" s="20"/>
      <c r="S61" s="20"/>
      <c r="T61" s="20"/>
      <c r="AE61" s="21" t="str">
        <f t="shared" si="10"/>
        <v/>
      </c>
      <c r="AF61" s="21" t="str">
        <f t="shared" ref="AF61:AN61" si="66">if(not(isblank(L61)),", "&amp;L61,"")</f>
        <v/>
      </c>
      <c r="AG61" s="21" t="str">
        <f t="shared" si="66"/>
        <v/>
      </c>
      <c r="AH61" s="21" t="str">
        <f t="shared" si="66"/>
        <v/>
      </c>
      <c r="AI61" s="21" t="str">
        <f t="shared" si="66"/>
        <v/>
      </c>
      <c r="AJ61" s="21" t="str">
        <f t="shared" si="66"/>
        <v/>
      </c>
      <c r="AK61" s="21" t="str">
        <f t="shared" si="66"/>
        <v/>
      </c>
      <c r="AL61" s="21" t="str">
        <f t="shared" si="66"/>
        <v/>
      </c>
      <c r="AM61" s="21" t="str">
        <f t="shared" si="66"/>
        <v/>
      </c>
      <c r="AN61" s="21" t="str">
        <f t="shared" si="66"/>
        <v/>
      </c>
      <c r="AO61" s="21" t="str">
        <f t="shared" si="31"/>
        <v/>
      </c>
    </row>
    <row r="62" ht="16.5" customHeight="1">
      <c r="A62" s="11" t="s">
        <v>34</v>
      </c>
      <c r="B62" s="11" t="s">
        <v>35</v>
      </c>
      <c r="C62" s="11" t="s">
        <v>32</v>
      </c>
      <c r="D62" s="11" t="s">
        <v>33</v>
      </c>
      <c r="E62" s="7" t="s">
        <v>2187</v>
      </c>
      <c r="F62" s="22" t="s">
        <v>2186</v>
      </c>
      <c r="G62" s="22" t="s">
        <v>2184</v>
      </c>
      <c r="J62" s="18"/>
      <c r="K62" s="19"/>
      <c r="L62" s="20"/>
      <c r="M62" s="20"/>
      <c r="N62" s="20"/>
      <c r="O62" s="20"/>
      <c r="P62" s="20"/>
      <c r="Q62" s="20"/>
      <c r="R62" s="20"/>
      <c r="S62" s="20"/>
      <c r="T62" s="20"/>
      <c r="AE62" s="21" t="str">
        <f t="shared" si="10"/>
        <v/>
      </c>
      <c r="AF62" s="21" t="str">
        <f t="shared" ref="AF62:AN62" si="67">if(not(isblank(L62)),", "&amp;L62,"")</f>
        <v/>
      </c>
      <c r="AG62" s="21" t="str">
        <f t="shared" si="67"/>
        <v/>
      </c>
      <c r="AH62" s="21" t="str">
        <f t="shared" si="67"/>
        <v/>
      </c>
      <c r="AI62" s="21" t="str">
        <f t="shared" si="67"/>
        <v/>
      </c>
      <c r="AJ62" s="21" t="str">
        <f t="shared" si="67"/>
        <v/>
      </c>
      <c r="AK62" s="21" t="str">
        <f t="shared" si="67"/>
        <v/>
      </c>
      <c r="AL62" s="21" t="str">
        <f t="shared" si="67"/>
        <v/>
      </c>
      <c r="AM62" s="21" t="str">
        <f t="shared" si="67"/>
        <v/>
      </c>
      <c r="AN62" s="21" t="str">
        <f t="shared" si="67"/>
        <v/>
      </c>
      <c r="AO62" s="21" t="str">
        <f t="shared" si="31"/>
        <v/>
      </c>
    </row>
    <row r="63" ht="16.5" customHeight="1">
      <c r="A63" s="11" t="s">
        <v>34</v>
      </c>
      <c r="B63" s="11" t="s">
        <v>35</v>
      </c>
      <c r="C63" s="11" t="s">
        <v>1029</v>
      </c>
      <c r="D63" s="11" t="s">
        <v>1030</v>
      </c>
      <c r="E63" s="7" t="s">
        <v>2187</v>
      </c>
      <c r="F63" s="22" t="s">
        <v>2186</v>
      </c>
      <c r="G63" s="22" t="s">
        <v>2184</v>
      </c>
      <c r="H63" s="11" t="s">
        <v>1032</v>
      </c>
      <c r="I63" s="11" t="s">
        <v>558</v>
      </c>
      <c r="J63" s="18"/>
      <c r="K63" s="19"/>
      <c r="L63" s="19"/>
      <c r="M63" s="20"/>
      <c r="N63" s="20"/>
      <c r="O63" s="20"/>
      <c r="P63" s="20"/>
      <c r="Q63" s="20"/>
      <c r="R63" s="20"/>
      <c r="S63" s="20"/>
      <c r="T63" s="20"/>
      <c r="AE63" s="21"/>
      <c r="AF63" s="21"/>
      <c r="AG63" s="21"/>
      <c r="AH63" s="21"/>
      <c r="AI63" s="21"/>
      <c r="AJ63" s="21"/>
      <c r="AK63" s="21"/>
      <c r="AL63" s="21"/>
      <c r="AM63" s="21"/>
      <c r="AN63" s="21"/>
      <c r="AO63" s="21"/>
    </row>
    <row r="64" ht="16.5" customHeight="1">
      <c r="A64" s="4" t="s">
        <v>210</v>
      </c>
      <c r="B64" s="4" t="s">
        <v>35</v>
      </c>
      <c r="C64" s="4" t="s">
        <v>1239</v>
      </c>
      <c r="D64" s="4" t="s">
        <v>1330</v>
      </c>
      <c r="E64" s="7" t="s">
        <v>2188</v>
      </c>
      <c r="F64" s="22" t="s">
        <v>2189</v>
      </c>
      <c r="G64" s="22" t="s">
        <v>2184</v>
      </c>
      <c r="H64" s="4" t="s">
        <v>1308</v>
      </c>
      <c r="I64" s="4" t="s">
        <v>725</v>
      </c>
      <c r="J64" s="18"/>
      <c r="K64" s="19" t="s">
        <v>1239</v>
      </c>
      <c r="L64" s="19" t="s">
        <v>622</v>
      </c>
      <c r="M64" s="20"/>
      <c r="N64" s="20"/>
      <c r="O64" s="20"/>
      <c r="P64" s="20"/>
      <c r="Q64" s="20"/>
      <c r="R64" s="20"/>
      <c r="S64" s="20"/>
      <c r="T64" s="20"/>
      <c r="AE64" s="21"/>
      <c r="AF64" s="21"/>
      <c r="AG64" s="21"/>
      <c r="AH64" s="21"/>
      <c r="AI64" s="21"/>
      <c r="AJ64" s="21"/>
      <c r="AK64" s="21"/>
      <c r="AL64" s="21"/>
      <c r="AM64" s="21"/>
      <c r="AN64" s="21"/>
      <c r="AO64" s="21"/>
    </row>
    <row r="65" ht="16.5" customHeight="1">
      <c r="A65" s="4" t="s">
        <v>34</v>
      </c>
      <c r="B65" s="4" t="s">
        <v>35</v>
      </c>
      <c r="C65" s="4" t="s">
        <v>1045</v>
      </c>
      <c r="D65" s="4" t="s">
        <v>1046</v>
      </c>
      <c r="E65" s="7" t="s">
        <v>2188</v>
      </c>
      <c r="F65" s="22" t="s">
        <v>2189</v>
      </c>
      <c r="G65" s="22" t="s">
        <v>2184</v>
      </c>
      <c r="H65" s="4" t="s">
        <v>1048</v>
      </c>
      <c r="I65" s="4"/>
      <c r="J65" s="18"/>
      <c r="K65" s="19"/>
      <c r="L65" s="19"/>
      <c r="M65" s="20"/>
      <c r="N65" s="20"/>
      <c r="O65" s="20"/>
      <c r="P65" s="20"/>
      <c r="Q65" s="20"/>
      <c r="R65" s="20"/>
      <c r="S65" s="20"/>
      <c r="T65" s="20"/>
      <c r="AE65" s="21"/>
      <c r="AF65" s="21"/>
      <c r="AG65" s="21"/>
      <c r="AH65" s="21"/>
      <c r="AI65" s="21"/>
      <c r="AJ65" s="21"/>
      <c r="AK65" s="21"/>
      <c r="AL65" s="21"/>
      <c r="AM65" s="21"/>
      <c r="AN65" s="21"/>
      <c r="AO65" s="21"/>
    </row>
    <row r="66" ht="16.5" customHeight="1">
      <c r="A66" s="4" t="s">
        <v>210</v>
      </c>
      <c r="B66" s="4" t="s">
        <v>35</v>
      </c>
      <c r="C66" s="4" t="s">
        <v>2123</v>
      </c>
      <c r="D66" s="4" t="s">
        <v>2124</v>
      </c>
      <c r="E66" s="7" t="s">
        <v>2188</v>
      </c>
      <c r="F66" s="22" t="s">
        <v>2189</v>
      </c>
      <c r="G66" s="22" t="s">
        <v>2184</v>
      </c>
      <c r="H66" s="4" t="s">
        <v>1308</v>
      </c>
      <c r="I66" s="4" t="s">
        <v>2126</v>
      </c>
      <c r="J66" s="18"/>
      <c r="K66" s="19"/>
      <c r="L66" s="19"/>
      <c r="M66" s="20"/>
      <c r="N66" s="20"/>
      <c r="O66" s="20"/>
      <c r="P66" s="20"/>
      <c r="Q66" s="20"/>
      <c r="R66" s="20"/>
      <c r="S66" s="20"/>
      <c r="T66" s="20"/>
      <c r="AE66" s="21"/>
      <c r="AF66" s="21"/>
      <c r="AG66" s="21"/>
      <c r="AH66" s="21"/>
      <c r="AI66" s="21"/>
      <c r="AJ66" s="21"/>
      <c r="AK66" s="21"/>
      <c r="AL66" s="21"/>
      <c r="AM66" s="21"/>
      <c r="AN66" s="21"/>
      <c r="AO66" s="21"/>
    </row>
    <row r="67" ht="16.5" customHeight="1">
      <c r="A67" s="4" t="s">
        <v>210</v>
      </c>
      <c r="B67" s="4" t="s">
        <v>35</v>
      </c>
      <c r="C67" s="4" t="s">
        <v>622</v>
      </c>
      <c r="D67" s="4" t="s">
        <v>1306</v>
      </c>
      <c r="E67" s="7" t="s">
        <v>2188</v>
      </c>
      <c r="F67" s="22" t="s">
        <v>2189</v>
      </c>
      <c r="G67" s="22" t="s">
        <v>2184</v>
      </c>
      <c r="H67" s="4" t="s">
        <v>1308</v>
      </c>
      <c r="I67" s="4" t="s">
        <v>255</v>
      </c>
      <c r="J67" s="18"/>
      <c r="K67" s="19"/>
      <c r="L67" s="19"/>
      <c r="M67" s="20"/>
      <c r="N67" s="20"/>
      <c r="O67" s="20"/>
      <c r="P67" s="20"/>
      <c r="Q67" s="20"/>
      <c r="R67" s="20"/>
      <c r="S67" s="20"/>
      <c r="T67" s="20"/>
      <c r="AE67" s="21"/>
      <c r="AF67" s="21"/>
      <c r="AG67" s="21"/>
      <c r="AH67" s="21"/>
      <c r="AI67" s="21"/>
      <c r="AJ67" s="21"/>
      <c r="AK67" s="21"/>
      <c r="AL67" s="21"/>
      <c r="AM67" s="21"/>
      <c r="AN67" s="21"/>
      <c r="AO67" s="21"/>
    </row>
    <row r="68" ht="16.5" customHeight="1">
      <c r="A68" s="11" t="s">
        <v>34</v>
      </c>
      <c r="B68" s="11" t="s">
        <v>35</v>
      </c>
      <c r="C68" s="11" t="s">
        <v>45</v>
      </c>
      <c r="D68" s="11" t="s">
        <v>46</v>
      </c>
      <c r="J68" s="18"/>
      <c r="K68" s="19"/>
      <c r="L68" s="19"/>
      <c r="M68" s="19"/>
      <c r="N68" s="20"/>
      <c r="O68" s="20"/>
      <c r="P68" s="20"/>
      <c r="Q68" s="20"/>
      <c r="R68" s="20"/>
      <c r="S68" s="20"/>
      <c r="T68" s="20"/>
      <c r="AE68" s="21" t="str">
        <f t="shared" ref="AE68:AE71" si="69">if(not(isblank(K68)),K68,"")</f>
        <v/>
      </c>
      <c r="AF68" s="21" t="str">
        <f t="shared" ref="AF68:AN68" si="68">if(not(isblank(L68)),", "&amp;L68,"")</f>
        <v/>
      </c>
      <c r="AG68" s="21" t="str">
        <f t="shared" si="68"/>
        <v/>
      </c>
      <c r="AH68" s="21" t="str">
        <f t="shared" si="68"/>
        <v/>
      </c>
      <c r="AI68" s="21" t="str">
        <f t="shared" si="68"/>
        <v/>
      </c>
      <c r="AJ68" s="21" t="str">
        <f t="shared" si="68"/>
        <v/>
      </c>
      <c r="AK68" s="21" t="str">
        <f t="shared" si="68"/>
        <v/>
      </c>
      <c r="AL68" s="21" t="str">
        <f t="shared" si="68"/>
        <v/>
      </c>
      <c r="AM68" s="21" t="str">
        <f t="shared" si="68"/>
        <v/>
      </c>
      <c r="AN68" s="21" t="str">
        <f t="shared" si="68"/>
        <v/>
      </c>
      <c r="AO68" s="21" t="str">
        <f t="shared" ref="AO68:AO71" si="71">if(isblank(K68),H68,AE68&amp;AF68&amp;AG68&amp;AH68&amp;AI68&amp;AJ68&amp;AK68&amp;AL68&amp;AM68&amp;AN68)</f>
        <v/>
      </c>
    </row>
    <row r="69" ht="16.5" customHeight="1">
      <c r="A69" s="11" t="s">
        <v>34</v>
      </c>
      <c r="B69" s="11" t="s">
        <v>35</v>
      </c>
      <c r="C69" s="11" t="s">
        <v>48</v>
      </c>
      <c r="D69" s="11" t="s">
        <v>49</v>
      </c>
      <c r="J69" s="18"/>
      <c r="K69" s="19"/>
      <c r="L69" s="19"/>
      <c r="M69" s="19"/>
      <c r="N69" s="20"/>
      <c r="O69" s="20"/>
      <c r="P69" s="20"/>
      <c r="Q69" s="20"/>
      <c r="R69" s="20"/>
      <c r="S69" s="20"/>
      <c r="T69" s="20"/>
      <c r="AE69" s="21" t="str">
        <f t="shared" si="69"/>
        <v/>
      </c>
      <c r="AF69" s="21" t="str">
        <f t="shared" ref="AF69:AN69" si="70">if(not(isblank(L69)),", "&amp;L69,"")</f>
        <v/>
      </c>
      <c r="AG69" s="21" t="str">
        <f t="shared" si="70"/>
        <v/>
      </c>
      <c r="AH69" s="21" t="str">
        <f t="shared" si="70"/>
        <v/>
      </c>
      <c r="AI69" s="21" t="str">
        <f t="shared" si="70"/>
        <v/>
      </c>
      <c r="AJ69" s="21" t="str">
        <f t="shared" si="70"/>
        <v/>
      </c>
      <c r="AK69" s="21" t="str">
        <f t="shared" si="70"/>
        <v/>
      </c>
      <c r="AL69" s="21" t="str">
        <f t="shared" si="70"/>
        <v/>
      </c>
      <c r="AM69" s="21" t="str">
        <f t="shared" si="70"/>
        <v/>
      </c>
      <c r="AN69" s="21" t="str">
        <f t="shared" si="70"/>
        <v/>
      </c>
      <c r="AO69" s="21" t="str">
        <f t="shared" si="71"/>
        <v/>
      </c>
    </row>
    <row r="70" ht="16.5" customHeight="1">
      <c r="A70" s="11" t="s">
        <v>34</v>
      </c>
      <c r="B70" s="11" t="s">
        <v>47</v>
      </c>
      <c r="C70" s="11" t="s">
        <v>138</v>
      </c>
      <c r="D70" s="11" t="s">
        <v>139</v>
      </c>
      <c r="E70" s="22" t="s">
        <v>2190</v>
      </c>
      <c r="F70" s="22" t="s">
        <v>2191</v>
      </c>
      <c r="G70" s="22" t="s">
        <v>1221</v>
      </c>
      <c r="J70" s="18"/>
      <c r="K70" s="19" t="s">
        <v>140</v>
      </c>
      <c r="L70" s="19"/>
      <c r="M70" s="19"/>
      <c r="N70" s="19"/>
      <c r="O70" s="19"/>
      <c r="P70" s="19"/>
      <c r="Q70" s="20"/>
      <c r="R70" s="20"/>
      <c r="S70" s="20"/>
      <c r="T70" s="20"/>
      <c r="AE70" s="21" t="str">
        <f t="shared" si="69"/>
        <v>elmer-white</v>
      </c>
      <c r="AF70" s="21" t="str">
        <f t="shared" ref="AF70:AN70" si="72">if(not(isblank(L70)),", "&amp;L70,"")</f>
        <v/>
      </c>
      <c r="AG70" s="21" t="str">
        <f t="shared" si="72"/>
        <v/>
      </c>
      <c r="AH70" s="21" t="str">
        <f t="shared" si="72"/>
        <v/>
      </c>
      <c r="AI70" s="21" t="str">
        <f t="shared" si="72"/>
        <v/>
      </c>
      <c r="AJ70" s="21" t="str">
        <f t="shared" si="72"/>
        <v/>
      </c>
      <c r="AK70" s="21" t="str">
        <f t="shared" si="72"/>
        <v/>
      </c>
      <c r="AL70" s="21" t="str">
        <f t="shared" si="72"/>
        <v/>
      </c>
      <c r="AM70" s="21" t="str">
        <f t="shared" si="72"/>
        <v/>
      </c>
      <c r="AN70" s="21" t="str">
        <f t="shared" si="72"/>
        <v/>
      </c>
      <c r="AO70" s="21" t="str">
        <f t="shared" si="71"/>
        <v>elmer-white</v>
      </c>
    </row>
    <row r="71" ht="16.5" customHeight="1">
      <c r="A71" s="11" t="s">
        <v>34</v>
      </c>
      <c r="B71" s="11" t="s">
        <v>47</v>
      </c>
      <c r="C71" s="11" t="s">
        <v>140</v>
      </c>
      <c r="D71" s="11" t="s">
        <v>141</v>
      </c>
      <c r="E71" s="22" t="s">
        <v>2190</v>
      </c>
      <c r="F71" s="22" t="s">
        <v>2191</v>
      </c>
      <c r="G71" s="22" t="s">
        <v>1221</v>
      </c>
      <c r="J71" s="18"/>
      <c r="K71" s="19" t="s">
        <v>138</v>
      </c>
      <c r="L71" s="19"/>
      <c r="M71" s="19"/>
      <c r="N71" s="19"/>
      <c r="O71" s="19"/>
      <c r="P71" s="19"/>
      <c r="Q71" s="20"/>
      <c r="R71" s="20"/>
      <c r="S71" s="20"/>
      <c r="T71" s="20"/>
      <c r="AE71" s="21" t="str">
        <f t="shared" si="69"/>
        <v>elmer-grey-melange</v>
      </c>
      <c r="AF71" s="21" t="str">
        <f t="shared" ref="AF71:AN71" si="73">if(not(isblank(L71)),", "&amp;L71,"")</f>
        <v/>
      </c>
      <c r="AG71" s="21" t="str">
        <f t="shared" si="73"/>
        <v/>
      </c>
      <c r="AH71" s="21" t="str">
        <f t="shared" si="73"/>
        <v/>
      </c>
      <c r="AI71" s="21" t="str">
        <f t="shared" si="73"/>
        <v/>
      </c>
      <c r="AJ71" s="21" t="str">
        <f t="shared" si="73"/>
        <v/>
      </c>
      <c r="AK71" s="21" t="str">
        <f t="shared" si="73"/>
        <v/>
      </c>
      <c r="AL71" s="21" t="str">
        <f t="shared" si="73"/>
        <v/>
      </c>
      <c r="AM71" s="21" t="str">
        <f t="shared" si="73"/>
        <v/>
      </c>
      <c r="AN71" s="21" t="str">
        <f t="shared" si="73"/>
        <v/>
      </c>
      <c r="AO71" s="21" t="str">
        <f t="shared" si="71"/>
        <v>elmer-grey-melange</v>
      </c>
    </row>
    <row r="72" ht="16.5" customHeight="1">
      <c r="A72" s="11" t="s">
        <v>34</v>
      </c>
      <c r="B72" s="11" t="s">
        <v>47</v>
      </c>
      <c r="C72" s="11" t="s">
        <v>63</v>
      </c>
      <c r="D72" s="11" t="s">
        <v>64</v>
      </c>
      <c r="J72" s="18"/>
      <c r="K72" s="19"/>
      <c r="L72" s="19"/>
      <c r="M72" s="19"/>
      <c r="N72" s="20"/>
      <c r="O72" s="20"/>
      <c r="P72" s="20"/>
      <c r="Q72" s="20"/>
      <c r="R72" s="20"/>
      <c r="S72" s="20"/>
      <c r="T72" s="20"/>
      <c r="AE72" s="21"/>
      <c r="AF72" s="21"/>
      <c r="AG72" s="21"/>
      <c r="AH72" s="21"/>
      <c r="AI72" s="21"/>
      <c r="AJ72" s="21"/>
      <c r="AK72" s="21"/>
      <c r="AL72" s="21"/>
      <c r="AM72" s="21"/>
      <c r="AN72" s="21"/>
      <c r="AO72" s="21"/>
    </row>
    <row r="73" ht="16.5" customHeight="1">
      <c r="A73" s="11" t="s">
        <v>34</v>
      </c>
      <c r="B73" s="11" t="s">
        <v>44</v>
      </c>
      <c r="C73" s="11" t="s">
        <v>120</v>
      </c>
      <c r="D73" s="11" t="s">
        <v>121</v>
      </c>
      <c r="E73" s="22" t="s">
        <v>2192</v>
      </c>
      <c r="F73" s="22" t="s">
        <v>2193</v>
      </c>
      <c r="G73" s="11" t="s">
        <v>825</v>
      </c>
      <c r="J73" s="18"/>
      <c r="K73" s="19"/>
      <c r="L73" s="20"/>
      <c r="M73" s="20"/>
      <c r="N73" s="20"/>
      <c r="O73" s="20"/>
      <c r="P73" s="20"/>
      <c r="Q73" s="20"/>
      <c r="R73" s="20"/>
      <c r="S73" s="20"/>
      <c r="T73" s="20"/>
      <c r="AE73" s="21" t="str">
        <f t="shared" ref="AE73:AE76" si="75">if(not(isblank(K73)),K73,"")</f>
        <v/>
      </c>
      <c r="AF73" s="21" t="str">
        <f t="shared" ref="AF73:AN73" si="74">if(not(isblank(L73)),", "&amp;L73,"")</f>
        <v/>
      </c>
      <c r="AG73" s="21" t="str">
        <f t="shared" si="74"/>
        <v/>
      </c>
      <c r="AH73" s="21" t="str">
        <f t="shared" si="74"/>
        <v/>
      </c>
      <c r="AI73" s="21" t="str">
        <f t="shared" si="74"/>
        <v/>
      </c>
      <c r="AJ73" s="21" t="str">
        <f t="shared" si="74"/>
        <v/>
      </c>
      <c r="AK73" s="21" t="str">
        <f t="shared" si="74"/>
        <v/>
      </c>
      <c r="AL73" s="21" t="str">
        <f t="shared" si="74"/>
        <v/>
      </c>
      <c r="AM73" s="21" t="str">
        <f t="shared" si="74"/>
        <v/>
      </c>
      <c r="AN73" s="21" t="str">
        <f t="shared" si="74"/>
        <v/>
      </c>
      <c r="AO73" s="21" t="str">
        <f t="shared" ref="AO73:AO76" si="77">if(isblank(K73),H73,AE73&amp;AF73&amp;AG73&amp;AH73&amp;AI73&amp;AJ73&amp;AK73&amp;AL73&amp;AM73&amp;AN73)</f>
        <v/>
      </c>
    </row>
    <row r="74" ht="16.5" customHeight="1">
      <c r="A74" s="11" t="s">
        <v>34</v>
      </c>
      <c r="B74" s="11" t="s">
        <v>44</v>
      </c>
      <c r="C74" s="11" t="s">
        <v>122</v>
      </c>
      <c r="D74" s="11" t="s">
        <v>123</v>
      </c>
      <c r="E74" s="22" t="s">
        <v>2194</v>
      </c>
      <c r="F74" s="22" t="s">
        <v>2193</v>
      </c>
      <c r="G74" s="11" t="s">
        <v>825</v>
      </c>
      <c r="J74" s="18"/>
      <c r="K74" s="19"/>
      <c r="L74" s="19"/>
      <c r="M74" s="20"/>
      <c r="N74" s="20"/>
      <c r="O74" s="20"/>
      <c r="P74" s="20"/>
      <c r="Q74" s="20"/>
      <c r="R74" s="20"/>
      <c r="S74" s="20"/>
      <c r="T74" s="20"/>
      <c r="AE74" s="21" t="str">
        <f t="shared" si="75"/>
        <v/>
      </c>
      <c r="AF74" s="21" t="str">
        <f t="shared" ref="AF74:AN74" si="76">if(not(isblank(L74)),", "&amp;L74,"")</f>
        <v/>
      </c>
      <c r="AG74" s="21" t="str">
        <f t="shared" si="76"/>
        <v/>
      </c>
      <c r="AH74" s="21" t="str">
        <f t="shared" si="76"/>
        <v/>
      </c>
      <c r="AI74" s="21" t="str">
        <f t="shared" si="76"/>
        <v/>
      </c>
      <c r="AJ74" s="21" t="str">
        <f t="shared" si="76"/>
        <v/>
      </c>
      <c r="AK74" s="21" t="str">
        <f t="shared" si="76"/>
        <v/>
      </c>
      <c r="AL74" s="21" t="str">
        <f t="shared" si="76"/>
        <v/>
      </c>
      <c r="AM74" s="21" t="str">
        <f t="shared" si="76"/>
        <v/>
      </c>
      <c r="AN74" s="21" t="str">
        <f t="shared" si="76"/>
        <v/>
      </c>
      <c r="AO74" s="21" t="str">
        <f t="shared" si="77"/>
        <v/>
      </c>
    </row>
    <row r="75" ht="16.5" customHeight="1">
      <c r="A75" s="11" t="s">
        <v>34</v>
      </c>
      <c r="B75" s="11" t="s">
        <v>44</v>
      </c>
      <c r="C75" s="11" t="s">
        <v>124</v>
      </c>
      <c r="D75" s="11" t="s">
        <v>125</v>
      </c>
      <c r="E75" s="22" t="s">
        <v>2195</v>
      </c>
      <c r="F75" s="22" t="s">
        <v>2193</v>
      </c>
      <c r="G75" s="11" t="s">
        <v>825</v>
      </c>
      <c r="J75" s="18"/>
      <c r="K75" s="19"/>
      <c r="L75" s="19"/>
      <c r="M75" s="20"/>
      <c r="N75" s="20"/>
      <c r="O75" s="20"/>
      <c r="P75" s="20"/>
      <c r="Q75" s="20"/>
      <c r="R75" s="20"/>
      <c r="S75" s="20"/>
      <c r="T75" s="20"/>
      <c r="AE75" s="21" t="str">
        <f t="shared" si="75"/>
        <v/>
      </c>
      <c r="AF75" s="21" t="str">
        <f t="shared" ref="AF75:AN75" si="78">if(not(isblank(L75)),", "&amp;L75,"")</f>
        <v/>
      </c>
      <c r="AG75" s="21" t="str">
        <f t="shared" si="78"/>
        <v/>
      </c>
      <c r="AH75" s="21" t="str">
        <f t="shared" si="78"/>
        <v/>
      </c>
      <c r="AI75" s="21" t="str">
        <f t="shared" si="78"/>
        <v/>
      </c>
      <c r="AJ75" s="21" t="str">
        <f t="shared" si="78"/>
        <v/>
      </c>
      <c r="AK75" s="21" t="str">
        <f t="shared" si="78"/>
        <v/>
      </c>
      <c r="AL75" s="21" t="str">
        <f t="shared" si="78"/>
        <v/>
      </c>
      <c r="AM75" s="21" t="str">
        <f t="shared" si="78"/>
        <v/>
      </c>
      <c r="AN75" s="21" t="str">
        <f t="shared" si="78"/>
        <v/>
      </c>
      <c r="AO75" s="21" t="str">
        <f t="shared" si="77"/>
        <v/>
      </c>
    </row>
    <row r="76" ht="16.5" customHeight="1">
      <c r="A76" s="11" t="s">
        <v>34</v>
      </c>
      <c r="B76" s="11" t="s">
        <v>44</v>
      </c>
      <c r="C76" s="11" t="s">
        <v>65</v>
      </c>
      <c r="D76" s="11" t="s">
        <v>66</v>
      </c>
      <c r="J76" s="18"/>
      <c r="K76" s="19"/>
      <c r="L76" s="19"/>
      <c r="M76" s="20"/>
      <c r="N76" s="20"/>
      <c r="O76" s="20"/>
      <c r="P76" s="20"/>
      <c r="Q76" s="20"/>
      <c r="R76" s="20"/>
      <c r="S76" s="20"/>
      <c r="T76" s="20"/>
      <c r="AE76" s="21" t="str">
        <f t="shared" si="75"/>
        <v/>
      </c>
      <c r="AF76" s="21" t="str">
        <f t="shared" ref="AF76:AN76" si="79">if(not(isblank(L76)),", "&amp;L76,"")</f>
        <v/>
      </c>
      <c r="AG76" s="21" t="str">
        <f t="shared" si="79"/>
        <v/>
      </c>
      <c r="AH76" s="21" t="str">
        <f t="shared" si="79"/>
        <v/>
      </c>
      <c r="AI76" s="21" t="str">
        <f t="shared" si="79"/>
        <v/>
      </c>
      <c r="AJ76" s="21" t="str">
        <f t="shared" si="79"/>
        <v/>
      </c>
      <c r="AK76" s="21" t="str">
        <f t="shared" si="79"/>
        <v/>
      </c>
      <c r="AL76" s="21" t="str">
        <f t="shared" si="79"/>
        <v/>
      </c>
      <c r="AM76" s="21" t="str">
        <f t="shared" si="79"/>
        <v/>
      </c>
      <c r="AN76" s="21" t="str">
        <f t="shared" si="79"/>
        <v/>
      </c>
      <c r="AO76" s="21" t="str">
        <f t="shared" si="77"/>
        <v/>
      </c>
    </row>
    <row r="77" ht="16.5" customHeight="1">
      <c r="A77" s="11" t="s">
        <v>34</v>
      </c>
      <c r="B77" s="11" t="s">
        <v>44</v>
      </c>
      <c r="C77" s="11" t="s">
        <v>461</v>
      </c>
      <c r="D77" s="11" t="s">
        <v>462</v>
      </c>
      <c r="E77" s="22" t="s">
        <v>2196</v>
      </c>
      <c r="F77" s="22" t="s">
        <v>2197</v>
      </c>
      <c r="G77" s="11" t="s">
        <v>470</v>
      </c>
      <c r="I77" s="11" t="s">
        <v>464</v>
      </c>
      <c r="J77" s="18"/>
      <c r="K77" s="19" t="s">
        <v>67</v>
      </c>
      <c r="L77" s="19" t="s">
        <v>69</v>
      </c>
      <c r="M77" s="20"/>
      <c r="N77" s="20"/>
      <c r="O77" s="20"/>
      <c r="P77" s="20"/>
      <c r="Q77" s="20"/>
      <c r="R77" s="20"/>
      <c r="S77" s="20"/>
      <c r="T77" s="20"/>
      <c r="AE77" s="21"/>
      <c r="AF77" s="21"/>
      <c r="AG77" s="21"/>
      <c r="AH77" s="21"/>
      <c r="AI77" s="21"/>
      <c r="AJ77" s="21"/>
      <c r="AK77" s="21"/>
      <c r="AL77" s="21"/>
      <c r="AM77" s="21"/>
      <c r="AN77" s="21"/>
      <c r="AO77" s="21"/>
    </row>
    <row r="78" ht="16.5" customHeight="1">
      <c r="A78" s="11" t="s">
        <v>34</v>
      </c>
      <c r="B78" s="11" t="s">
        <v>44</v>
      </c>
      <c r="C78" s="11" t="s">
        <v>67</v>
      </c>
      <c r="D78" s="11" t="s">
        <v>68</v>
      </c>
      <c r="E78" s="22" t="s">
        <v>2196</v>
      </c>
      <c r="F78" s="22" t="s">
        <v>2197</v>
      </c>
      <c r="G78" s="11" t="s">
        <v>470</v>
      </c>
      <c r="J78" s="18"/>
      <c r="K78" s="19" t="s">
        <v>461</v>
      </c>
      <c r="L78" s="19" t="s">
        <v>69</v>
      </c>
      <c r="M78" s="20"/>
      <c r="N78" s="20"/>
      <c r="O78" s="20"/>
      <c r="P78" s="20"/>
      <c r="Q78" s="20"/>
      <c r="R78" s="20"/>
      <c r="S78" s="20"/>
      <c r="T78" s="20"/>
      <c r="AE78" s="21" t="str">
        <f t="shared" ref="AE78:AE94" si="81">if(not(isblank(K78)),K78,"")</f>
        <v>ayon-grey</v>
      </c>
      <c r="AF78" s="21" t="str">
        <f t="shared" ref="AF78:AN78" si="80">if(not(isblank(L78)),", "&amp;L78,"")</f>
        <v>, ayon-garden-green</v>
      </c>
      <c r="AG78" s="21" t="str">
        <f t="shared" si="80"/>
        <v/>
      </c>
      <c r="AH78" s="21" t="str">
        <f t="shared" si="80"/>
        <v/>
      </c>
      <c r="AI78" s="21" t="str">
        <f t="shared" si="80"/>
        <v/>
      </c>
      <c r="AJ78" s="21" t="str">
        <f t="shared" si="80"/>
        <v/>
      </c>
      <c r="AK78" s="21" t="str">
        <f t="shared" si="80"/>
        <v/>
      </c>
      <c r="AL78" s="21" t="str">
        <f t="shared" si="80"/>
        <v/>
      </c>
      <c r="AM78" s="21" t="str">
        <f t="shared" si="80"/>
        <v/>
      </c>
      <c r="AN78" s="21" t="str">
        <f t="shared" si="80"/>
        <v/>
      </c>
      <c r="AO78" s="21" t="str">
        <f t="shared" ref="AO78:AO94" si="83">if(isblank(K78),H78,AE78&amp;AF78&amp;AG78&amp;AH78&amp;AI78&amp;AJ78&amp;AK78&amp;AL78&amp;AM78&amp;AN78)</f>
        <v>ayon-grey, ayon-garden-green</v>
      </c>
    </row>
    <row r="79" ht="16.5" customHeight="1">
      <c r="A79" s="11" t="s">
        <v>34</v>
      </c>
      <c r="B79" s="11" t="s">
        <v>44</v>
      </c>
      <c r="C79" s="11" t="s">
        <v>69</v>
      </c>
      <c r="D79" s="11" t="s">
        <v>70</v>
      </c>
      <c r="E79" s="22" t="s">
        <v>2196</v>
      </c>
      <c r="F79" s="22" t="s">
        <v>2197</v>
      </c>
      <c r="G79" s="11" t="s">
        <v>470</v>
      </c>
      <c r="J79" s="18"/>
      <c r="K79" s="19" t="s">
        <v>461</v>
      </c>
      <c r="L79" s="19" t="s">
        <v>67</v>
      </c>
      <c r="M79" s="20"/>
      <c r="N79" s="20"/>
      <c r="O79" s="20"/>
      <c r="P79" s="20"/>
      <c r="Q79" s="20"/>
      <c r="R79" s="20"/>
      <c r="S79" s="20"/>
      <c r="T79" s="20"/>
      <c r="AE79" s="21" t="str">
        <f t="shared" si="81"/>
        <v>ayon-grey</v>
      </c>
      <c r="AF79" s="21" t="str">
        <f t="shared" ref="AF79:AN79" si="82">if(not(isblank(L79)),", "&amp;L79,"")</f>
        <v>, ayon-black</v>
      </c>
      <c r="AG79" s="21" t="str">
        <f t="shared" si="82"/>
        <v/>
      </c>
      <c r="AH79" s="21" t="str">
        <f t="shared" si="82"/>
        <v/>
      </c>
      <c r="AI79" s="21" t="str">
        <f t="shared" si="82"/>
        <v/>
      </c>
      <c r="AJ79" s="21" t="str">
        <f t="shared" si="82"/>
        <v/>
      </c>
      <c r="AK79" s="21" t="str">
        <f t="shared" si="82"/>
        <v/>
      </c>
      <c r="AL79" s="21" t="str">
        <f t="shared" si="82"/>
        <v/>
      </c>
      <c r="AM79" s="21" t="str">
        <f t="shared" si="82"/>
        <v/>
      </c>
      <c r="AN79" s="21" t="str">
        <f t="shared" si="82"/>
        <v/>
      </c>
      <c r="AO79" s="21" t="str">
        <f t="shared" si="83"/>
        <v>ayon-grey, ayon-black</v>
      </c>
    </row>
    <row r="80" ht="16.5" customHeight="1">
      <c r="A80" s="11" t="s">
        <v>34</v>
      </c>
      <c r="B80" s="11" t="s">
        <v>44</v>
      </c>
      <c r="C80" s="11" t="s">
        <v>136</v>
      </c>
      <c r="D80" s="11" t="s">
        <v>137</v>
      </c>
      <c r="J80" s="18"/>
      <c r="K80" s="19"/>
      <c r="L80" s="19"/>
      <c r="M80" s="19"/>
      <c r="N80" s="19"/>
      <c r="O80" s="19"/>
      <c r="P80" s="19"/>
      <c r="Q80" s="20"/>
      <c r="R80" s="20"/>
      <c r="S80" s="20"/>
      <c r="T80" s="20"/>
      <c r="AE80" s="21" t="str">
        <f t="shared" si="81"/>
        <v/>
      </c>
      <c r="AF80" s="21" t="str">
        <f t="shared" ref="AF80:AN80" si="84">if(not(isblank(L80)),", "&amp;L80,"")</f>
        <v/>
      </c>
      <c r="AG80" s="21" t="str">
        <f t="shared" si="84"/>
        <v/>
      </c>
      <c r="AH80" s="21" t="str">
        <f t="shared" si="84"/>
        <v/>
      </c>
      <c r="AI80" s="21" t="str">
        <f t="shared" si="84"/>
        <v/>
      </c>
      <c r="AJ80" s="21" t="str">
        <f t="shared" si="84"/>
        <v/>
      </c>
      <c r="AK80" s="21" t="str">
        <f t="shared" si="84"/>
        <v/>
      </c>
      <c r="AL80" s="21" t="str">
        <f t="shared" si="84"/>
        <v/>
      </c>
      <c r="AM80" s="21" t="str">
        <f t="shared" si="84"/>
        <v/>
      </c>
      <c r="AN80" s="21" t="str">
        <f t="shared" si="84"/>
        <v/>
      </c>
      <c r="AO80" s="21" t="str">
        <f t="shared" si="83"/>
        <v/>
      </c>
    </row>
    <row r="81" ht="16.5" customHeight="1">
      <c r="A81" s="11" t="s">
        <v>34</v>
      </c>
      <c r="B81" s="11" t="s">
        <v>44</v>
      </c>
      <c r="C81" s="11" t="s">
        <v>42</v>
      </c>
      <c r="D81" s="11" t="s">
        <v>43</v>
      </c>
      <c r="J81" s="18"/>
      <c r="K81" s="19"/>
      <c r="L81" s="20"/>
      <c r="M81" s="20"/>
      <c r="N81" s="20"/>
      <c r="O81" s="20"/>
      <c r="P81" s="20"/>
      <c r="Q81" s="20"/>
      <c r="R81" s="20"/>
      <c r="S81" s="20"/>
      <c r="T81" s="20"/>
      <c r="AE81" s="21" t="str">
        <f t="shared" si="81"/>
        <v/>
      </c>
      <c r="AF81" s="21" t="str">
        <f t="shared" ref="AF81:AN81" si="85">if(not(isblank(L81)),", "&amp;L81,"")</f>
        <v/>
      </c>
      <c r="AG81" s="21" t="str">
        <f t="shared" si="85"/>
        <v/>
      </c>
      <c r="AH81" s="21" t="str">
        <f t="shared" si="85"/>
        <v/>
      </c>
      <c r="AI81" s="21" t="str">
        <f t="shared" si="85"/>
        <v/>
      </c>
      <c r="AJ81" s="21" t="str">
        <f t="shared" si="85"/>
        <v/>
      </c>
      <c r="AK81" s="21" t="str">
        <f t="shared" si="85"/>
        <v/>
      </c>
      <c r="AL81" s="21" t="str">
        <f t="shared" si="85"/>
        <v/>
      </c>
      <c r="AM81" s="21" t="str">
        <f t="shared" si="85"/>
        <v/>
      </c>
      <c r="AN81" s="21" t="str">
        <f t="shared" si="85"/>
        <v/>
      </c>
      <c r="AO81" s="21" t="str">
        <f t="shared" si="83"/>
        <v/>
      </c>
    </row>
    <row r="82" ht="16.5" customHeight="1">
      <c r="A82" s="11" t="s">
        <v>34</v>
      </c>
      <c r="B82" s="11" t="s">
        <v>73</v>
      </c>
      <c r="C82" s="11" t="s">
        <v>182</v>
      </c>
      <c r="D82" s="11" t="s">
        <v>183</v>
      </c>
      <c r="G82" s="22" t="s">
        <v>2198</v>
      </c>
      <c r="J82" s="18"/>
      <c r="K82" s="23"/>
      <c r="L82" s="19"/>
      <c r="M82" s="19"/>
      <c r="N82" s="20"/>
      <c r="O82" s="20"/>
      <c r="P82" s="20"/>
      <c r="Q82" s="20"/>
      <c r="R82" s="20"/>
      <c r="S82" s="20"/>
      <c r="T82" s="20"/>
      <c r="AE82" s="21" t="str">
        <f t="shared" si="81"/>
        <v/>
      </c>
      <c r="AF82" s="21" t="str">
        <f t="shared" ref="AF82:AN82" si="86">if(not(isblank(L82)),", "&amp;L82,"")</f>
        <v/>
      </c>
      <c r="AG82" s="21" t="str">
        <f t="shared" si="86"/>
        <v/>
      </c>
      <c r="AH82" s="21" t="str">
        <f t="shared" si="86"/>
        <v/>
      </c>
      <c r="AI82" s="21" t="str">
        <f t="shared" si="86"/>
        <v/>
      </c>
      <c r="AJ82" s="21" t="str">
        <f t="shared" si="86"/>
        <v/>
      </c>
      <c r="AK82" s="21" t="str">
        <f t="shared" si="86"/>
        <v/>
      </c>
      <c r="AL82" s="21" t="str">
        <f t="shared" si="86"/>
        <v/>
      </c>
      <c r="AM82" s="21" t="str">
        <f t="shared" si="86"/>
        <v/>
      </c>
      <c r="AN82" s="21" t="str">
        <f t="shared" si="86"/>
        <v/>
      </c>
      <c r="AO82" s="21" t="str">
        <f t="shared" si="83"/>
        <v/>
      </c>
    </row>
    <row r="83" ht="16.5" customHeight="1">
      <c r="A83" s="11" t="s">
        <v>34</v>
      </c>
      <c r="B83" s="11" t="s">
        <v>73</v>
      </c>
      <c r="C83" s="11" t="s">
        <v>106</v>
      </c>
      <c r="D83" s="11" t="s">
        <v>107</v>
      </c>
      <c r="G83" s="22" t="s">
        <v>2199</v>
      </c>
      <c r="J83" s="18"/>
      <c r="K83" s="23"/>
      <c r="L83" s="19"/>
      <c r="M83" s="19"/>
      <c r="N83" s="19"/>
      <c r="O83" s="20"/>
      <c r="P83" s="20"/>
      <c r="Q83" s="20"/>
      <c r="R83" s="20"/>
      <c r="S83" s="20"/>
      <c r="T83" s="20"/>
      <c r="AE83" s="21" t="str">
        <f t="shared" si="81"/>
        <v/>
      </c>
      <c r="AF83" s="21" t="str">
        <f t="shared" ref="AF83:AN83" si="87">if(not(isblank(L83)),", "&amp;L83,"")</f>
        <v/>
      </c>
      <c r="AG83" s="21" t="str">
        <f t="shared" si="87"/>
        <v/>
      </c>
      <c r="AH83" s="21" t="str">
        <f t="shared" si="87"/>
        <v/>
      </c>
      <c r="AI83" s="21" t="str">
        <f t="shared" si="87"/>
        <v/>
      </c>
      <c r="AJ83" s="21" t="str">
        <f t="shared" si="87"/>
        <v/>
      </c>
      <c r="AK83" s="21" t="str">
        <f t="shared" si="87"/>
        <v/>
      </c>
      <c r="AL83" s="21" t="str">
        <f t="shared" si="87"/>
        <v/>
      </c>
      <c r="AM83" s="21" t="str">
        <f t="shared" si="87"/>
        <v/>
      </c>
      <c r="AN83" s="21" t="str">
        <f t="shared" si="87"/>
        <v/>
      </c>
      <c r="AO83" s="21" t="str">
        <f t="shared" si="83"/>
        <v/>
      </c>
    </row>
    <row r="84" ht="16.5" customHeight="1">
      <c r="A84" s="11" t="s">
        <v>34</v>
      </c>
      <c r="B84" s="11" t="s">
        <v>73</v>
      </c>
      <c r="C84" s="11" t="s">
        <v>108</v>
      </c>
      <c r="D84" s="11" t="s">
        <v>109</v>
      </c>
      <c r="G84" s="22" t="s">
        <v>2199</v>
      </c>
      <c r="J84" s="18"/>
      <c r="K84" s="19"/>
      <c r="L84" s="20"/>
      <c r="M84" s="20"/>
      <c r="N84" s="20"/>
      <c r="O84" s="20"/>
      <c r="P84" s="20"/>
      <c r="Q84" s="20"/>
      <c r="R84" s="20"/>
      <c r="S84" s="20"/>
      <c r="T84" s="20"/>
      <c r="AE84" s="21" t="str">
        <f t="shared" si="81"/>
        <v/>
      </c>
      <c r="AF84" s="21" t="str">
        <f t="shared" ref="AF84:AN84" si="88">if(not(isblank(L84)),", "&amp;L84,"")</f>
        <v/>
      </c>
      <c r="AG84" s="21" t="str">
        <f t="shared" si="88"/>
        <v/>
      </c>
      <c r="AH84" s="21" t="str">
        <f t="shared" si="88"/>
        <v/>
      </c>
      <c r="AI84" s="21" t="str">
        <f t="shared" si="88"/>
        <v/>
      </c>
      <c r="AJ84" s="21" t="str">
        <f t="shared" si="88"/>
        <v/>
      </c>
      <c r="AK84" s="21" t="str">
        <f t="shared" si="88"/>
        <v/>
      </c>
      <c r="AL84" s="21" t="str">
        <f t="shared" si="88"/>
        <v/>
      </c>
      <c r="AM84" s="21" t="str">
        <f t="shared" si="88"/>
        <v/>
      </c>
      <c r="AN84" s="21" t="str">
        <f t="shared" si="88"/>
        <v/>
      </c>
      <c r="AO84" s="21" t="str">
        <f t="shared" si="83"/>
        <v/>
      </c>
    </row>
    <row r="85" ht="16.5" customHeight="1">
      <c r="A85" s="11" t="s">
        <v>34</v>
      </c>
      <c r="B85" s="11" t="s">
        <v>73</v>
      </c>
      <c r="C85" s="11" t="s">
        <v>104</v>
      </c>
      <c r="D85" s="11" t="s">
        <v>105</v>
      </c>
      <c r="G85" s="22" t="s">
        <v>2200</v>
      </c>
      <c r="J85" s="18"/>
      <c r="K85" s="19"/>
      <c r="L85" s="20"/>
      <c r="M85" s="20"/>
      <c r="N85" s="20"/>
      <c r="O85" s="20"/>
      <c r="P85" s="20"/>
      <c r="Q85" s="20"/>
      <c r="R85" s="20"/>
      <c r="S85" s="20"/>
      <c r="T85" s="20"/>
      <c r="AE85" s="21" t="str">
        <f t="shared" si="81"/>
        <v/>
      </c>
      <c r="AF85" s="21" t="str">
        <f t="shared" ref="AF85:AN85" si="89">if(not(isblank(L85)),", "&amp;L85,"")</f>
        <v/>
      </c>
      <c r="AG85" s="21" t="str">
        <f t="shared" si="89"/>
        <v/>
      </c>
      <c r="AH85" s="21" t="str">
        <f t="shared" si="89"/>
        <v/>
      </c>
      <c r="AI85" s="21" t="str">
        <f t="shared" si="89"/>
        <v/>
      </c>
      <c r="AJ85" s="21" t="str">
        <f t="shared" si="89"/>
        <v/>
      </c>
      <c r="AK85" s="21" t="str">
        <f t="shared" si="89"/>
        <v/>
      </c>
      <c r="AL85" s="21" t="str">
        <f t="shared" si="89"/>
        <v/>
      </c>
      <c r="AM85" s="21" t="str">
        <f t="shared" si="89"/>
        <v/>
      </c>
      <c r="AN85" s="21" t="str">
        <f t="shared" si="89"/>
        <v/>
      </c>
      <c r="AO85" s="21" t="str">
        <f t="shared" si="83"/>
        <v/>
      </c>
    </row>
    <row r="86" ht="16.5" customHeight="1">
      <c r="A86" s="11" t="s">
        <v>34</v>
      </c>
      <c r="B86" s="11" t="s">
        <v>73</v>
      </c>
      <c r="C86" s="11" t="s">
        <v>71</v>
      </c>
      <c r="D86" s="11" t="s">
        <v>72</v>
      </c>
      <c r="G86" s="22" t="s">
        <v>2200</v>
      </c>
      <c r="J86" s="18"/>
      <c r="K86" s="19"/>
      <c r="L86" s="20"/>
      <c r="M86" s="20"/>
      <c r="N86" s="20"/>
      <c r="O86" s="20"/>
      <c r="P86" s="20"/>
      <c r="Q86" s="20"/>
      <c r="R86" s="20"/>
      <c r="S86" s="20"/>
      <c r="T86" s="20"/>
      <c r="AE86" s="21" t="str">
        <f t="shared" si="81"/>
        <v/>
      </c>
      <c r="AF86" s="21" t="str">
        <f t="shared" ref="AF86:AN86" si="90">if(not(isblank(L86)),", "&amp;L86,"")</f>
        <v/>
      </c>
      <c r="AG86" s="21" t="str">
        <f t="shared" si="90"/>
        <v/>
      </c>
      <c r="AH86" s="21" t="str">
        <f t="shared" si="90"/>
        <v/>
      </c>
      <c r="AI86" s="21" t="str">
        <f t="shared" si="90"/>
        <v/>
      </c>
      <c r="AJ86" s="21" t="str">
        <f t="shared" si="90"/>
        <v/>
      </c>
      <c r="AK86" s="21" t="str">
        <f t="shared" si="90"/>
        <v/>
      </c>
      <c r="AL86" s="21" t="str">
        <f t="shared" si="90"/>
        <v/>
      </c>
      <c r="AM86" s="21" t="str">
        <f t="shared" si="90"/>
        <v/>
      </c>
      <c r="AN86" s="21" t="str">
        <f t="shared" si="90"/>
        <v/>
      </c>
      <c r="AO86" s="21" t="str">
        <f t="shared" si="83"/>
        <v/>
      </c>
    </row>
    <row r="87" ht="16.5" customHeight="1">
      <c r="A87" s="11" t="s">
        <v>34</v>
      </c>
      <c r="B87" s="11" t="s">
        <v>52</v>
      </c>
      <c r="C87" s="11" t="s">
        <v>128</v>
      </c>
      <c r="D87" s="11" t="s">
        <v>129</v>
      </c>
      <c r="J87" s="18"/>
      <c r="K87" s="19"/>
      <c r="L87" s="19"/>
      <c r="M87" s="19"/>
      <c r="N87" s="19"/>
      <c r="O87" s="20"/>
      <c r="P87" s="20"/>
      <c r="Q87" s="20"/>
      <c r="R87" s="20"/>
      <c r="S87" s="20"/>
      <c r="T87" s="20"/>
      <c r="AE87" s="21" t="str">
        <f t="shared" si="81"/>
        <v/>
      </c>
      <c r="AF87" s="21" t="str">
        <f t="shared" ref="AF87:AN87" si="91">if(not(isblank(L87)),", "&amp;L87,"")</f>
        <v/>
      </c>
      <c r="AG87" s="21" t="str">
        <f t="shared" si="91"/>
        <v/>
      </c>
      <c r="AH87" s="21" t="str">
        <f t="shared" si="91"/>
        <v/>
      </c>
      <c r="AI87" s="21" t="str">
        <f t="shared" si="91"/>
        <v/>
      </c>
      <c r="AJ87" s="21" t="str">
        <f t="shared" si="91"/>
        <v/>
      </c>
      <c r="AK87" s="21" t="str">
        <f t="shared" si="91"/>
        <v/>
      </c>
      <c r="AL87" s="21" t="str">
        <f t="shared" si="91"/>
        <v/>
      </c>
      <c r="AM87" s="21" t="str">
        <f t="shared" si="91"/>
        <v/>
      </c>
      <c r="AN87" s="21" t="str">
        <f t="shared" si="91"/>
        <v/>
      </c>
      <c r="AO87" s="21" t="str">
        <f t="shared" si="83"/>
        <v/>
      </c>
    </row>
    <row r="88" ht="16.5" customHeight="1">
      <c r="A88" s="11" t="s">
        <v>34</v>
      </c>
      <c r="B88" s="11" t="s">
        <v>52</v>
      </c>
      <c r="C88" s="11" t="s">
        <v>126</v>
      </c>
      <c r="D88" s="11" t="s">
        <v>127</v>
      </c>
      <c r="J88" s="18"/>
      <c r="K88" s="19"/>
      <c r="L88" s="20"/>
      <c r="M88" s="20"/>
      <c r="N88" s="20"/>
      <c r="O88" s="20"/>
      <c r="P88" s="20"/>
      <c r="Q88" s="20"/>
      <c r="R88" s="20"/>
      <c r="S88" s="20"/>
      <c r="T88" s="20"/>
      <c r="AE88" s="21" t="str">
        <f t="shared" si="81"/>
        <v/>
      </c>
      <c r="AF88" s="21" t="str">
        <f t="shared" ref="AF88:AN88" si="92">if(not(isblank(L88)),", "&amp;L88,"")</f>
        <v/>
      </c>
      <c r="AG88" s="21" t="str">
        <f t="shared" si="92"/>
        <v/>
      </c>
      <c r="AH88" s="21" t="str">
        <f t="shared" si="92"/>
        <v/>
      </c>
      <c r="AI88" s="21" t="str">
        <f t="shared" si="92"/>
        <v/>
      </c>
      <c r="AJ88" s="21" t="str">
        <f t="shared" si="92"/>
        <v/>
      </c>
      <c r="AK88" s="21" t="str">
        <f t="shared" si="92"/>
        <v/>
      </c>
      <c r="AL88" s="21" t="str">
        <f t="shared" si="92"/>
        <v/>
      </c>
      <c r="AM88" s="21" t="str">
        <f t="shared" si="92"/>
        <v/>
      </c>
      <c r="AN88" s="21" t="str">
        <f t="shared" si="92"/>
        <v/>
      </c>
      <c r="AO88" s="21" t="str">
        <f t="shared" si="83"/>
        <v/>
      </c>
    </row>
    <row r="89" ht="16.5" customHeight="1">
      <c r="A89" s="11" t="s">
        <v>34</v>
      </c>
      <c r="B89" s="11" t="s">
        <v>52</v>
      </c>
      <c r="C89" s="11" t="s">
        <v>50</v>
      </c>
      <c r="D89" s="11" t="s">
        <v>51</v>
      </c>
      <c r="E89" s="22" t="s">
        <v>2201</v>
      </c>
      <c r="F89" s="22" t="s">
        <v>2202</v>
      </c>
      <c r="G89" s="22" t="s">
        <v>2203</v>
      </c>
      <c r="J89" s="18"/>
      <c r="K89" s="19"/>
      <c r="L89" s="19"/>
      <c r="M89" s="19"/>
      <c r="N89" s="20"/>
      <c r="O89" s="20"/>
      <c r="P89" s="20"/>
      <c r="Q89" s="20"/>
      <c r="R89" s="20"/>
      <c r="S89" s="20"/>
      <c r="T89" s="20"/>
      <c r="AE89" s="21" t="str">
        <f t="shared" si="81"/>
        <v/>
      </c>
      <c r="AF89" s="21" t="str">
        <f t="shared" ref="AF89:AN89" si="93">if(not(isblank(L89)),", "&amp;L89,"")</f>
        <v/>
      </c>
      <c r="AG89" s="21" t="str">
        <f t="shared" si="93"/>
        <v/>
      </c>
      <c r="AH89" s="21" t="str">
        <f t="shared" si="93"/>
        <v/>
      </c>
      <c r="AI89" s="21" t="str">
        <f t="shared" si="93"/>
        <v/>
      </c>
      <c r="AJ89" s="21" t="str">
        <f t="shared" si="93"/>
        <v/>
      </c>
      <c r="AK89" s="21" t="str">
        <f t="shared" si="93"/>
        <v/>
      </c>
      <c r="AL89" s="21" t="str">
        <f t="shared" si="93"/>
        <v/>
      </c>
      <c r="AM89" s="21" t="str">
        <f t="shared" si="93"/>
        <v/>
      </c>
      <c r="AN89" s="21" t="str">
        <f t="shared" si="93"/>
        <v/>
      </c>
      <c r="AO89" s="21" t="str">
        <f t="shared" si="83"/>
        <v/>
      </c>
    </row>
    <row r="90" ht="16.5" customHeight="1">
      <c r="J90" s="18"/>
      <c r="K90" s="19"/>
      <c r="L90" s="19"/>
      <c r="M90" s="20"/>
      <c r="N90" s="20"/>
      <c r="O90" s="20"/>
      <c r="P90" s="20"/>
      <c r="Q90" s="20"/>
      <c r="R90" s="20"/>
      <c r="S90" s="20"/>
      <c r="T90" s="20"/>
      <c r="AE90" s="21" t="str">
        <f t="shared" si="81"/>
        <v/>
      </c>
      <c r="AF90" s="21" t="str">
        <f t="shared" ref="AF90:AN90" si="94">if(not(isblank(L90)),", "&amp;L90,"")</f>
        <v/>
      </c>
      <c r="AG90" s="21" t="str">
        <f t="shared" si="94"/>
        <v/>
      </c>
      <c r="AH90" s="21" t="str">
        <f t="shared" si="94"/>
        <v/>
      </c>
      <c r="AI90" s="21" t="str">
        <f t="shared" si="94"/>
        <v/>
      </c>
      <c r="AJ90" s="21" t="str">
        <f t="shared" si="94"/>
        <v/>
      </c>
      <c r="AK90" s="21" t="str">
        <f t="shared" si="94"/>
        <v/>
      </c>
      <c r="AL90" s="21" t="str">
        <f t="shared" si="94"/>
        <v/>
      </c>
      <c r="AM90" s="21" t="str">
        <f t="shared" si="94"/>
        <v/>
      </c>
      <c r="AN90" s="21" t="str">
        <f t="shared" si="94"/>
        <v/>
      </c>
      <c r="AO90" s="21" t="str">
        <f t="shared" si="83"/>
        <v/>
      </c>
    </row>
    <row r="91" ht="16.5" customHeight="1">
      <c r="F91" s="25"/>
      <c r="J91" s="18"/>
      <c r="K91" s="19"/>
      <c r="L91" s="19"/>
      <c r="M91" s="20"/>
      <c r="N91" s="20"/>
      <c r="O91" s="20"/>
      <c r="P91" s="20"/>
      <c r="Q91" s="20"/>
      <c r="R91" s="20"/>
      <c r="S91" s="20"/>
      <c r="T91" s="20"/>
      <c r="AE91" s="21" t="str">
        <f t="shared" si="81"/>
        <v/>
      </c>
      <c r="AF91" s="21" t="str">
        <f t="shared" ref="AF91:AN91" si="95">if(not(isblank(L91)),", "&amp;L91,"")</f>
        <v/>
      </c>
      <c r="AG91" s="21" t="str">
        <f t="shared" si="95"/>
        <v/>
      </c>
      <c r="AH91" s="21" t="str">
        <f t="shared" si="95"/>
        <v/>
      </c>
      <c r="AI91" s="21" t="str">
        <f t="shared" si="95"/>
        <v/>
      </c>
      <c r="AJ91" s="21" t="str">
        <f t="shared" si="95"/>
        <v/>
      </c>
      <c r="AK91" s="21" t="str">
        <f t="shared" si="95"/>
        <v/>
      </c>
      <c r="AL91" s="21" t="str">
        <f t="shared" si="95"/>
        <v/>
      </c>
      <c r="AM91" s="21" t="str">
        <f t="shared" si="95"/>
        <v/>
      </c>
      <c r="AN91" s="21" t="str">
        <f t="shared" si="95"/>
        <v/>
      </c>
      <c r="AO91" s="21" t="str">
        <f t="shared" si="83"/>
        <v/>
      </c>
    </row>
    <row r="92" ht="16.5" customHeight="1">
      <c r="F92" s="25"/>
      <c r="J92" s="18"/>
      <c r="K92" s="19"/>
      <c r="L92" s="19"/>
      <c r="M92" s="20"/>
      <c r="N92" s="20"/>
      <c r="O92" s="20"/>
      <c r="P92" s="20"/>
      <c r="Q92" s="20"/>
      <c r="R92" s="20"/>
      <c r="S92" s="20"/>
      <c r="T92" s="20"/>
      <c r="AE92" s="21" t="str">
        <f t="shared" si="81"/>
        <v/>
      </c>
      <c r="AF92" s="21" t="str">
        <f t="shared" ref="AF92:AN92" si="96">if(not(isblank(L92)),", "&amp;L92,"")</f>
        <v/>
      </c>
      <c r="AG92" s="21" t="str">
        <f t="shared" si="96"/>
        <v/>
      </c>
      <c r="AH92" s="21" t="str">
        <f t="shared" si="96"/>
        <v/>
      </c>
      <c r="AI92" s="21" t="str">
        <f t="shared" si="96"/>
        <v/>
      </c>
      <c r="AJ92" s="21" t="str">
        <f t="shared" si="96"/>
        <v/>
      </c>
      <c r="AK92" s="21" t="str">
        <f t="shared" si="96"/>
        <v/>
      </c>
      <c r="AL92" s="21" t="str">
        <f t="shared" si="96"/>
        <v/>
      </c>
      <c r="AM92" s="21" t="str">
        <f t="shared" si="96"/>
        <v/>
      </c>
      <c r="AN92" s="21" t="str">
        <f t="shared" si="96"/>
        <v/>
      </c>
      <c r="AO92" s="21" t="str">
        <f t="shared" si="83"/>
        <v/>
      </c>
    </row>
    <row r="93" ht="16.5" customHeight="1">
      <c r="F93" s="25"/>
      <c r="J93" s="18"/>
      <c r="K93" s="19"/>
      <c r="L93" s="19"/>
      <c r="M93" s="20"/>
      <c r="N93" s="20"/>
      <c r="O93" s="20"/>
      <c r="P93" s="20"/>
      <c r="Q93" s="20"/>
      <c r="R93" s="20"/>
      <c r="S93" s="20"/>
      <c r="T93" s="20"/>
      <c r="AE93" s="21" t="str">
        <f t="shared" si="81"/>
        <v/>
      </c>
      <c r="AF93" s="21" t="str">
        <f t="shared" ref="AF93:AN93" si="97">if(not(isblank(L93)),", "&amp;L93,"")</f>
        <v/>
      </c>
      <c r="AG93" s="21" t="str">
        <f t="shared" si="97"/>
        <v/>
      </c>
      <c r="AH93" s="21" t="str">
        <f t="shared" si="97"/>
        <v/>
      </c>
      <c r="AI93" s="21" t="str">
        <f t="shared" si="97"/>
        <v/>
      </c>
      <c r="AJ93" s="21" t="str">
        <f t="shared" si="97"/>
        <v/>
      </c>
      <c r="AK93" s="21" t="str">
        <f t="shared" si="97"/>
        <v/>
      </c>
      <c r="AL93" s="21" t="str">
        <f t="shared" si="97"/>
        <v/>
      </c>
      <c r="AM93" s="21" t="str">
        <f t="shared" si="97"/>
        <v/>
      </c>
      <c r="AN93" s="21" t="str">
        <f t="shared" si="97"/>
        <v/>
      </c>
      <c r="AO93" s="21" t="str">
        <f t="shared" si="83"/>
        <v/>
      </c>
    </row>
    <row r="94" ht="16.5" customHeight="1">
      <c r="J94" s="18"/>
      <c r="K94" s="23"/>
      <c r="L94" s="20"/>
      <c r="M94" s="20"/>
      <c r="N94" s="20"/>
      <c r="O94" s="20"/>
      <c r="P94" s="20"/>
      <c r="Q94" s="20"/>
      <c r="R94" s="20"/>
      <c r="S94" s="20"/>
      <c r="T94" s="20"/>
      <c r="AE94" s="21" t="str">
        <f t="shared" si="81"/>
        <v/>
      </c>
      <c r="AF94" s="21" t="str">
        <f t="shared" ref="AF94:AN94" si="98">if(not(isblank(L94)),", "&amp;L94,"")</f>
        <v/>
      </c>
      <c r="AG94" s="21" t="str">
        <f t="shared" si="98"/>
        <v/>
      </c>
      <c r="AH94" s="21" t="str">
        <f t="shared" si="98"/>
        <v/>
      </c>
      <c r="AI94" s="21" t="str">
        <f t="shared" si="98"/>
        <v/>
      </c>
      <c r="AJ94" s="21" t="str">
        <f t="shared" si="98"/>
        <v/>
      </c>
      <c r="AK94" s="21" t="str">
        <f t="shared" si="98"/>
        <v/>
      </c>
      <c r="AL94" s="21" t="str">
        <f t="shared" si="98"/>
        <v/>
      </c>
      <c r="AM94" s="21" t="str">
        <f t="shared" si="98"/>
        <v/>
      </c>
      <c r="AN94" s="21" t="str">
        <f t="shared" si="98"/>
        <v/>
      </c>
      <c r="AO94" s="21" t="str">
        <f t="shared" si="83"/>
        <v/>
      </c>
    </row>
    <row r="95" ht="16.5" customHeight="1">
      <c r="J95" s="18"/>
      <c r="K95" s="23"/>
      <c r="L95" s="20"/>
      <c r="M95" s="20"/>
      <c r="N95" s="20"/>
      <c r="O95" s="20"/>
      <c r="P95" s="20"/>
      <c r="Q95" s="20"/>
      <c r="R95" s="20"/>
      <c r="S95" s="20"/>
      <c r="T95" s="20"/>
      <c r="AE95" s="21"/>
      <c r="AF95" s="21"/>
      <c r="AG95" s="21"/>
      <c r="AH95" s="21"/>
      <c r="AI95" s="21"/>
      <c r="AJ95" s="21"/>
      <c r="AK95" s="21"/>
      <c r="AL95" s="21"/>
      <c r="AM95" s="21"/>
      <c r="AN95" s="21"/>
      <c r="AO95" s="21"/>
    </row>
    <row r="96" ht="16.5" customHeight="1">
      <c r="J96" s="18"/>
      <c r="K96" s="23"/>
      <c r="L96" s="19"/>
      <c r="M96" s="19"/>
      <c r="N96" s="20"/>
      <c r="O96" s="20"/>
      <c r="P96" s="20"/>
      <c r="Q96" s="20"/>
      <c r="R96" s="20"/>
      <c r="S96" s="20"/>
      <c r="T96" s="20"/>
      <c r="AE96" s="21" t="str">
        <f t="shared" ref="AE96:AE896" si="100">if(not(isblank(K96)),K96,"")</f>
        <v/>
      </c>
      <c r="AF96" s="21" t="str">
        <f t="shared" ref="AF96:AN96" si="99">if(not(isblank(L96)),", "&amp;L96,"")</f>
        <v/>
      </c>
      <c r="AG96" s="21" t="str">
        <f t="shared" si="99"/>
        <v/>
      </c>
      <c r="AH96" s="21" t="str">
        <f t="shared" si="99"/>
        <v/>
      </c>
      <c r="AI96" s="21" t="str">
        <f t="shared" si="99"/>
        <v/>
      </c>
      <c r="AJ96" s="21" t="str">
        <f t="shared" si="99"/>
        <v/>
      </c>
      <c r="AK96" s="21" t="str">
        <f t="shared" si="99"/>
        <v/>
      </c>
      <c r="AL96" s="21" t="str">
        <f t="shared" si="99"/>
        <v/>
      </c>
      <c r="AM96" s="21" t="str">
        <f t="shared" si="99"/>
        <v/>
      </c>
      <c r="AN96" s="21" t="str">
        <f t="shared" si="99"/>
        <v/>
      </c>
      <c r="AO96" s="21" t="str">
        <f t="shared" ref="AO96:AO896" si="102">if(isblank(K96),H96,AE96&amp;AF96&amp;AG96&amp;AH96&amp;AI96&amp;AJ96&amp;AK96&amp;AL96&amp;AM96&amp;AN96)</f>
        <v/>
      </c>
    </row>
    <row r="97" ht="16.5" customHeight="1">
      <c r="J97" s="18"/>
      <c r="K97" s="23"/>
      <c r="L97" s="19"/>
      <c r="M97" s="19"/>
      <c r="N97" s="20"/>
      <c r="O97" s="20"/>
      <c r="P97" s="20"/>
      <c r="Q97" s="20"/>
      <c r="R97" s="20"/>
      <c r="S97" s="20"/>
      <c r="T97" s="20"/>
      <c r="AE97" s="21" t="str">
        <f t="shared" si="100"/>
        <v/>
      </c>
      <c r="AF97" s="21" t="str">
        <f t="shared" ref="AF97:AN97" si="101">if(not(isblank(L97)),", "&amp;L97,"")</f>
        <v/>
      </c>
      <c r="AG97" s="21" t="str">
        <f t="shared" si="101"/>
        <v/>
      </c>
      <c r="AH97" s="21" t="str">
        <f t="shared" si="101"/>
        <v/>
      </c>
      <c r="AI97" s="21" t="str">
        <f t="shared" si="101"/>
        <v/>
      </c>
      <c r="AJ97" s="21" t="str">
        <f t="shared" si="101"/>
        <v/>
      </c>
      <c r="AK97" s="21" t="str">
        <f t="shared" si="101"/>
        <v/>
      </c>
      <c r="AL97" s="21" t="str">
        <f t="shared" si="101"/>
        <v/>
      </c>
      <c r="AM97" s="21" t="str">
        <f t="shared" si="101"/>
        <v/>
      </c>
      <c r="AN97" s="21" t="str">
        <f t="shared" si="101"/>
        <v/>
      </c>
      <c r="AO97" s="21" t="str">
        <f t="shared" si="102"/>
        <v/>
      </c>
    </row>
    <row r="98" ht="16.5" customHeight="1">
      <c r="F98" s="25"/>
      <c r="J98" s="18"/>
      <c r="K98" s="19"/>
      <c r="L98" s="19"/>
      <c r="M98" s="20"/>
      <c r="N98" s="20"/>
      <c r="O98" s="20"/>
      <c r="P98" s="20"/>
      <c r="Q98" s="20"/>
      <c r="R98" s="20"/>
      <c r="S98" s="20"/>
      <c r="T98" s="20"/>
      <c r="AE98" s="21" t="str">
        <f t="shared" si="100"/>
        <v/>
      </c>
      <c r="AF98" s="21" t="str">
        <f t="shared" ref="AF98:AN98" si="103">if(not(isblank(L98)),", "&amp;L98,"")</f>
        <v/>
      </c>
      <c r="AG98" s="21" t="str">
        <f t="shared" si="103"/>
        <v/>
      </c>
      <c r="AH98" s="21" t="str">
        <f t="shared" si="103"/>
        <v/>
      </c>
      <c r="AI98" s="21" t="str">
        <f t="shared" si="103"/>
        <v/>
      </c>
      <c r="AJ98" s="21" t="str">
        <f t="shared" si="103"/>
        <v/>
      </c>
      <c r="AK98" s="21" t="str">
        <f t="shared" si="103"/>
        <v/>
      </c>
      <c r="AL98" s="21" t="str">
        <f t="shared" si="103"/>
        <v/>
      </c>
      <c r="AM98" s="21" t="str">
        <f t="shared" si="103"/>
        <v/>
      </c>
      <c r="AN98" s="21" t="str">
        <f t="shared" si="103"/>
        <v/>
      </c>
      <c r="AO98" s="21" t="str">
        <f t="shared" si="102"/>
        <v/>
      </c>
    </row>
    <row r="99" ht="16.5" customHeight="1">
      <c r="F99" s="25"/>
      <c r="J99" s="18"/>
      <c r="K99" s="19"/>
      <c r="L99" s="19"/>
      <c r="M99" s="20"/>
      <c r="N99" s="20"/>
      <c r="O99" s="20"/>
      <c r="P99" s="20"/>
      <c r="Q99" s="20"/>
      <c r="R99" s="20"/>
      <c r="S99" s="20"/>
      <c r="T99" s="20"/>
      <c r="AE99" s="21" t="str">
        <f t="shared" si="100"/>
        <v/>
      </c>
      <c r="AF99" s="21" t="str">
        <f t="shared" ref="AF99:AN99" si="104">if(not(isblank(L99)),", "&amp;L99,"")</f>
        <v/>
      </c>
      <c r="AG99" s="21" t="str">
        <f t="shared" si="104"/>
        <v/>
      </c>
      <c r="AH99" s="21" t="str">
        <f t="shared" si="104"/>
        <v/>
      </c>
      <c r="AI99" s="21" t="str">
        <f t="shared" si="104"/>
        <v/>
      </c>
      <c r="AJ99" s="21" t="str">
        <f t="shared" si="104"/>
        <v/>
      </c>
      <c r="AK99" s="21" t="str">
        <f t="shared" si="104"/>
        <v/>
      </c>
      <c r="AL99" s="21" t="str">
        <f t="shared" si="104"/>
        <v/>
      </c>
      <c r="AM99" s="21" t="str">
        <f t="shared" si="104"/>
        <v/>
      </c>
      <c r="AN99" s="21" t="str">
        <f t="shared" si="104"/>
        <v/>
      </c>
      <c r="AO99" s="21" t="str">
        <f t="shared" si="102"/>
        <v/>
      </c>
    </row>
    <row r="100" ht="16.5" customHeight="1">
      <c r="F100" s="25"/>
      <c r="J100" s="18"/>
      <c r="K100" s="19"/>
      <c r="L100" s="19"/>
      <c r="M100" s="20"/>
      <c r="N100" s="20"/>
      <c r="O100" s="20"/>
      <c r="P100" s="20"/>
      <c r="Q100" s="20"/>
      <c r="R100" s="20"/>
      <c r="S100" s="20"/>
      <c r="T100" s="20"/>
      <c r="AE100" s="21" t="str">
        <f t="shared" si="100"/>
        <v/>
      </c>
      <c r="AF100" s="21" t="str">
        <f t="shared" ref="AF100:AN100" si="105">if(not(isblank(L100)),", "&amp;L100,"")</f>
        <v/>
      </c>
      <c r="AG100" s="21" t="str">
        <f t="shared" si="105"/>
        <v/>
      </c>
      <c r="AH100" s="21" t="str">
        <f t="shared" si="105"/>
        <v/>
      </c>
      <c r="AI100" s="21" t="str">
        <f t="shared" si="105"/>
        <v/>
      </c>
      <c r="AJ100" s="21" t="str">
        <f t="shared" si="105"/>
        <v/>
      </c>
      <c r="AK100" s="21" t="str">
        <f t="shared" si="105"/>
        <v/>
      </c>
      <c r="AL100" s="21" t="str">
        <f t="shared" si="105"/>
        <v/>
      </c>
      <c r="AM100" s="21" t="str">
        <f t="shared" si="105"/>
        <v/>
      </c>
      <c r="AN100" s="21" t="str">
        <f t="shared" si="105"/>
        <v/>
      </c>
      <c r="AO100" s="21" t="str">
        <f t="shared" si="102"/>
        <v/>
      </c>
    </row>
    <row r="101" ht="16.5" customHeight="1">
      <c r="J101" s="18"/>
      <c r="K101" s="19"/>
      <c r="L101" s="19"/>
      <c r="M101" s="20"/>
      <c r="N101" s="20"/>
      <c r="O101" s="20"/>
      <c r="P101" s="20"/>
      <c r="Q101" s="20"/>
      <c r="R101" s="20"/>
      <c r="S101" s="20"/>
      <c r="T101" s="20"/>
      <c r="AE101" s="21" t="str">
        <f t="shared" si="100"/>
        <v/>
      </c>
      <c r="AF101" s="21" t="str">
        <f t="shared" ref="AF101:AN101" si="106">if(not(isblank(L101)),", "&amp;L101,"")</f>
        <v/>
      </c>
      <c r="AG101" s="21" t="str">
        <f t="shared" si="106"/>
        <v/>
      </c>
      <c r="AH101" s="21" t="str">
        <f t="shared" si="106"/>
        <v/>
      </c>
      <c r="AI101" s="21" t="str">
        <f t="shared" si="106"/>
        <v/>
      </c>
      <c r="AJ101" s="21" t="str">
        <f t="shared" si="106"/>
        <v/>
      </c>
      <c r="AK101" s="21" t="str">
        <f t="shared" si="106"/>
        <v/>
      </c>
      <c r="AL101" s="21" t="str">
        <f t="shared" si="106"/>
        <v/>
      </c>
      <c r="AM101" s="21" t="str">
        <f t="shared" si="106"/>
        <v/>
      </c>
      <c r="AN101" s="21" t="str">
        <f t="shared" si="106"/>
        <v/>
      </c>
      <c r="AO101" s="21" t="str">
        <f t="shared" si="102"/>
        <v/>
      </c>
    </row>
    <row r="102" ht="16.5" customHeight="1">
      <c r="J102" s="18"/>
      <c r="K102" s="19"/>
      <c r="L102" s="19"/>
      <c r="M102" s="20"/>
      <c r="N102" s="20"/>
      <c r="O102" s="20"/>
      <c r="P102" s="20"/>
      <c r="Q102" s="20"/>
      <c r="R102" s="20"/>
      <c r="S102" s="20"/>
      <c r="T102" s="20"/>
      <c r="AE102" s="21" t="str">
        <f t="shared" si="100"/>
        <v/>
      </c>
      <c r="AF102" s="21" t="str">
        <f t="shared" ref="AF102:AN102" si="107">if(not(isblank(L102)),", "&amp;L102,"")</f>
        <v/>
      </c>
      <c r="AG102" s="21" t="str">
        <f t="shared" si="107"/>
        <v/>
      </c>
      <c r="AH102" s="21" t="str">
        <f t="shared" si="107"/>
        <v/>
      </c>
      <c r="AI102" s="21" t="str">
        <f t="shared" si="107"/>
        <v/>
      </c>
      <c r="AJ102" s="21" t="str">
        <f t="shared" si="107"/>
        <v/>
      </c>
      <c r="AK102" s="21" t="str">
        <f t="shared" si="107"/>
        <v/>
      </c>
      <c r="AL102" s="21" t="str">
        <f t="shared" si="107"/>
        <v/>
      </c>
      <c r="AM102" s="21" t="str">
        <f t="shared" si="107"/>
        <v/>
      </c>
      <c r="AN102" s="21" t="str">
        <f t="shared" si="107"/>
        <v/>
      </c>
      <c r="AO102" s="21" t="str">
        <f t="shared" si="102"/>
        <v/>
      </c>
    </row>
    <row r="103" ht="16.5" customHeight="1">
      <c r="J103" s="18"/>
      <c r="K103" s="19"/>
      <c r="L103" s="19"/>
      <c r="M103" s="20"/>
      <c r="N103" s="20"/>
      <c r="O103" s="20"/>
      <c r="P103" s="20"/>
      <c r="Q103" s="20"/>
      <c r="R103" s="20"/>
      <c r="S103" s="20"/>
      <c r="T103" s="20"/>
      <c r="AE103" s="21" t="str">
        <f t="shared" si="100"/>
        <v/>
      </c>
      <c r="AF103" s="21" t="str">
        <f t="shared" ref="AF103:AN103" si="108">if(not(isblank(L103)),", "&amp;L103,"")</f>
        <v/>
      </c>
      <c r="AG103" s="21" t="str">
        <f t="shared" si="108"/>
        <v/>
      </c>
      <c r="AH103" s="21" t="str">
        <f t="shared" si="108"/>
        <v/>
      </c>
      <c r="AI103" s="21" t="str">
        <f t="shared" si="108"/>
        <v/>
      </c>
      <c r="AJ103" s="21" t="str">
        <f t="shared" si="108"/>
        <v/>
      </c>
      <c r="AK103" s="21" t="str">
        <f t="shared" si="108"/>
        <v/>
      </c>
      <c r="AL103" s="21" t="str">
        <f t="shared" si="108"/>
        <v/>
      </c>
      <c r="AM103" s="21" t="str">
        <f t="shared" si="108"/>
        <v/>
      </c>
      <c r="AN103" s="21" t="str">
        <f t="shared" si="108"/>
        <v/>
      </c>
      <c r="AO103" s="21" t="str">
        <f t="shared" si="102"/>
        <v/>
      </c>
    </row>
    <row r="104" ht="16.5" customHeight="1">
      <c r="J104" s="18"/>
      <c r="K104" s="19"/>
      <c r="M104" s="20"/>
      <c r="N104" s="20"/>
      <c r="O104" s="20"/>
      <c r="P104" s="20"/>
      <c r="Q104" s="20"/>
      <c r="R104" s="20"/>
      <c r="S104" s="20"/>
      <c r="T104" s="20"/>
      <c r="AE104" s="21" t="str">
        <f t="shared" si="100"/>
        <v/>
      </c>
      <c r="AF104" s="21" t="str">
        <f t="shared" ref="AF104:AN104" si="109">if(not(isblank(L104)),", "&amp;L104,"")</f>
        <v/>
      </c>
      <c r="AG104" s="21" t="str">
        <f t="shared" si="109"/>
        <v/>
      </c>
      <c r="AH104" s="21" t="str">
        <f t="shared" si="109"/>
        <v/>
      </c>
      <c r="AI104" s="21" t="str">
        <f t="shared" si="109"/>
        <v/>
      </c>
      <c r="AJ104" s="21" t="str">
        <f t="shared" si="109"/>
        <v/>
      </c>
      <c r="AK104" s="21" t="str">
        <f t="shared" si="109"/>
        <v/>
      </c>
      <c r="AL104" s="21" t="str">
        <f t="shared" si="109"/>
        <v/>
      </c>
      <c r="AM104" s="21" t="str">
        <f t="shared" si="109"/>
        <v/>
      </c>
      <c r="AN104" s="21" t="str">
        <f t="shared" si="109"/>
        <v/>
      </c>
      <c r="AO104" s="21" t="str">
        <f t="shared" si="102"/>
        <v/>
      </c>
    </row>
    <row r="105" ht="16.5" customHeight="1">
      <c r="J105" s="18"/>
      <c r="K105" s="19"/>
      <c r="M105" s="20"/>
      <c r="N105" s="20"/>
      <c r="O105" s="20"/>
      <c r="P105" s="20"/>
      <c r="Q105" s="20"/>
      <c r="R105" s="20"/>
      <c r="S105" s="20"/>
      <c r="T105" s="20"/>
      <c r="AE105" s="21" t="str">
        <f t="shared" si="100"/>
        <v/>
      </c>
      <c r="AF105" s="21" t="str">
        <f t="shared" ref="AF105:AN105" si="110">if(not(isblank(L105)),", "&amp;L105,"")</f>
        <v/>
      </c>
      <c r="AG105" s="21" t="str">
        <f t="shared" si="110"/>
        <v/>
      </c>
      <c r="AH105" s="21" t="str">
        <f t="shared" si="110"/>
        <v/>
      </c>
      <c r="AI105" s="21" t="str">
        <f t="shared" si="110"/>
        <v/>
      </c>
      <c r="AJ105" s="21" t="str">
        <f t="shared" si="110"/>
        <v/>
      </c>
      <c r="AK105" s="21" t="str">
        <f t="shared" si="110"/>
        <v/>
      </c>
      <c r="AL105" s="21" t="str">
        <f t="shared" si="110"/>
        <v/>
      </c>
      <c r="AM105" s="21" t="str">
        <f t="shared" si="110"/>
        <v/>
      </c>
      <c r="AN105" s="21" t="str">
        <f t="shared" si="110"/>
        <v/>
      </c>
      <c r="AO105" s="21" t="str">
        <f t="shared" si="102"/>
        <v/>
      </c>
    </row>
    <row r="106" ht="16.5" customHeight="1">
      <c r="J106" s="18"/>
      <c r="K106" s="19"/>
      <c r="L106" s="20"/>
      <c r="M106" s="20"/>
      <c r="N106" s="20"/>
      <c r="O106" s="20"/>
      <c r="P106" s="20"/>
      <c r="Q106" s="20"/>
      <c r="R106" s="20"/>
      <c r="S106" s="20"/>
      <c r="T106" s="20"/>
      <c r="AE106" s="21" t="str">
        <f t="shared" si="100"/>
        <v/>
      </c>
      <c r="AF106" s="21" t="str">
        <f t="shared" ref="AF106:AN106" si="111">if(not(isblank(L106)),", "&amp;L106,"")</f>
        <v/>
      </c>
      <c r="AG106" s="21" t="str">
        <f t="shared" si="111"/>
        <v/>
      </c>
      <c r="AH106" s="21" t="str">
        <f t="shared" si="111"/>
        <v/>
      </c>
      <c r="AI106" s="21" t="str">
        <f t="shared" si="111"/>
        <v/>
      </c>
      <c r="AJ106" s="21" t="str">
        <f t="shared" si="111"/>
        <v/>
      </c>
      <c r="AK106" s="21" t="str">
        <f t="shared" si="111"/>
        <v/>
      </c>
      <c r="AL106" s="21" t="str">
        <f t="shared" si="111"/>
        <v/>
      </c>
      <c r="AM106" s="21" t="str">
        <f t="shared" si="111"/>
        <v/>
      </c>
      <c r="AN106" s="21" t="str">
        <f t="shared" si="111"/>
        <v/>
      </c>
      <c r="AO106" s="21" t="str">
        <f t="shared" si="102"/>
        <v/>
      </c>
    </row>
    <row r="107" ht="16.5" customHeight="1">
      <c r="J107" s="18"/>
      <c r="K107" s="19"/>
      <c r="L107" s="20"/>
      <c r="M107" s="20"/>
      <c r="N107" s="20"/>
      <c r="O107" s="20"/>
      <c r="P107" s="20"/>
      <c r="Q107" s="20"/>
      <c r="R107" s="20"/>
      <c r="S107" s="20"/>
      <c r="T107" s="20"/>
      <c r="AE107" s="21" t="str">
        <f t="shared" si="100"/>
        <v/>
      </c>
      <c r="AF107" s="21" t="str">
        <f t="shared" ref="AF107:AN107" si="112">if(not(isblank(L107)),", "&amp;L107,"")</f>
        <v/>
      </c>
      <c r="AG107" s="21" t="str">
        <f t="shared" si="112"/>
        <v/>
      </c>
      <c r="AH107" s="21" t="str">
        <f t="shared" si="112"/>
        <v/>
      </c>
      <c r="AI107" s="21" t="str">
        <f t="shared" si="112"/>
        <v/>
      </c>
      <c r="AJ107" s="21" t="str">
        <f t="shared" si="112"/>
        <v/>
      </c>
      <c r="AK107" s="21" t="str">
        <f t="shared" si="112"/>
        <v/>
      </c>
      <c r="AL107" s="21" t="str">
        <f t="shared" si="112"/>
        <v/>
      </c>
      <c r="AM107" s="21" t="str">
        <f t="shared" si="112"/>
        <v/>
      </c>
      <c r="AN107" s="21" t="str">
        <f t="shared" si="112"/>
        <v/>
      </c>
      <c r="AO107" s="21" t="str">
        <f t="shared" si="102"/>
        <v/>
      </c>
    </row>
    <row r="108" ht="16.5" customHeight="1">
      <c r="J108" s="18"/>
      <c r="K108" s="19"/>
      <c r="L108" s="19"/>
      <c r="M108" s="20"/>
      <c r="N108" s="20"/>
      <c r="O108" s="20"/>
      <c r="P108" s="20"/>
      <c r="Q108" s="20"/>
      <c r="R108" s="20"/>
      <c r="S108" s="20"/>
      <c r="T108" s="20"/>
      <c r="AE108" s="21" t="str">
        <f t="shared" si="100"/>
        <v/>
      </c>
      <c r="AF108" s="21" t="str">
        <f t="shared" ref="AF108:AN108" si="113">if(not(isblank(L108)),", "&amp;L108,"")</f>
        <v/>
      </c>
      <c r="AG108" s="21" t="str">
        <f t="shared" si="113"/>
        <v/>
      </c>
      <c r="AH108" s="21" t="str">
        <f t="shared" si="113"/>
        <v/>
      </c>
      <c r="AI108" s="21" t="str">
        <f t="shared" si="113"/>
        <v/>
      </c>
      <c r="AJ108" s="21" t="str">
        <f t="shared" si="113"/>
        <v/>
      </c>
      <c r="AK108" s="21" t="str">
        <f t="shared" si="113"/>
        <v/>
      </c>
      <c r="AL108" s="21" t="str">
        <f t="shared" si="113"/>
        <v/>
      </c>
      <c r="AM108" s="21" t="str">
        <f t="shared" si="113"/>
        <v/>
      </c>
      <c r="AN108" s="21" t="str">
        <f t="shared" si="113"/>
        <v/>
      </c>
      <c r="AO108" s="21" t="str">
        <f t="shared" si="102"/>
        <v/>
      </c>
    </row>
    <row r="109" ht="16.5" customHeight="1">
      <c r="J109" s="18"/>
      <c r="K109" s="19"/>
      <c r="L109" s="19"/>
      <c r="M109" s="20"/>
      <c r="N109" s="20"/>
      <c r="O109" s="20"/>
      <c r="P109" s="20"/>
      <c r="Q109" s="20"/>
      <c r="R109" s="20"/>
      <c r="S109" s="20"/>
      <c r="T109" s="20"/>
      <c r="AE109" s="21" t="str">
        <f t="shared" si="100"/>
        <v/>
      </c>
      <c r="AF109" s="21" t="str">
        <f t="shared" ref="AF109:AN109" si="114">if(not(isblank(L109)),", "&amp;L109,"")</f>
        <v/>
      </c>
      <c r="AG109" s="21" t="str">
        <f t="shared" si="114"/>
        <v/>
      </c>
      <c r="AH109" s="21" t="str">
        <f t="shared" si="114"/>
        <v/>
      </c>
      <c r="AI109" s="21" t="str">
        <f t="shared" si="114"/>
        <v/>
      </c>
      <c r="AJ109" s="21" t="str">
        <f t="shared" si="114"/>
        <v/>
      </c>
      <c r="AK109" s="21" t="str">
        <f t="shared" si="114"/>
        <v/>
      </c>
      <c r="AL109" s="21" t="str">
        <f t="shared" si="114"/>
        <v/>
      </c>
      <c r="AM109" s="21" t="str">
        <f t="shared" si="114"/>
        <v/>
      </c>
      <c r="AN109" s="21" t="str">
        <f t="shared" si="114"/>
        <v/>
      </c>
      <c r="AO109" s="21" t="str">
        <f t="shared" si="102"/>
        <v/>
      </c>
    </row>
    <row r="110" ht="16.5" customHeight="1">
      <c r="J110" s="18"/>
      <c r="K110" s="19"/>
      <c r="L110" s="19"/>
      <c r="M110" s="20"/>
      <c r="N110" s="20"/>
      <c r="O110" s="20"/>
      <c r="P110" s="20"/>
      <c r="Q110" s="20"/>
      <c r="R110" s="20"/>
      <c r="S110" s="20"/>
      <c r="T110" s="20"/>
      <c r="AE110" s="21" t="str">
        <f t="shared" si="100"/>
        <v/>
      </c>
      <c r="AF110" s="21" t="str">
        <f t="shared" ref="AF110:AN110" si="115">if(not(isblank(L110)),", "&amp;L110,"")</f>
        <v/>
      </c>
      <c r="AG110" s="21" t="str">
        <f t="shared" si="115"/>
        <v/>
      </c>
      <c r="AH110" s="21" t="str">
        <f t="shared" si="115"/>
        <v/>
      </c>
      <c r="AI110" s="21" t="str">
        <f t="shared" si="115"/>
        <v/>
      </c>
      <c r="AJ110" s="21" t="str">
        <f t="shared" si="115"/>
        <v/>
      </c>
      <c r="AK110" s="21" t="str">
        <f t="shared" si="115"/>
        <v/>
      </c>
      <c r="AL110" s="21" t="str">
        <f t="shared" si="115"/>
        <v/>
      </c>
      <c r="AM110" s="21" t="str">
        <f t="shared" si="115"/>
        <v/>
      </c>
      <c r="AN110" s="21" t="str">
        <f t="shared" si="115"/>
        <v/>
      </c>
      <c r="AO110" s="21" t="str">
        <f t="shared" si="102"/>
        <v/>
      </c>
    </row>
    <row r="111" ht="16.5" customHeight="1">
      <c r="J111" s="18"/>
      <c r="K111" s="19"/>
      <c r="L111" s="19"/>
      <c r="M111" s="20"/>
      <c r="N111" s="20"/>
      <c r="O111" s="20"/>
      <c r="P111" s="20"/>
      <c r="Q111" s="20"/>
      <c r="R111" s="20"/>
      <c r="S111" s="20"/>
      <c r="T111" s="20"/>
      <c r="AE111" s="21" t="str">
        <f t="shared" si="100"/>
        <v/>
      </c>
      <c r="AF111" s="21" t="str">
        <f t="shared" ref="AF111:AN111" si="116">if(not(isblank(L111)),", "&amp;L111,"")</f>
        <v/>
      </c>
      <c r="AG111" s="21" t="str">
        <f t="shared" si="116"/>
        <v/>
      </c>
      <c r="AH111" s="21" t="str">
        <f t="shared" si="116"/>
        <v/>
      </c>
      <c r="AI111" s="21" t="str">
        <f t="shared" si="116"/>
        <v/>
      </c>
      <c r="AJ111" s="21" t="str">
        <f t="shared" si="116"/>
        <v/>
      </c>
      <c r="AK111" s="21" t="str">
        <f t="shared" si="116"/>
        <v/>
      </c>
      <c r="AL111" s="21" t="str">
        <f t="shared" si="116"/>
        <v/>
      </c>
      <c r="AM111" s="21" t="str">
        <f t="shared" si="116"/>
        <v/>
      </c>
      <c r="AN111" s="21" t="str">
        <f t="shared" si="116"/>
        <v/>
      </c>
      <c r="AO111" s="21" t="str">
        <f t="shared" si="102"/>
        <v/>
      </c>
    </row>
    <row r="112" ht="16.5" customHeight="1">
      <c r="J112" s="18"/>
      <c r="K112" s="19"/>
      <c r="L112" s="20"/>
      <c r="M112" s="20"/>
      <c r="N112" s="20"/>
      <c r="O112" s="20"/>
      <c r="P112" s="20"/>
      <c r="Q112" s="20"/>
      <c r="R112" s="20"/>
      <c r="S112" s="20"/>
      <c r="T112" s="20"/>
      <c r="AE112" s="21" t="str">
        <f t="shared" si="100"/>
        <v/>
      </c>
      <c r="AF112" s="21" t="str">
        <f t="shared" ref="AF112:AN112" si="117">if(not(isblank(L112)),", "&amp;L112,"")</f>
        <v/>
      </c>
      <c r="AG112" s="21" t="str">
        <f t="shared" si="117"/>
        <v/>
      </c>
      <c r="AH112" s="21" t="str">
        <f t="shared" si="117"/>
        <v/>
      </c>
      <c r="AI112" s="21" t="str">
        <f t="shared" si="117"/>
        <v/>
      </c>
      <c r="AJ112" s="21" t="str">
        <f t="shared" si="117"/>
        <v/>
      </c>
      <c r="AK112" s="21" t="str">
        <f t="shared" si="117"/>
        <v/>
      </c>
      <c r="AL112" s="21" t="str">
        <f t="shared" si="117"/>
        <v/>
      </c>
      <c r="AM112" s="21" t="str">
        <f t="shared" si="117"/>
        <v/>
      </c>
      <c r="AN112" s="21" t="str">
        <f t="shared" si="117"/>
        <v/>
      </c>
      <c r="AO112" s="21" t="str">
        <f t="shared" si="102"/>
        <v/>
      </c>
    </row>
    <row r="113" ht="16.5" customHeight="1">
      <c r="J113" s="18"/>
      <c r="K113" s="19"/>
      <c r="L113" s="20"/>
      <c r="M113" s="20"/>
      <c r="N113" s="20"/>
      <c r="O113" s="20"/>
      <c r="P113" s="20"/>
      <c r="Q113" s="20"/>
      <c r="R113" s="20"/>
      <c r="S113" s="20"/>
      <c r="T113" s="20"/>
      <c r="AE113" s="21" t="str">
        <f t="shared" si="100"/>
        <v/>
      </c>
      <c r="AF113" s="21" t="str">
        <f t="shared" ref="AF113:AN113" si="118">if(not(isblank(L113)),", "&amp;L113,"")</f>
        <v/>
      </c>
      <c r="AG113" s="21" t="str">
        <f t="shared" si="118"/>
        <v/>
      </c>
      <c r="AH113" s="21" t="str">
        <f t="shared" si="118"/>
        <v/>
      </c>
      <c r="AI113" s="21" t="str">
        <f t="shared" si="118"/>
        <v/>
      </c>
      <c r="AJ113" s="21" t="str">
        <f t="shared" si="118"/>
        <v/>
      </c>
      <c r="AK113" s="21" t="str">
        <f t="shared" si="118"/>
        <v/>
      </c>
      <c r="AL113" s="21" t="str">
        <f t="shared" si="118"/>
        <v/>
      </c>
      <c r="AM113" s="21" t="str">
        <f t="shared" si="118"/>
        <v/>
      </c>
      <c r="AN113" s="21" t="str">
        <f t="shared" si="118"/>
        <v/>
      </c>
      <c r="AO113" s="21" t="str">
        <f t="shared" si="102"/>
        <v/>
      </c>
    </row>
    <row r="114" ht="16.5" customHeight="1">
      <c r="J114" s="18"/>
      <c r="K114" s="19"/>
      <c r="L114" s="20"/>
      <c r="M114" s="20"/>
      <c r="N114" s="20"/>
      <c r="O114" s="20"/>
      <c r="P114" s="20"/>
      <c r="Q114" s="20"/>
      <c r="R114" s="20"/>
      <c r="S114" s="20"/>
      <c r="T114" s="20"/>
      <c r="AE114" s="21" t="str">
        <f t="shared" si="100"/>
        <v/>
      </c>
      <c r="AF114" s="21" t="str">
        <f t="shared" ref="AF114:AN114" si="119">if(not(isblank(L114)),", "&amp;L114,"")</f>
        <v/>
      </c>
      <c r="AG114" s="21" t="str">
        <f t="shared" si="119"/>
        <v/>
      </c>
      <c r="AH114" s="21" t="str">
        <f t="shared" si="119"/>
        <v/>
      </c>
      <c r="AI114" s="21" t="str">
        <f t="shared" si="119"/>
        <v/>
      </c>
      <c r="AJ114" s="21" t="str">
        <f t="shared" si="119"/>
        <v/>
      </c>
      <c r="AK114" s="21" t="str">
        <f t="shared" si="119"/>
        <v/>
      </c>
      <c r="AL114" s="21" t="str">
        <f t="shared" si="119"/>
        <v/>
      </c>
      <c r="AM114" s="21" t="str">
        <f t="shared" si="119"/>
        <v/>
      </c>
      <c r="AN114" s="21" t="str">
        <f t="shared" si="119"/>
        <v/>
      </c>
      <c r="AO114" s="21" t="str">
        <f t="shared" si="102"/>
        <v/>
      </c>
    </row>
    <row r="115" ht="16.5" customHeight="1">
      <c r="J115" s="18"/>
      <c r="K115" s="19"/>
      <c r="L115" s="20"/>
      <c r="M115" s="20"/>
      <c r="N115" s="20"/>
      <c r="O115" s="20"/>
      <c r="P115" s="20"/>
      <c r="Q115" s="20"/>
      <c r="R115" s="20"/>
      <c r="S115" s="20"/>
      <c r="T115" s="20"/>
      <c r="AE115" s="21" t="str">
        <f t="shared" si="100"/>
        <v/>
      </c>
      <c r="AF115" s="21" t="str">
        <f t="shared" ref="AF115:AN115" si="120">if(not(isblank(L115)),", "&amp;L115,"")</f>
        <v/>
      </c>
      <c r="AG115" s="21" t="str">
        <f t="shared" si="120"/>
        <v/>
      </c>
      <c r="AH115" s="21" t="str">
        <f t="shared" si="120"/>
        <v/>
      </c>
      <c r="AI115" s="21" t="str">
        <f t="shared" si="120"/>
        <v/>
      </c>
      <c r="AJ115" s="21" t="str">
        <f t="shared" si="120"/>
        <v/>
      </c>
      <c r="AK115" s="21" t="str">
        <f t="shared" si="120"/>
        <v/>
      </c>
      <c r="AL115" s="21" t="str">
        <f t="shared" si="120"/>
        <v/>
      </c>
      <c r="AM115" s="21" t="str">
        <f t="shared" si="120"/>
        <v/>
      </c>
      <c r="AN115" s="21" t="str">
        <f t="shared" si="120"/>
        <v/>
      </c>
      <c r="AO115" s="21" t="str">
        <f t="shared" si="102"/>
        <v/>
      </c>
    </row>
    <row r="116" ht="16.5" customHeight="1">
      <c r="J116" s="18"/>
      <c r="K116" s="19"/>
      <c r="L116" s="20"/>
      <c r="M116" s="20"/>
      <c r="N116" s="20"/>
      <c r="O116" s="20"/>
      <c r="P116" s="20"/>
      <c r="Q116" s="20"/>
      <c r="R116" s="20"/>
      <c r="S116" s="20"/>
      <c r="T116" s="20"/>
      <c r="AE116" s="21" t="str">
        <f t="shared" si="100"/>
        <v/>
      </c>
      <c r="AF116" s="21" t="str">
        <f t="shared" ref="AF116:AN116" si="121">if(not(isblank(L116)),", "&amp;L116,"")</f>
        <v/>
      </c>
      <c r="AG116" s="21" t="str">
        <f t="shared" si="121"/>
        <v/>
      </c>
      <c r="AH116" s="21" t="str">
        <f t="shared" si="121"/>
        <v/>
      </c>
      <c r="AI116" s="21" t="str">
        <f t="shared" si="121"/>
        <v/>
      </c>
      <c r="AJ116" s="21" t="str">
        <f t="shared" si="121"/>
        <v/>
      </c>
      <c r="AK116" s="21" t="str">
        <f t="shared" si="121"/>
        <v/>
      </c>
      <c r="AL116" s="21" t="str">
        <f t="shared" si="121"/>
        <v/>
      </c>
      <c r="AM116" s="21" t="str">
        <f t="shared" si="121"/>
        <v/>
      </c>
      <c r="AN116" s="21" t="str">
        <f t="shared" si="121"/>
        <v/>
      </c>
      <c r="AO116" s="21" t="str">
        <f t="shared" si="102"/>
        <v/>
      </c>
    </row>
    <row r="117" ht="16.5" customHeight="1">
      <c r="J117" s="18"/>
      <c r="K117" s="19"/>
      <c r="L117" s="20"/>
      <c r="M117" s="20"/>
      <c r="N117" s="20"/>
      <c r="O117" s="20"/>
      <c r="P117" s="20"/>
      <c r="Q117" s="20"/>
      <c r="R117" s="20"/>
      <c r="S117" s="20"/>
      <c r="T117" s="20"/>
      <c r="AE117" s="21" t="str">
        <f t="shared" si="100"/>
        <v/>
      </c>
      <c r="AF117" s="21" t="str">
        <f t="shared" ref="AF117:AN117" si="122">if(not(isblank(L117)),", "&amp;L117,"")</f>
        <v/>
      </c>
      <c r="AG117" s="21" t="str">
        <f t="shared" si="122"/>
        <v/>
      </c>
      <c r="AH117" s="21" t="str">
        <f t="shared" si="122"/>
        <v/>
      </c>
      <c r="AI117" s="21" t="str">
        <f t="shared" si="122"/>
        <v/>
      </c>
      <c r="AJ117" s="21" t="str">
        <f t="shared" si="122"/>
        <v/>
      </c>
      <c r="AK117" s="21" t="str">
        <f t="shared" si="122"/>
        <v/>
      </c>
      <c r="AL117" s="21" t="str">
        <f t="shared" si="122"/>
        <v/>
      </c>
      <c r="AM117" s="21" t="str">
        <f t="shared" si="122"/>
        <v/>
      </c>
      <c r="AN117" s="21" t="str">
        <f t="shared" si="122"/>
        <v/>
      </c>
      <c r="AO117" s="21" t="str">
        <f t="shared" si="102"/>
        <v/>
      </c>
    </row>
    <row r="118" ht="16.5" customHeight="1">
      <c r="J118" s="18"/>
      <c r="K118" s="19"/>
      <c r="L118" s="20"/>
      <c r="M118" s="20"/>
      <c r="N118" s="20"/>
      <c r="O118" s="20"/>
      <c r="P118" s="20"/>
      <c r="Q118" s="20"/>
      <c r="R118" s="20"/>
      <c r="S118" s="20"/>
      <c r="T118" s="20"/>
      <c r="AE118" s="21" t="str">
        <f t="shared" si="100"/>
        <v/>
      </c>
      <c r="AF118" s="21" t="str">
        <f t="shared" ref="AF118:AN118" si="123">if(not(isblank(L118)),", "&amp;L118,"")</f>
        <v/>
      </c>
      <c r="AG118" s="21" t="str">
        <f t="shared" si="123"/>
        <v/>
      </c>
      <c r="AH118" s="21" t="str">
        <f t="shared" si="123"/>
        <v/>
      </c>
      <c r="AI118" s="21" t="str">
        <f t="shared" si="123"/>
        <v/>
      </c>
      <c r="AJ118" s="21" t="str">
        <f t="shared" si="123"/>
        <v/>
      </c>
      <c r="AK118" s="21" t="str">
        <f t="shared" si="123"/>
        <v/>
      </c>
      <c r="AL118" s="21" t="str">
        <f t="shared" si="123"/>
        <v/>
      </c>
      <c r="AM118" s="21" t="str">
        <f t="shared" si="123"/>
        <v/>
      </c>
      <c r="AN118" s="21" t="str">
        <f t="shared" si="123"/>
        <v/>
      </c>
      <c r="AO118" s="21" t="str">
        <f t="shared" si="102"/>
        <v/>
      </c>
    </row>
    <row r="119" ht="16.5" customHeight="1">
      <c r="J119" s="18"/>
      <c r="K119" s="19"/>
      <c r="L119" s="20"/>
      <c r="M119" s="20"/>
      <c r="N119" s="20"/>
      <c r="O119" s="20"/>
      <c r="P119" s="20"/>
      <c r="Q119" s="20"/>
      <c r="R119" s="20"/>
      <c r="S119" s="20"/>
      <c r="T119" s="20"/>
      <c r="AE119" s="21" t="str">
        <f t="shared" si="100"/>
        <v/>
      </c>
      <c r="AF119" s="21" t="str">
        <f t="shared" ref="AF119:AN119" si="124">if(not(isblank(L119)),", "&amp;L119,"")</f>
        <v/>
      </c>
      <c r="AG119" s="21" t="str">
        <f t="shared" si="124"/>
        <v/>
      </c>
      <c r="AH119" s="21" t="str">
        <f t="shared" si="124"/>
        <v/>
      </c>
      <c r="AI119" s="21" t="str">
        <f t="shared" si="124"/>
        <v/>
      </c>
      <c r="AJ119" s="21" t="str">
        <f t="shared" si="124"/>
        <v/>
      </c>
      <c r="AK119" s="21" t="str">
        <f t="shared" si="124"/>
        <v/>
      </c>
      <c r="AL119" s="21" t="str">
        <f t="shared" si="124"/>
        <v/>
      </c>
      <c r="AM119" s="21" t="str">
        <f t="shared" si="124"/>
        <v/>
      </c>
      <c r="AN119" s="21" t="str">
        <f t="shared" si="124"/>
        <v/>
      </c>
      <c r="AO119" s="21" t="str">
        <f t="shared" si="102"/>
        <v/>
      </c>
    </row>
    <row r="120" ht="16.5" customHeight="1">
      <c r="J120" s="18"/>
      <c r="K120" s="19"/>
      <c r="L120" s="20"/>
      <c r="M120" s="20"/>
      <c r="N120" s="20"/>
      <c r="O120" s="20"/>
      <c r="P120" s="20"/>
      <c r="Q120" s="20"/>
      <c r="R120" s="20"/>
      <c r="S120" s="20"/>
      <c r="T120" s="20"/>
      <c r="AE120" s="21" t="str">
        <f t="shared" si="100"/>
        <v/>
      </c>
      <c r="AF120" s="21" t="str">
        <f t="shared" ref="AF120:AN120" si="125">if(not(isblank(L120)),", "&amp;L120,"")</f>
        <v/>
      </c>
      <c r="AG120" s="21" t="str">
        <f t="shared" si="125"/>
        <v/>
      </c>
      <c r="AH120" s="21" t="str">
        <f t="shared" si="125"/>
        <v/>
      </c>
      <c r="AI120" s="21" t="str">
        <f t="shared" si="125"/>
        <v/>
      </c>
      <c r="AJ120" s="21" t="str">
        <f t="shared" si="125"/>
        <v/>
      </c>
      <c r="AK120" s="21" t="str">
        <f t="shared" si="125"/>
        <v/>
      </c>
      <c r="AL120" s="21" t="str">
        <f t="shared" si="125"/>
        <v/>
      </c>
      <c r="AM120" s="21" t="str">
        <f t="shared" si="125"/>
        <v/>
      </c>
      <c r="AN120" s="21" t="str">
        <f t="shared" si="125"/>
        <v/>
      </c>
      <c r="AO120" s="21" t="str">
        <f t="shared" si="102"/>
        <v/>
      </c>
    </row>
    <row r="121" ht="16.5" customHeight="1">
      <c r="J121" s="18"/>
      <c r="K121" s="19"/>
      <c r="L121" s="20"/>
      <c r="M121" s="20"/>
      <c r="N121" s="20"/>
      <c r="O121" s="20"/>
      <c r="P121" s="20"/>
      <c r="Q121" s="20"/>
      <c r="R121" s="20"/>
      <c r="S121" s="20"/>
      <c r="T121" s="20"/>
      <c r="AE121" s="21" t="str">
        <f t="shared" si="100"/>
        <v/>
      </c>
      <c r="AF121" s="21" t="str">
        <f t="shared" ref="AF121:AN121" si="126">if(not(isblank(L121)),", "&amp;L121,"")</f>
        <v/>
      </c>
      <c r="AG121" s="21" t="str">
        <f t="shared" si="126"/>
        <v/>
      </c>
      <c r="AH121" s="21" t="str">
        <f t="shared" si="126"/>
        <v/>
      </c>
      <c r="AI121" s="21" t="str">
        <f t="shared" si="126"/>
        <v/>
      </c>
      <c r="AJ121" s="21" t="str">
        <f t="shared" si="126"/>
        <v/>
      </c>
      <c r="AK121" s="21" t="str">
        <f t="shared" si="126"/>
        <v/>
      </c>
      <c r="AL121" s="21" t="str">
        <f t="shared" si="126"/>
        <v/>
      </c>
      <c r="AM121" s="21" t="str">
        <f t="shared" si="126"/>
        <v/>
      </c>
      <c r="AN121" s="21" t="str">
        <f t="shared" si="126"/>
        <v/>
      </c>
      <c r="AO121" s="21" t="str">
        <f t="shared" si="102"/>
        <v/>
      </c>
    </row>
    <row r="122" ht="16.5" customHeight="1">
      <c r="J122" s="18"/>
      <c r="K122" s="19"/>
      <c r="L122" s="20"/>
      <c r="M122" s="20"/>
      <c r="N122" s="20"/>
      <c r="O122" s="20"/>
      <c r="P122" s="20"/>
      <c r="Q122" s="20"/>
      <c r="R122" s="20"/>
      <c r="S122" s="20"/>
      <c r="T122" s="20"/>
      <c r="AE122" s="21" t="str">
        <f t="shared" si="100"/>
        <v/>
      </c>
      <c r="AF122" s="21" t="str">
        <f t="shared" ref="AF122:AN122" si="127">if(not(isblank(L122)),", "&amp;L122,"")</f>
        <v/>
      </c>
      <c r="AG122" s="21" t="str">
        <f t="shared" si="127"/>
        <v/>
      </c>
      <c r="AH122" s="21" t="str">
        <f t="shared" si="127"/>
        <v/>
      </c>
      <c r="AI122" s="21" t="str">
        <f t="shared" si="127"/>
        <v/>
      </c>
      <c r="AJ122" s="21" t="str">
        <f t="shared" si="127"/>
        <v/>
      </c>
      <c r="AK122" s="21" t="str">
        <f t="shared" si="127"/>
        <v/>
      </c>
      <c r="AL122" s="21" t="str">
        <f t="shared" si="127"/>
        <v/>
      </c>
      <c r="AM122" s="21" t="str">
        <f t="shared" si="127"/>
        <v/>
      </c>
      <c r="AN122" s="21" t="str">
        <f t="shared" si="127"/>
        <v/>
      </c>
      <c r="AO122" s="21" t="str">
        <f t="shared" si="102"/>
        <v/>
      </c>
    </row>
    <row r="123" ht="16.5" customHeight="1">
      <c r="J123" s="18"/>
      <c r="K123" s="19"/>
      <c r="L123" s="19"/>
      <c r="M123" s="19"/>
      <c r="N123" s="19"/>
      <c r="O123" s="19"/>
      <c r="P123" s="19"/>
      <c r="Q123" s="20"/>
      <c r="R123" s="20"/>
      <c r="S123" s="20"/>
      <c r="T123" s="20"/>
      <c r="AE123" s="21" t="str">
        <f t="shared" si="100"/>
        <v/>
      </c>
      <c r="AF123" s="21" t="str">
        <f t="shared" ref="AF123:AN123" si="128">if(not(isblank(L123)),", "&amp;L123,"")</f>
        <v/>
      </c>
      <c r="AG123" s="21" t="str">
        <f t="shared" si="128"/>
        <v/>
      </c>
      <c r="AH123" s="21" t="str">
        <f t="shared" si="128"/>
        <v/>
      </c>
      <c r="AI123" s="21" t="str">
        <f t="shared" si="128"/>
        <v/>
      </c>
      <c r="AJ123" s="21" t="str">
        <f t="shared" si="128"/>
        <v/>
      </c>
      <c r="AK123" s="21" t="str">
        <f t="shared" si="128"/>
        <v/>
      </c>
      <c r="AL123" s="21" t="str">
        <f t="shared" si="128"/>
        <v/>
      </c>
      <c r="AM123" s="21" t="str">
        <f t="shared" si="128"/>
        <v/>
      </c>
      <c r="AN123" s="21" t="str">
        <f t="shared" si="128"/>
        <v/>
      </c>
      <c r="AO123" s="21" t="str">
        <f t="shared" si="102"/>
        <v/>
      </c>
    </row>
    <row r="124" ht="16.5" customHeight="1">
      <c r="J124" s="18"/>
      <c r="K124" s="19"/>
      <c r="L124" s="19"/>
      <c r="M124" s="19"/>
      <c r="N124" s="19"/>
      <c r="O124" s="19"/>
      <c r="P124" s="19"/>
      <c r="Q124" s="20"/>
      <c r="R124" s="20"/>
      <c r="S124" s="20"/>
      <c r="T124" s="20"/>
      <c r="AE124" s="21" t="str">
        <f t="shared" si="100"/>
        <v/>
      </c>
      <c r="AF124" s="21" t="str">
        <f t="shared" ref="AF124:AN124" si="129">if(not(isblank(L124)),", "&amp;L124,"")</f>
        <v/>
      </c>
      <c r="AG124" s="21" t="str">
        <f t="shared" si="129"/>
        <v/>
      </c>
      <c r="AH124" s="21" t="str">
        <f t="shared" si="129"/>
        <v/>
      </c>
      <c r="AI124" s="21" t="str">
        <f t="shared" si="129"/>
        <v/>
      </c>
      <c r="AJ124" s="21" t="str">
        <f t="shared" si="129"/>
        <v/>
      </c>
      <c r="AK124" s="21" t="str">
        <f t="shared" si="129"/>
        <v/>
      </c>
      <c r="AL124" s="21" t="str">
        <f t="shared" si="129"/>
        <v/>
      </c>
      <c r="AM124" s="21" t="str">
        <f t="shared" si="129"/>
        <v/>
      </c>
      <c r="AN124" s="21" t="str">
        <f t="shared" si="129"/>
        <v/>
      </c>
      <c r="AO124" s="21" t="str">
        <f t="shared" si="102"/>
        <v/>
      </c>
    </row>
    <row r="125" ht="16.5" customHeight="1">
      <c r="J125" s="18"/>
      <c r="K125" s="19"/>
      <c r="L125" s="19"/>
      <c r="M125" s="19"/>
      <c r="N125" s="19"/>
      <c r="O125" s="19"/>
      <c r="P125" s="19"/>
      <c r="Q125" s="20"/>
      <c r="R125" s="20"/>
      <c r="S125" s="20"/>
      <c r="T125" s="20"/>
      <c r="AE125" s="21" t="str">
        <f t="shared" si="100"/>
        <v/>
      </c>
      <c r="AF125" s="21" t="str">
        <f t="shared" ref="AF125:AN125" si="130">if(not(isblank(L125)),", "&amp;L125,"")</f>
        <v/>
      </c>
      <c r="AG125" s="21" t="str">
        <f t="shared" si="130"/>
        <v/>
      </c>
      <c r="AH125" s="21" t="str">
        <f t="shared" si="130"/>
        <v/>
      </c>
      <c r="AI125" s="21" t="str">
        <f t="shared" si="130"/>
        <v/>
      </c>
      <c r="AJ125" s="21" t="str">
        <f t="shared" si="130"/>
        <v/>
      </c>
      <c r="AK125" s="21" t="str">
        <f t="shared" si="130"/>
        <v/>
      </c>
      <c r="AL125" s="21" t="str">
        <f t="shared" si="130"/>
        <v/>
      </c>
      <c r="AM125" s="21" t="str">
        <f t="shared" si="130"/>
        <v/>
      </c>
      <c r="AN125" s="21" t="str">
        <f t="shared" si="130"/>
        <v/>
      </c>
      <c r="AO125" s="21" t="str">
        <f t="shared" si="102"/>
        <v/>
      </c>
    </row>
    <row r="126" ht="16.5" customHeight="1">
      <c r="J126" s="18"/>
      <c r="K126" s="19"/>
      <c r="L126" s="20"/>
      <c r="M126" s="20"/>
      <c r="N126" s="20"/>
      <c r="O126" s="20"/>
      <c r="P126" s="20"/>
      <c r="Q126" s="20"/>
      <c r="R126" s="20"/>
      <c r="S126" s="20"/>
      <c r="T126" s="20"/>
      <c r="AE126" s="21" t="str">
        <f t="shared" si="100"/>
        <v/>
      </c>
      <c r="AF126" s="21" t="str">
        <f t="shared" ref="AF126:AN126" si="131">if(not(isblank(L126)),", "&amp;L126,"")</f>
        <v/>
      </c>
      <c r="AG126" s="21" t="str">
        <f t="shared" si="131"/>
        <v/>
      </c>
      <c r="AH126" s="21" t="str">
        <f t="shared" si="131"/>
        <v/>
      </c>
      <c r="AI126" s="21" t="str">
        <f t="shared" si="131"/>
        <v/>
      </c>
      <c r="AJ126" s="21" t="str">
        <f t="shared" si="131"/>
        <v/>
      </c>
      <c r="AK126" s="21" t="str">
        <f t="shared" si="131"/>
        <v/>
      </c>
      <c r="AL126" s="21" t="str">
        <f t="shared" si="131"/>
        <v/>
      </c>
      <c r="AM126" s="21" t="str">
        <f t="shared" si="131"/>
        <v/>
      </c>
      <c r="AN126" s="21" t="str">
        <f t="shared" si="131"/>
        <v/>
      </c>
      <c r="AO126" s="21" t="str">
        <f t="shared" si="102"/>
        <v/>
      </c>
    </row>
    <row r="127" ht="16.5" customHeight="1">
      <c r="J127" s="18"/>
      <c r="K127" s="19"/>
      <c r="L127" s="20"/>
      <c r="M127" s="20"/>
      <c r="N127" s="20"/>
      <c r="O127" s="20"/>
      <c r="P127" s="20"/>
      <c r="Q127" s="20"/>
      <c r="R127" s="20"/>
      <c r="S127" s="20"/>
      <c r="T127" s="20"/>
      <c r="AE127" s="21" t="str">
        <f t="shared" si="100"/>
        <v/>
      </c>
      <c r="AF127" s="21" t="str">
        <f t="shared" ref="AF127:AN127" si="132">if(not(isblank(L127)),", "&amp;L127,"")</f>
        <v/>
      </c>
      <c r="AG127" s="21" t="str">
        <f t="shared" si="132"/>
        <v/>
      </c>
      <c r="AH127" s="21" t="str">
        <f t="shared" si="132"/>
        <v/>
      </c>
      <c r="AI127" s="21" t="str">
        <f t="shared" si="132"/>
        <v/>
      </c>
      <c r="AJ127" s="21" t="str">
        <f t="shared" si="132"/>
        <v/>
      </c>
      <c r="AK127" s="21" t="str">
        <f t="shared" si="132"/>
        <v/>
      </c>
      <c r="AL127" s="21" t="str">
        <f t="shared" si="132"/>
        <v/>
      </c>
      <c r="AM127" s="21" t="str">
        <f t="shared" si="132"/>
        <v/>
      </c>
      <c r="AN127" s="21" t="str">
        <f t="shared" si="132"/>
        <v/>
      </c>
      <c r="AO127" s="21" t="str">
        <f t="shared" si="102"/>
        <v/>
      </c>
    </row>
    <row r="128" ht="16.5" customHeight="1">
      <c r="J128" s="18"/>
      <c r="K128" s="19"/>
      <c r="L128" s="20"/>
      <c r="M128" s="20"/>
      <c r="N128" s="20"/>
      <c r="O128" s="20"/>
      <c r="P128" s="20"/>
      <c r="Q128" s="20"/>
      <c r="R128" s="20"/>
      <c r="S128" s="20"/>
      <c r="T128" s="20"/>
      <c r="AE128" s="21" t="str">
        <f t="shared" si="100"/>
        <v/>
      </c>
      <c r="AF128" s="21" t="str">
        <f t="shared" ref="AF128:AN128" si="133">if(not(isblank(L128)),", "&amp;L128,"")</f>
        <v/>
      </c>
      <c r="AG128" s="21" t="str">
        <f t="shared" si="133"/>
        <v/>
      </c>
      <c r="AH128" s="21" t="str">
        <f t="shared" si="133"/>
        <v/>
      </c>
      <c r="AI128" s="21" t="str">
        <f t="shared" si="133"/>
        <v/>
      </c>
      <c r="AJ128" s="21" t="str">
        <f t="shared" si="133"/>
        <v/>
      </c>
      <c r="AK128" s="21" t="str">
        <f t="shared" si="133"/>
        <v/>
      </c>
      <c r="AL128" s="21" t="str">
        <f t="shared" si="133"/>
        <v/>
      </c>
      <c r="AM128" s="21" t="str">
        <f t="shared" si="133"/>
        <v/>
      </c>
      <c r="AN128" s="21" t="str">
        <f t="shared" si="133"/>
        <v/>
      </c>
      <c r="AO128" s="21" t="str">
        <f t="shared" si="102"/>
        <v/>
      </c>
    </row>
    <row r="129" ht="16.5" customHeight="1">
      <c r="J129" s="18"/>
      <c r="K129" s="19"/>
      <c r="L129" s="20"/>
      <c r="M129" s="20"/>
      <c r="N129" s="20"/>
      <c r="O129" s="20"/>
      <c r="P129" s="20"/>
      <c r="Q129" s="20"/>
      <c r="R129" s="20"/>
      <c r="S129" s="20"/>
      <c r="T129" s="20"/>
      <c r="AE129" s="21" t="str">
        <f t="shared" si="100"/>
        <v/>
      </c>
      <c r="AF129" s="21" t="str">
        <f t="shared" ref="AF129:AN129" si="134">if(not(isblank(L129)),", "&amp;L129,"")</f>
        <v/>
      </c>
      <c r="AG129" s="21" t="str">
        <f t="shared" si="134"/>
        <v/>
      </c>
      <c r="AH129" s="21" t="str">
        <f t="shared" si="134"/>
        <v/>
      </c>
      <c r="AI129" s="21" t="str">
        <f t="shared" si="134"/>
        <v/>
      </c>
      <c r="AJ129" s="21" t="str">
        <f t="shared" si="134"/>
        <v/>
      </c>
      <c r="AK129" s="21" t="str">
        <f t="shared" si="134"/>
        <v/>
      </c>
      <c r="AL129" s="21" t="str">
        <f t="shared" si="134"/>
        <v/>
      </c>
      <c r="AM129" s="21" t="str">
        <f t="shared" si="134"/>
        <v/>
      </c>
      <c r="AN129" s="21" t="str">
        <f t="shared" si="134"/>
        <v/>
      </c>
      <c r="AO129" s="21" t="str">
        <f t="shared" si="102"/>
        <v/>
      </c>
    </row>
    <row r="130" ht="16.5" customHeight="1">
      <c r="J130" s="18"/>
      <c r="K130" s="19"/>
      <c r="L130" s="20"/>
      <c r="M130" s="20"/>
      <c r="N130" s="20"/>
      <c r="O130" s="20"/>
      <c r="P130" s="20"/>
      <c r="Q130" s="20"/>
      <c r="R130" s="20"/>
      <c r="S130" s="20"/>
      <c r="T130" s="20"/>
      <c r="AE130" s="21" t="str">
        <f t="shared" si="100"/>
        <v/>
      </c>
      <c r="AF130" s="21" t="str">
        <f t="shared" ref="AF130:AN130" si="135">if(not(isblank(L130)),", "&amp;L130,"")</f>
        <v/>
      </c>
      <c r="AG130" s="21" t="str">
        <f t="shared" si="135"/>
        <v/>
      </c>
      <c r="AH130" s="21" t="str">
        <f t="shared" si="135"/>
        <v/>
      </c>
      <c r="AI130" s="21" t="str">
        <f t="shared" si="135"/>
        <v/>
      </c>
      <c r="AJ130" s="21" t="str">
        <f t="shared" si="135"/>
        <v/>
      </c>
      <c r="AK130" s="21" t="str">
        <f t="shared" si="135"/>
        <v/>
      </c>
      <c r="AL130" s="21" t="str">
        <f t="shared" si="135"/>
        <v/>
      </c>
      <c r="AM130" s="21" t="str">
        <f t="shared" si="135"/>
        <v/>
      </c>
      <c r="AN130" s="21" t="str">
        <f t="shared" si="135"/>
        <v/>
      </c>
      <c r="AO130" s="21" t="str">
        <f t="shared" si="102"/>
        <v/>
      </c>
    </row>
    <row r="131" ht="16.5" customHeight="1">
      <c r="J131" s="18"/>
      <c r="K131" s="19"/>
      <c r="L131" s="19"/>
      <c r="M131" s="20"/>
      <c r="N131" s="20"/>
      <c r="O131" s="20"/>
      <c r="P131" s="20"/>
      <c r="Q131" s="20"/>
      <c r="R131" s="20"/>
      <c r="S131" s="20"/>
      <c r="T131" s="20"/>
      <c r="AE131" s="21" t="str">
        <f t="shared" si="100"/>
        <v/>
      </c>
      <c r="AF131" s="21" t="str">
        <f t="shared" ref="AF131:AN131" si="136">if(not(isblank(L131)),", "&amp;L131,"")</f>
        <v/>
      </c>
      <c r="AG131" s="21" t="str">
        <f t="shared" si="136"/>
        <v/>
      </c>
      <c r="AH131" s="21" t="str">
        <f t="shared" si="136"/>
        <v/>
      </c>
      <c r="AI131" s="21" t="str">
        <f t="shared" si="136"/>
        <v/>
      </c>
      <c r="AJ131" s="21" t="str">
        <f t="shared" si="136"/>
        <v/>
      </c>
      <c r="AK131" s="21" t="str">
        <f t="shared" si="136"/>
        <v/>
      </c>
      <c r="AL131" s="21" t="str">
        <f t="shared" si="136"/>
        <v/>
      </c>
      <c r="AM131" s="21" t="str">
        <f t="shared" si="136"/>
        <v/>
      </c>
      <c r="AN131" s="21" t="str">
        <f t="shared" si="136"/>
        <v/>
      </c>
      <c r="AO131" s="21" t="str">
        <f t="shared" si="102"/>
        <v/>
      </c>
    </row>
    <row r="132" ht="16.5" customHeight="1">
      <c r="J132" s="18"/>
      <c r="K132" s="20"/>
      <c r="L132" s="19"/>
      <c r="M132" s="19"/>
      <c r="N132" s="20"/>
      <c r="O132" s="20"/>
      <c r="P132" s="20"/>
      <c r="Q132" s="20"/>
      <c r="R132" s="20"/>
      <c r="S132" s="20"/>
      <c r="T132" s="20"/>
      <c r="AE132" s="21" t="str">
        <f t="shared" si="100"/>
        <v/>
      </c>
      <c r="AF132" s="21" t="str">
        <f t="shared" ref="AF132:AN132" si="137">if(not(isblank(L132)),", "&amp;L132,"")</f>
        <v/>
      </c>
      <c r="AG132" s="21" t="str">
        <f t="shared" si="137"/>
        <v/>
      </c>
      <c r="AH132" s="21" t="str">
        <f t="shared" si="137"/>
        <v/>
      </c>
      <c r="AI132" s="21" t="str">
        <f t="shared" si="137"/>
        <v/>
      </c>
      <c r="AJ132" s="21" t="str">
        <f t="shared" si="137"/>
        <v/>
      </c>
      <c r="AK132" s="21" t="str">
        <f t="shared" si="137"/>
        <v/>
      </c>
      <c r="AL132" s="21" t="str">
        <f t="shared" si="137"/>
        <v/>
      </c>
      <c r="AM132" s="21" t="str">
        <f t="shared" si="137"/>
        <v/>
      </c>
      <c r="AN132" s="21" t="str">
        <f t="shared" si="137"/>
        <v/>
      </c>
      <c r="AO132" s="21" t="str">
        <f t="shared" si="102"/>
        <v/>
      </c>
    </row>
    <row r="133" ht="16.5" customHeight="1">
      <c r="J133" s="18"/>
      <c r="K133" s="20"/>
      <c r="L133" s="19"/>
      <c r="M133" s="19"/>
      <c r="N133" s="20"/>
      <c r="O133" s="20"/>
      <c r="P133" s="20"/>
      <c r="Q133" s="20"/>
      <c r="R133" s="20"/>
      <c r="S133" s="20"/>
      <c r="T133" s="20"/>
      <c r="AE133" s="21" t="str">
        <f t="shared" si="100"/>
        <v/>
      </c>
      <c r="AF133" s="21" t="str">
        <f t="shared" ref="AF133:AN133" si="138">if(not(isblank(L133)),", "&amp;L133,"")</f>
        <v/>
      </c>
      <c r="AG133" s="21" t="str">
        <f t="shared" si="138"/>
        <v/>
      </c>
      <c r="AH133" s="21" t="str">
        <f t="shared" si="138"/>
        <v/>
      </c>
      <c r="AI133" s="21" t="str">
        <f t="shared" si="138"/>
        <v/>
      </c>
      <c r="AJ133" s="21" t="str">
        <f t="shared" si="138"/>
        <v/>
      </c>
      <c r="AK133" s="21" t="str">
        <f t="shared" si="138"/>
        <v/>
      </c>
      <c r="AL133" s="21" t="str">
        <f t="shared" si="138"/>
        <v/>
      </c>
      <c r="AM133" s="21" t="str">
        <f t="shared" si="138"/>
        <v/>
      </c>
      <c r="AN133" s="21" t="str">
        <f t="shared" si="138"/>
        <v/>
      </c>
      <c r="AO133" s="21" t="str">
        <f t="shared" si="102"/>
        <v/>
      </c>
    </row>
    <row r="134" ht="16.5" customHeight="1">
      <c r="J134" s="18"/>
      <c r="K134" s="20"/>
      <c r="L134" s="19"/>
      <c r="M134" s="19"/>
      <c r="N134" s="19"/>
      <c r="O134" s="20"/>
      <c r="P134" s="20"/>
      <c r="Q134" s="20"/>
      <c r="R134" s="20"/>
      <c r="S134" s="20"/>
      <c r="T134" s="20"/>
      <c r="AE134" s="21" t="str">
        <f t="shared" si="100"/>
        <v/>
      </c>
      <c r="AF134" s="21" t="str">
        <f t="shared" ref="AF134:AN134" si="139">if(not(isblank(L134)),", "&amp;L134,"")</f>
        <v/>
      </c>
      <c r="AG134" s="21" t="str">
        <f t="shared" si="139"/>
        <v/>
      </c>
      <c r="AH134" s="21" t="str">
        <f t="shared" si="139"/>
        <v/>
      </c>
      <c r="AI134" s="21" t="str">
        <f t="shared" si="139"/>
        <v/>
      </c>
      <c r="AJ134" s="21" t="str">
        <f t="shared" si="139"/>
        <v/>
      </c>
      <c r="AK134" s="21" t="str">
        <f t="shared" si="139"/>
        <v/>
      </c>
      <c r="AL134" s="21" t="str">
        <f t="shared" si="139"/>
        <v/>
      </c>
      <c r="AM134" s="21" t="str">
        <f t="shared" si="139"/>
        <v/>
      </c>
      <c r="AN134" s="21" t="str">
        <f t="shared" si="139"/>
        <v/>
      </c>
      <c r="AO134" s="21" t="str">
        <f t="shared" si="102"/>
        <v/>
      </c>
    </row>
    <row r="135" ht="16.5" customHeight="1">
      <c r="J135" s="18"/>
      <c r="K135" s="19"/>
      <c r="L135" s="20"/>
      <c r="M135" s="20"/>
      <c r="N135" s="20"/>
      <c r="O135" s="20"/>
      <c r="P135" s="20"/>
      <c r="Q135" s="20"/>
      <c r="R135" s="20"/>
      <c r="S135" s="20"/>
      <c r="T135" s="20"/>
      <c r="AE135" s="21" t="str">
        <f t="shared" si="100"/>
        <v/>
      </c>
      <c r="AF135" s="21" t="str">
        <f t="shared" ref="AF135:AN135" si="140">if(not(isblank(L135)),", "&amp;L135,"")</f>
        <v/>
      </c>
      <c r="AG135" s="21" t="str">
        <f t="shared" si="140"/>
        <v/>
      </c>
      <c r="AH135" s="21" t="str">
        <f t="shared" si="140"/>
        <v/>
      </c>
      <c r="AI135" s="21" t="str">
        <f t="shared" si="140"/>
        <v/>
      </c>
      <c r="AJ135" s="21" t="str">
        <f t="shared" si="140"/>
        <v/>
      </c>
      <c r="AK135" s="21" t="str">
        <f t="shared" si="140"/>
        <v/>
      </c>
      <c r="AL135" s="21" t="str">
        <f t="shared" si="140"/>
        <v/>
      </c>
      <c r="AM135" s="21" t="str">
        <f t="shared" si="140"/>
        <v/>
      </c>
      <c r="AN135" s="21" t="str">
        <f t="shared" si="140"/>
        <v/>
      </c>
      <c r="AO135" s="21" t="str">
        <f t="shared" si="102"/>
        <v/>
      </c>
    </row>
    <row r="136" ht="16.5" customHeight="1">
      <c r="J136" s="18"/>
      <c r="K136" s="19"/>
      <c r="L136" s="20"/>
      <c r="M136" s="20"/>
      <c r="N136" s="20"/>
      <c r="O136" s="20"/>
      <c r="P136" s="20"/>
      <c r="Q136" s="20"/>
      <c r="R136" s="20"/>
      <c r="S136" s="20"/>
      <c r="T136" s="20"/>
      <c r="AE136" s="21" t="str">
        <f t="shared" si="100"/>
        <v/>
      </c>
      <c r="AF136" s="21" t="str">
        <f t="shared" ref="AF136:AN136" si="141">if(not(isblank(L136)),", "&amp;L136,"")</f>
        <v/>
      </c>
      <c r="AG136" s="21" t="str">
        <f t="shared" si="141"/>
        <v/>
      </c>
      <c r="AH136" s="21" t="str">
        <f t="shared" si="141"/>
        <v/>
      </c>
      <c r="AI136" s="21" t="str">
        <f t="shared" si="141"/>
        <v/>
      </c>
      <c r="AJ136" s="21" t="str">
        <f t="shared" si="141"/>
        <v/>
      </c>
      <c r="AK136" s="21" t="str">
        <f t="shared" si="141"/>
        <v/>
      </c>
      <c r="AL136" s="21" t="str">
        <f t="shared" si="141"/>
        <v/>
      </c>
      <c r="AM136" s="21" t="str">
        <f t="shared" si="141"/>
        <v/>
      </c>
      <c r="AN136" s="21" t="str">
        <f t="shared" si="141"/>
        <v/>
      </c>
      <c r="AO136" s="21" t="str">
        <f t="shared" si="102"/>
        <v/>
      </c>
    </row>
    <row r="137" ht="16.5" customHeight="1">
      <c r="J137" s="18"/>
      <c r="K137" s="19"/>
      <c r="L137" s="19"/>
      <c r="M137" s="19"/>
      <c r="N137" s="19"/>
      <c r="O137" s="19"/>
      <c r="P137" s="19"/>
      <c r="Q137" s="20"/>
      <c r="R137" s="20"/>
      <c r="S137" s="20"/>
      <c r="T137" s="20"/>
      <c r="AE137" s="21" t="str">
        <f t="shared" si="100"/>
        <v/>
      </c>
      <c r="AF137" s="21" t="str">
        <f t="shared" ref="AF137:AN137" si="142">if(not(isblank(L137)),", "&amp;L137,"")</f>
        <v/>
      </c>
      <c r="AG137" s="21" t="str">
        <f t="shared" si="142"/>
        <v/>
      </c>
      <c r="AH137" s="21" t="str">
        <f t="shared" si="142"/>
        <v/>
      </c>
      <c r="AI137" s="21" t="str">
        <f t="shared" si="142"/>
        <v/>
      </c>
      <c r="AJ137" s="21" t="str">
        <f t="shared" si="142"/>
        <v/>
      </c>
      <c r="AK137" s="21" t="str">
        <f t="shared" si="142"/>
        <v/>
      </c>
      <c r="AL137" s="21" t="str">
        <f t="shared" si="142"/>
        <v/>
      </c>
      <c r="AM137" s="21" t="str">
        <f t="shared" si="142"/>
        <v/>
      </c>
      <c r="AN137" s="21" t="str">
        <f t="shared" si="142"/>
        <v/>
      </c>
      <c r="AO137" s="21" t="str">
        <f t="shared" si="102"/>
        <v/>
      </c>
    </row>
    <row r="138" ht="16.5" customHeight="1">
      <c r="J138" s="18"/>
      <c r="K138" s="19"/>
      <c r="L138" s="20"/>
      <c r="M138" s="20"/>
      <c r="N138" s="20"/>
      <c r="O138" s="20"/>
      <c r="P138" s="20"/>
      <c r="Q138" s="20"/>
      <c r="R138" s="20"/>
      <c r="S138" s="20"/>
      <c r="T138" s="20"/>
      <c r="AE138" s="21" t="str">
        <f t="shared" si="100"/>
        <v/>
      </c>
      <c r="AF138" s="21" t="str">
        <f t="shared" ref="AF138:AN138" si="143">if(not(isblank(L138)),", "&amp;L138,"")</f>
        <v/>
      </c>
      <c r="AG138" s="21" t="str">
        <f t="shared" si="143"/>
        <v/>
      </c>
      <c r="AH138" s="21" t="str">
        <f t="shared" si="143"/>
        <v/>
      </c>
      <c r="AI138" s="21" t="str">
        <f t="shared" si="143"/>
        <v/>
      </c>
      <c r="AJ138" s="21" t="str">
        <f t="shared" si="143"/>
        <v/>
      </c>
      <c r="AK138" s="21" t="str">
        <f t="shared" si="143"/>
        <v/>
      </c>
      <c r="AL138" s="21" t="str">
        <f t="shared" si="143"/>
        <v/>
      </c>
      <c r="AM138" s="21" t="str">
        <f t="shared" si="143"/>
        <v/>
      </c>
      <c r="AN138" s="21" t="str">
        <f t="shared" si="143"/>
        <v/>
      </c>
      <c r="AO138" s="21" t="str">
        <f t="shared" si="102"/>
        <v/>
      </c>
    </row>
    <row r="139" ht="16.5" customHeight="1">
      <c r="J139" s="18"/>
      <c r="K139" s="19"/>
      <c r="L139" s="20"/>
      <c r="M139" s="20"/>
      <c r="N139" s="20"/>
      <c r="O139" s="20"/>
      <c r="P139" s="20"/>
      <c r="Q139" s="20"/>
      <c r="R139" s="20"/>
      <c r="S139" s="20"/>
      <c r="T139" s="20"/>
      <c r="AE139" s="21" t="str">
        <f t="shared" si="100"/>
        <v/>
      </c>
      <c r="AF139" s="21" t="str">
        <f t="shared" ref="AF139:AN139" si="144">if(not(isblank(L139)),", "&amp;L139,"")</f>
        <v/>
      </c>
      <c r="AG139" s="21" t="str">
        <f t="shared" si="144"/>
        <v/>
      </c>
      <c r="AH139" s="21" t="str">
        <f t="shared" si="144"/>
        <v/>
      </c>
      <c r="AI139" s="21" t="str">
        <f t="shared" si="144"/>
        <v/>
      </c>
      <c r="AJ139" s="21" t="str">
        <f t="shared" si="144"/>
        <v/>
      </c>
      <c r="AK139" s="21" t="str">
        <f t="shared" si="144"/>
        <v/>
      </c>
      <c r="AL139" s="21" t="str">
        <f t="shared" si="144"/>
        <v/>
      </c>
      <c r="AM139" s="21" t="str">
        <f t="shared" si="144"/>
        <v/>
      </c>
      <c r="AN139" s="21" t="str">
        <f t="shared" si="144"/>
        <v/>
      </c>
      <c r="AO139" s="21" t="str">
        <f t="shared" si="102"/>
        <v/>
      </c>
    </row>
    <row r="140" ht="16.5" customHeight="1">
      <c r="J140" s="18"/>
      <c r="K140" s="19"/>
      <c r="L140" s="20"/>
      <c r="M140" s="20"/>
      <c r="N140" s="20"/>
      <c r="O140" s="20"/>
      <c r="P140" s="20"/>
      <c r="Q140" s="20"/>
      <c r="R140" s="20"/>
      <c r="S140" s="20"/>
      <c r="T140" s="20"/>
      <c r="AE140" s="21" t="str">
        <f t="shared" si="100"/>
        <v/>
      </c>
      <c r="AF140" s="21" t="str">
        <f t="shared" ref="AF140:AN140" si="145">if(not(isblank(L140)),", "&amp;L140,"")</f>
        <v/>
      </c>
      <c r="AG140" s="21" t="str">
        <f t="shared" si="145"/>
        <v/>
      </c>
      <c r="AH140" s="21" t="str">
        <f t="shared" si="145"/>
        <v/>
      </c>
      <c r="AI140" s="21" t="str">
        <f t="shared" si="145"/>
        <v/>
      </c>
      <c r="AJ140" s="21" t="str">
        <f t="shared" si="145"/>
        <v/>
      </c>
      <c r="AK140" s="21" t="str">
        <f t="shared" si="145"/>
        <v/>
      </c>
      <c r="AL140" s="21" t="str">
        <f t="shared" si="145"/>
        <v/>
      </c>
      <c r="AM140" s="21" t="str">
        <f t="shared" si="145"/>
        <v/>
      </c>
      <c r="AN140" s="21" t="str">
        <f t="shared" si="145"/>
        <v/>
      </c>
      <c r="AO140" s="21" t="str">
        <f t="shared" si="102"/>
        <v/>
      </c>
    </row>
    <row r="141" ht="16.5" customHeight="1">
      <c r="J141" s="18"/>
      <c r="K141" s="19"/>
      <c r="L141" s="20"/>
      <c r="M141" s="20"/>
      <c r="N141" s="20"/>
      <c r="O141" s="20"/>
      <c r="P141" s="20"/>
      <c r="Q141" s="20"/>
      <c r="R141" s="20"/>
      <c r="S141" s="20"/>
      <c r="T141" s="20"/>
      <c r="AE141" s="21" t="str">
        <f t="shared" si="100"/>
        <v/>
      </c>
      <c r="AF141" s="21" t="str">
        <f t="shared" ref="AF141:AN141" si="146">if(not(isblank(L141)),", "&amp;L141,"")</f>
        <v/>
      </c>
      <c r="AG141" s="21" t="str">
        <f t="shared" si="146"/>
        <v/>
      </c>
      <c r="AH141" s="21" t="str">
        <f t="shared" si="146"/>
        <v/>
      </c>
      <c r="AI141" s="21" t="str">
        <f t="shared" si="146"/>
        <v/>
      </c>
      <c r="AJ141" s="21" t="str">
        <f t="shared" si="146"/>
        <v/>
      </c>
      <c r="AK141" s="21" t="str">
        <f t="shared" si="146"/>
        <v/>
      </c>
      <c r="AL141" s="21" t="str">
        <f t="shared" si="146"/>
        <v/>
      </c>
      <c r="AM141" s="21" t="str">
        <f t="shared" si="146"/>
        <v/>
      </c>
      <c r="AN141" s="21" t="str">
        <f t="shared" si="146"/>
        <v/>
      </c>
      <c r="AO141" s="21" t="str">
        <f t="shared" si="102"/>
        <v/>
      </c>
    </row>
    <row r="142" ht="16.5" customHeight="1">
      <c r="J142" s="18"/>
      <c r="K142" s="19"/>
      <c r="L142" s="20"/>
      <c r="M142" s="20"/>
      <c r="N142" s="20"/>
      <c r="O142" s="20"/>
      <c r="P142" s="20"/>
      <c r="Q142" s="20"/>
      <c r="R142" s="20"/>
      <c r="S142" s="20"/>
      <c r="T142" s="20"/>
      <c r="AE142" s="21" t="str">
        <f t="shared" si="100"/>
        <v/>
      </c>
      <c r="AF142" s="21" t="str">
        <f t="shared" ref="AF142:AN142" si="147">if(not(isblank(L142)),", "&amp;L142,"")</f>
        <v/>
      </c>
      <c r="AG142" s="21" t="str">
        <f t="shared" si="147"/>
        <v/>
      </c>
      <c r="AH142" s="21" t="str">
        <f t="shared" si="147"/>
        <v/>
      </c>
      <c r="AI142" s="21" t="str">
        <f t="shared" si="147"/>
        <v/>
      </c>
      <c r="AJ142" s="21" t="str">
        <f t="shared" si="147"/>
        <v/>
      </c>
      <c r="AK142" s="21" t="str">
        <f t="shared" si="147"/>
        <v/>
      </c>
      <c r="AL142" s="21" t="str">
        <f t="shared" si="147"/>
        <v/>
      </c>
      <c r="AM142" s="21" t="str">
        <f t="shared" si="147"/>
        <v/>
      </c>
      <c r="AN142" s="21" t="str">
        <f t="shared" si="147"/>
        <v/>
      </c>
      <c r="AO142" s="21" t="str">
        <f t="shared" si="102"/>
        <v/>
      </c>
    </row>
    <row r="143" ht="16.5" customHeight="1">
      <c r="J143" s="18"/>
      <c r="K143" s="19"/>
      <c r="L143" s="20"/>
      <c r="M143" s="20"/>
      <c r="N143" s="20"/>
      <c r="O143" s="20"/>
      <c r="P143" s="20"/>
      <c r="Q143" s="20"/>
      <c r="R143" s="20"/>
      <c r="S143" s="20"/>
      <c r="T143" s="20"/>
      <c r="AE143" s="21" t="str">
        <f t="shared" si="100"/>
        <v/>
      </c>
      <c r="AF143" s="21" t="str">
        <f t="shared" ref="AF143:AN143" si="148">if(not(isblank(L143)),", "&amp;L143,"")</f>
        <v/>
      </c>
      <c r="AG143" s="21" t="str">
        <f t="shared" si="148"/>
        <v/>
      </c>
      <c r="AH143" s="21" t="str">
        <f t="shared" si="148"/>
        <v/>
      </c>
      <c r="AI143" s="21" t="str">
        <f t="shared" si="148"/>
        <v/>
      </c>
      <c r="AJ143" s="21" t="str">
        <f t="shared" si="148"/>
        <v/>
      </c>
      <c r="AK143" s="21" t="str">
        <f t="shared" si="148"/>
        <v/>
      </c>
      <c r="AL143" s="21" t="str">
        <f t="shared" si="148"/>
        <v/>
      </c>
      <c r="AM143" s="21" t="str">
        <f t="shared" si="148"/>
        <v/>
      </c>
      <c r="AN143" s="21" t="str">
        <f t="shared" si="148"/>
        <v/>
      </c>
      <c r="AO143" s="21" t="str">
        <f t="shared" si="102"/>
        <v/>
      </c>
    </row>
    <row r="144" ht="16.5" customHeight="1">
      <c r="J144" s="18"/>
      <c r="K144" s="19"/>
      <c r="L144" s="20"/>
      <c r="M144" s="20"/>
      <c r="N144" s="20"/>
      <c r="O144" s="20"/>
      <c r="P144" s="20"/>
      <c r="Q144" s="20"/>
      <c r="R144" s="20"/>
      <c r="S144" s="20"/>
      <c r="T144" s="20"/>
      <c r="AE144" s="21" t="str">
        <f t="shared" si="100"/>
        <v/>
      </c>
      <c r="AF144" s="21" t="str">
        <f t="shared" ref="AF144:AN144" si="149">if(not(isblank(L144)),", "&amp;L144,"")</f>
        <v/>
      </c>
      <c r="AG144" s="21" t="str">
        <f t="shared" si="149"/>
        <v/>
      </c>
      <c r="AH144" s="21" t="str">
        <f t="shared" si="149"/>
        <v/>
      </c>
      <c r="AI144" s="21" t="str">
        <f t="shared" si="149"/>
        <v/>
      </c>
      <c r="AJ144" s="21" t="str">
        <f t="shared" si="149"/>
        <v/>
      </c>
      <c r="AK144" s="21" t="str">
        <f t="shared" si="149"/>
        <v/>
      </c>
      <c r="AL144" s="21" t="str">
        <f t="shared" si="149"/>
        <v/>
      </c>
      <c r="AM144" s="21" t="str">
        <f t="shared" si="149"/>
        <v/>
      </c>
      <c r="AN144" s="21" t="str">
        <f t="shared" si="149"/>
        <v/>
      </c>
      <c r="AO144" s="21" t="str">
        <f t="shared" si="102"/>
        <v/>
      </c>
    </row>
    <row r="145" ht="16.5" customHeight="1">
      <c r="J145" s="18"/>
      <c r="K145" s="19"/>
      <c r="L145" s="20"/>
      <c r="M145" s="20"/>
      <c r="N145" s="20"/>
      <c r="O145" s="20"/>
      <c r="P145" s="20"/>
      <c r="Q145" s="20"/>
      <c r="R145" s="20"/>
      <c r="S145" s="20"/>
      <c r="T145" s="20"/>
      <c r="AE145" s="21" t="str">
        <f t="shared" si="100"/>
        <v/>
      </c>
      <c r="AF145" s="21" t="str">
        <f t="shared" ref="AF145:AN145" si="150">if(not(isblank(L145)),", "&amp;L145,"")</f>
        <v/>
      </c>
      <c r="AG145" s="21" t="str">
        <f t="shared" si="150"/>
        <v/>
      </c>
      <c r="AH145" s="21" t="str">
        <f t="shared" si="150"/>
        <v/>
      </c>
      <c r="AI145" s="21" t="str">
        <f t="shared" si="150"/>
        <v/>
      </c>
      <c r="AJ145" s="21" t="str">
        <f t="shared" si="150"/>
        <v/>
      </c>
      <c r="AK145" s="21" t="str">
        <f t="shared" si="150"/>
        <v/>
      </c>
      <c r="AL145" s="21" t="str">
        <f t="shared" si="150"/>
        <v/>
      </c>
      <c r="AM145" s="21" t="str">
        <f t="shared" si="150"/>
        <v/>
      </c>
      <c r="AN145" s="21" t="str">
        <f t="shared" si="150"/>
        <v/>
      </c>
      <c r="AO145" s="21" t="str">
        <f t="shared" si="102"/>
        <v/>
      </c>
    </row>
    <row r="146" ht="16.5" customHeight="1">
      <c r="J146" s="18"/>
      <c r="K146" s="19"/>
      <c r="L146" s="20"/>
      <c r="M146" s="20"/>
      <c r="N146" s="20"/>
      <c r="O146" s="20"/>
      <c r="P146" s="20"/>
      <c r="Q146" s="20"/>
      <c r="R146" s="20"/>
      <c r="S146" s="20"/>
      <c r="T146" s="20"/>
      <c r="AE146" s="21" t="str">
        <f t="shared" si="100"/>
        <v/>
      </c>
      <c r="AF146" s="21" t="str">
        <f t="shared" ref="AF146:AN146" si="151">if(not(isblank(L146)),", "&amp;L146,"")</f>
        <v/>
      </c>
      <c r="AG146" s="21" t="str">
        <f t="shared" si="151"/>
        <v/>
      </c>
      <c r="AH146" s="21" t="str">
        <f t="shared" si="151"/>
        <v/>
      </c>
      <c r="AI146" s="21" t="str">
        <f t="shared" si="151"/>
        <v/>
      </c>
      <c r="AJ146" s="21" t="str">
        <f t="shared" si="151"/>
        <v/>
      </c>
      <c r="AK146" s="21" t="str">
        <f t="shared" si="151"/>
        <v/>
      </c>
      <c r="AL146" s="21" t="str">
        <f t="shared" si="151"/>
        <v/>
      </c>
      <c r="AM146" s="21" t="str">
        <f t="shared" si="151"/>
        <v/>
      </c>
      <c r="AN146" s="21" t="str">
        <f t="shared" si="151"/>
        <v/>
      </c>
      <c r="AO146" s="21" t="str">
        <f t="shared" si="102"/>
        <v/>
      </c>
    </row>
    <row r="147" ht="16.5" customHeight="1">
      <c r="J147" s="18"/>
      <c r="K147" s="19"/>
      <c r="L147" s="20"/>
      <c r="M147" s="20"/>
      <c r="N147" s="20"/>
      <c r="O147" s="20"/>
      <c r="P147" s="20"/>
      <c r="Q147" s="20"/>
      <c r="R147" s="20"/>
      <c r="S147" s="20"/>
      <c r="T147" s="20"/>
      <c r="AE147" s="21" t="str">
        <f t="shared" si="100"/>
        <v/>
      </c>
      <c r="AF147" s="21" t="str">
        <f t="shared" ref="AF147:AN147" si="152">if(not(isblank(L147)),", "&amp;L147,"")</f>
        <v/>
      </c>
      <c r="AG147" s="21" t="str">
        <f t="shared" si="152"/>
        <v/>
      </c>
      <c r="AH147" s="21" t="str">
        <f t="shared" si="152"/>
        <v/>
      </c>
      <c r="AI147" s="21" t="str">
        <f t="shared" si="152"/>
        <v/>
      </c>
      <c r="AJ147" s="21" t="str">
        <f t="shared" si="152"/>
        <v/>
      </c>
      <c r="AK147" s="21" t="str">
        <f t="shared" si="152"/>
        <v/>
      </c>
      <c r="AL147" s="21" t="str">
        <f t="shared" si="152"/>
        <v/>
      </c>
      <c r="AM147" s="21" t="str">
        <f t="shared" si="152"/>
        <v/>
      </c>
      <c r="AN147" s="21" t="str">
        <f t="shared" si="152"/>
        <v/>
      </c>
      <c r="AO147" s="21" t="str">
        <f t="shared" si="102"/>
        <v/>
      </c>
    </row>
    <row r="148" ht="16.5" customHeight="1">
      <c r="J148" s="18"/>
      <c r="K148" s="19"/>
      <c r="L148" s="20"/>
      <c r="M148" s="20"/>
      <c r="N148" s="20"/>
      <c r="O148" s="20"/>
      <c r="P148" s="20"/>
      <c r="Q148" s="20"/>
      <c r="R148" s="20"/>
      <c r="S148" s="20"/>
      <c r="T148" s="20"/>
      <c r="AE148" s="21" t="str">
        <f t="shared" si="100"/>
        <v/>
      </c>
      <c r="AF148" s="21" t="str">
        <f t="shared" ref="AF148:AN148" si="153">if(not(isblank(L148)),", "&amp;L148,"")</f>
        <v/>
      </c>
      <c r="AG148" s="21" t="str">
        <f t="shared" si="153"/>
        <v/>
      </c>
      <c r="AH148" s="21" t="str">
        <f t="shared" si="153"/>
        <v/>
      </c>
      <c r="AI148" s="21" t="str">
        <f t="shared" si="153"/>
        <v/>
      </c>
      <c r="AJ148" s="21" t="str">
        <f t="shared" si="153"/>
        <v/>
      </c>
      <c r="AK148" s="21" t="str">
        <f t="shared" si="153"/>
        <v/>
      </c>
      <c r="AL148" s="21" t="str">
        <f t="shared" si="153"/>
        <v/>
      </c>
      <c r="AM148" s="21" t="str">
        <f t="shared" si="153"/>
        <v/>
      </c>
      <c r="AN148" s="21" t="str">
        <f t="shared" si="153"/>
        <v/>
      </c>
      <c r="AO148" s="21" t="str">
        <f t="shared" si="102"/>
        <v/>
      </c>
    </row>
    <row r="149" ht="16.5" customHeight="1">
      <c r="J149" s="18"/>
      <c r="K149" s="19"/>
      <c r="L149" s="20"/>
      <c r="M149" s="20"/>
      <c r="N149" s="20"/>
      <c r="O149" s="20"/>
      <c r="P149" s="20"/>
      <c r="Q149" s="20"/>
      <c r="R149" s="20"/>
      <c r="S149" s="20"/>
      <c r="T149" s="20"/>
      <c r="AE149" s="21" t="str">
        <f t="shared" si="100"/>
        <v/>
      </c>
      <c r="AF149" s="21" t="str">
        <f t="shared" ref="AF149:AN149" si="154">if(not(isblank(L149)),", "&amp;L149,"")</f>
        <v/>
      </c>
      <c r="AG149" s="21" t="str">
        <f t="shared" si="154"/>
        <v/>
      </c>
      <c r="AH149" s="21" t="str">
        <f t="shared" si="154"/>
        <v/>
      </c>
      <c r="AI149" s="21" t="str">
        <f t="shared" si="154"/>
        <v/>
      </c>
      <c r="AJ149" s="21" t="str">
        <f t="shared" si="154"/>
        <v/>
      </c>
      <c r="AK149" s="21" t="str">
        <f t="shared" si="154"/>
        <v/>
      </c>
      <c r="AL149" s="21" t="str">
        <f t="shared" si="154"/>
        <v/>
      </c>
      <c r="AM149" s="21" t="str">
        <f t="shared" si="154"/>
        <v/>
      </c>
      <c r="AN149" s="21" t="str">
        <f t="shared" si="154"/>
        <v/>
      </c>
      <c r="AO149" s="21" t="str">
        <f t="shared" si="102"/>
        <v/>
      </c>
    </row>
    <row r="150" ht="16.5" customHeight="1">
      <c r="J150" s="18"/>
      <c r="K150" s="19"/>
      <c r="L150" s="20"/>
      <c r="M150" s="20"/>
      <c r="N150" s="20"/>
      <c r="O150" s="20"/>
      <c r="P150" s="20"/>
      <c r="Q150" s="20"/>
      <c r="R150" s="20"/>
      <c r="S150" s="20"/>
      <c r="T150" s="20"/>
      <c r="AE150" s="21" t="str">
        <f t="shared" si="100"/>
        <v/>
      </c>
      <c r="AF150" s="21" t="str">
        <f t="shared" ref="AF150:AN150" si="155">if(not(isblank(L150)),", "&amp;L150,"")</f>
        <v/>
      </c>
      <c r="AG150" s="21" t="str">
        <f t="shared" si="155"/>
        <v/>
      </c>
      <c r="AH150" s="21" t="str">
        <f t="shared" si="155"/>
        <v/>
      </c>
      <c r="AI150" s="21" t="str">
        <f t="shared" si="155"/>
        <v/>
      </c>
      <c r="AJ150" s="21" t="str">
        <f t="shared" si="155"/>
        <v/>
      </c>
      <c r="AK150" s="21" t="str">
        <f t="shared" si="155"/>
        <v/>
      </c>
      <c r="AL150" s="21" t="str">
        <f t="shared" si="155"/>
        <v/>
      </c>
      <c r="AM150" s="21" t="str">
        <f t="shared" si="155"/>
        <v/>
      </c>
      <c r="AN150" s="21" t="str">
        <f t="shared" si="155"/>
        <v/>
      </c>
      <c r="AO150" s="21" t="str">
        <f t="shared" si="102"/>
        <v/>
      </c>
    </row>
    <row r="151" ht="16.5" customHeight="1">
      <c r="J151" s="18"/>
      <c r="K151" s="19"/>
      <c r="L151" s="20"/>
      <c r="M151" s="20"/>
      <c r="N151" s="20"/>
      <c r="O151" s="20"/>
      <c r="P151" s="20"/>
      <c r="Q151" s="20"/>
      <c r="R151" s="20"/>
      <c r="S151" s="20"/>
      <c r="T151" s="20"/>
      <c r="AE151" s="21" t="str">
        <f t="shared" si="100"/>
        <v/>
      </c>
      <c r="AF151" s="21" t="str">
        <f t="shared" ref="AF151:AN151" si="156">if(not(isblank(L151)),", "&amp;L151,"")</f>
        <v/>
      </c>
      <c r="AG151" s="21" t="str">
        <f t="shared" si="156"/>
        <v/>
      </c>
      <c r="AH151" s="21" t="str">
        <f t="shared" si="156"/>
        <v/>
      </c>
      <c r="AI151" s="21" t="str">
        <f t="shared" si="156"/>
        <v/>
      </c>
      <c r="AJ151" s="21" t="str">
        <f t="shared" si="156"/>
        <v/>
      </c>
      <c r="AK151" s="21" t="str">
        <f t="shared" si="156"/>
        <v/>
      </c>
      <c r="AL151" s="21" t="str">
        <f t="shared" si="156"/>
        <v/>
      </c>
      <c r="AM151" s="21" t="str">
        <f t="shared" si="156"/>
        <v/>
      </c>
      <c r="AN151" s="21" t="str">
        <f t="shared" si="156"/>
        <v/>
      </c>
      <c r="AO151" s="21" t="str">
        <f t="shared" si="102"/>
        <v/>
      </c>
    </row>
    <row r="152" ht="16.5" customHeight="1">
      <c r="J152" s="18"/>
      <c r="K152" s="19"/>
      <c r="L152" s="20"/>
      <c r="M152" s="20"/>
      <c r="N152" s="20"/>
      <c r="O152" s="20"/>
      <c r="P152" s="20"/>
      <c r="Q152" s="20"/>
      <c r="R152" s="20"/>
      <c r="S152" s="20"/>
      <c r="T152" s="20"/>
      <c r="AE152" s="21" t="str">
        <f t="shared" si="100"/>
        <v/>
      </c>
      <c r="AF152" s="21" t="str">
        <f t="shared" ref="AF152:AN152" si="157">if(not(isblank(L152)),", "&amp;L152,"")</f>
        <v/>
      </c>
      <c r="AG152" s="21" t="str">
        <f t="shared" si="157"/>
        <v/>
      </c>
      <c r="AH152" s="21" t="str">
        <f t="shared" si="157"/>
        <v/>
      </c>
      <c r="AI152" s="21" t="str">
        <f t="shared" si="157"/>
        <v/>
      </c>
      <c r="AJ152" s="21" t="str">
        <f t="shared" si="157"/>
        <v/>
      </c>
      <c r="AK152" s="21" t="str">
        <f t="shared" si="157"/>
        <v/>
      </c>
      <c r="AL152" s="21" t="str">
        <f t="shared" si="157"/>
        <v/>
      </c>
      <c r="AM152" s="21" t="str">
        <f t="shared" si="157"/>
        <v/>
      </c>
      <c r="AN152" s="21" t="str">
        <f t="shared" si="157"/>
        <v/>
      </c>
      <c r="AO152" s="21" t="str">
        <f t="shared" si="102"/>
        <v/>
      </c>
    </row>
    <row r="153" ht="16.5" customHeight="1">
      <c r="J153" s="18"/>
      <c r="K153" s="19"/>
      <c r="L153" s="19"/>
      <c r="M153" s="19"/>
      <c r="N153" s="19"/>
      <c r="O153" s="19"/>
      <c r="P153" s="19"/>
      <c r="Q153" s="20"/>
      <c r="R153" s="20"/>
      <c r="S153" s="20"/>
      <c r="T153" s="20"/>
      <c r="AE153" s="21" t="str">
        <f t="shared" si="100"/>
        <v/>
      </c>
      <c r="AF153" s="21" t="str">
        <f t="shared" ref="AF153:AN153" si="158">if(not(isblank(L153)),", "&amp;L153,"")</f>
        <v/>
      </c>
      <c r="AG153" s="21" t="str">
        <f t="shared" si="158"/>
        <v/>
      </c>
      <c r="AH153" s="21" t="str">
        <f t="shared" si="158"/>
        <v/>
      </c>
      <c r="AI153" s="21" t="str">
        <f t="shared" si="158"/>
        <v/>
      </c>
      <c r="AJ153" s="21" t="str">
        <f t="shared" si="158"/>
        <v/>
      </c>
      <c r="AK153" s="21" t="str">
        <f t="shared" si="158"/>
        <v/>
      </c>
      <c r="AL153" s="21" t="str">
        <f t="shared" si="158"/>
        <v/>
      </c>
      <c r="AM153" s="21" t="str">
        <f t="shared" si="158"/>
        <v/>
      </c>
      <c r="AN153" s="21" t="str">
        <f t="shared" si="158"/>
        <v/>
      </c>
      <c r="AO153" s="21" t="str">
        <f t="shared" si="102"/>
        <v/>
      </c>
    </row>
    <row r="154" ht="16.5" customHeight="1">
      <c r="J154" s="18"/>
      <c r="K154" s="19"/>
      <c r="L154" s="19"/>
      <c r="M154" s="19"/>
      <c r="N154" s="19"/>
      <c r="O154" s="19"/>
      <c r="P154" s="19"/>
      <c r="Q154" s="20"/>
      <c r="R154" s="20"/>
      <c r="S154" s="20"/>
      <c r="T154" s="20"/>
      <c r="AE154" s="21" t="str">
        <f t="shared" si="100"/>
        <v/>
      </c>
      <c r="AF154" s="21" t="str">
        <f t="shared" ref="AF154:AN154" si="159">if(not(isblank(L154)),", "&amp;L154,"")</f>
        <v/>
      </c>
      <c r="AG154" s="21" t="str">
        <f t="shared" si="159"/>
        <v/>
      </c>
      <c r="AH154" s="21" t="str">
        <f t="shared" si="159"/>
        <v/>
      </c>
      <c r="AI154" s="21" t="str">
        <f t="shared" si="159"/>
        <v/>
      </c>
      <c r="AJ154" s="21" t="str">
        <f t="shared" si="159"/>
        <v/>
      </c>
      <c r="AK154" s="21" t="str">
        <f t="shared" si="159"/>
        <v/>
      </c>
      <c r="AL154" s="21" t="str">
        <f t="shared" si="159"/>
        <v/>
      </c>
      <c r="AM154" s="21" t="str">
        <f t="shared" si="159"/>
        <v/>
      </c>
      <c r="AN154" s="21" t="str">
        <f t="shared" si="159"/>
        <v/>
      </c>
      <c r="AO154" s="21" t="str">
        <f t="shared" si="102"/>
        <v/>
      </c>
    </row>
    <row r="155" ht="16.5" customHeight="1">
      <c r="J155" s="18"/>
      <c r="K155" s="19"/>
      <c r="L155" s="19"/>
      <c r="M155" s="19"/>
      <c r="N155" s="19"/>
      <c r="O155" s="19"/>
      <c r="P155" s="19"/>
      <c r="Q155" s="20"/>
      <c r="R155" s="20"/>
      <c r="S155" s="20"/>
      <c r="T155" s="20"/>
      <c r="AE155" s="21" t="str">
        <f t="shared" si="100"/>
        <v/>
      </c>
      <c r="AF155" s="21" t="str">
        <f t="shared" ref="AF155:AN155" si="160">if(not(isblank(L155)),", "&amp;L155,"")</f>
        <v/>
      </c>
      <c r="AG155" s="21" t="str">
        <f t="shared" si="160"/>
        <v/>
      </c>
      <c r="AH155" s="21" t="str">
        <f t="shared" si="160"/>
        <v/>
      </c>
      <c r="AI155" s="21" t="str">
        <f t="shared" si="160"/>
        <v/>
      </c>
      <c r="AJ155" s="21" t="str">
        <f t="shared" si="160"/>
        <v/>
      </c>
      <c r="AK155" s="21" t="str">
        <f t="shared" si="160"/>
        <v/>
      </c>
      <c r="AL155" s="21" t="str">
        <f t="shared" si="160"/>
        <v/>
      </c>
      <c r="AM155" s="21" t="str">
        <f t="shared" si="160"/>
        <v/>
      </c>
      <c r="AN155" s="21" t="str">
        <f t="shared" si="160"/>
        <v/>
      </c>
      <c r="AO155" s="21" t="str">
        <f t="shared" si="102"/>
        <v/>
      </c>
    </row>
    <row r="156" ht="16.5" customHeight="1">
      <c r="J156" s="18"/>
      <c r="K156" s="19"/>
      <c r="L156" s="19"/>
      <c r="M156" s="19"/>
      <c r="N156" s="19"/>
      <c r="O156" s="19"/>
      <c r="P156" s="19"/>
      <c r="Q156" s="20"/>
      <c r="R156" s="20"/>
      <c r="S156" s="20"/>
      <c r="T156" s="20"/>
      <c r="AE156" s="21" t="str">
        <f t="shared" si="100"/>
        <v/>
      </c>
      <c r="AF156" s="21" t="str">
        <f t="shared" ref="AF156:AN156" si="161">if(not(isblank(L156)),", "&amp;L156,"")</f>
        <v/>
      </c>
      <c r="AG156" s="21" t="str">
        <f t="shared" si="161"/>
        <v/>
      </c>
      <c r="AH156" s="21" t="str">
        <f t="shared" si="161"/>
        <v/>
      </c>
      <c r="AI156" s="21" t="str">
        <f t="shared" si="161"/>
        <v/>
      </c>
      <c r="AJ156" s="21" t="str">
        <f t="shared" si="161"/>
        <v/>
      </c>
      <c r="AK156" s="21" t="str">
        <f t="shared" si="161"/>
        <v/>
      </c>
      <c r="AL156" s="21" t="str">
        <f t="shared" si="161"/>
        <v/>
      </c>
      <c r="AM156" s="21" t="str">
        <f t="shared" si="161"/>
        <v/>
      </c>
      <c r="AN156" s="21" t="str">
        <f t="shared" si="161"/>
        <v/>
      </c>
      <c r="AO156" s="21" t="str">
        <f t="shared" si="102"/>
        <v/>
      </c>
    </row>
    <row r="157" ht="16.5" customHeight="1">
      <c r="J157" s="18"/>
      <c r="K157" s="19"/>
      <c r="L157" s="19"/>
      <c r="M157" s="19"/>
      <c r="N157" s="19"/>
      <c r="O157" s="19"/>
      <c r="P157" s="19"/>
      <c r="Q157" s="20"/>
      <c r="R157" s="20"/>
      <c r="S157" s="20"/>
      <c r="T157" s="20"/>
      <c r="AE157" s="21" t="str">
        <f t="shared" si="100"/>
        <v/>
      </c>
      <c r="AF157" s="21" t="str">
        <f t="shared" ref="AF157:AN157" si="162">if(not(isblank(L157)),", "&amp;L157,"")</f>
        <v/>
      </c>
      <c r="AG157" s="21" t="str">
        <f t="shared" si="162"/>
        <v/>
      </c>
      <c r="AH157" s="21" t="str">
        <f t="shared" si="162"/>
        <v/>
      </c>
      <c r="AI157" s="21" t="str">
        <f t="shared" si="162"/>
        <v/>
      </c>
      <c r="AJ157" s="21" t="str">
        <f t="shared" si="162"/>
        <v/>
      </c>
      <c r="AK157" s="21" t="str">
        <f t="shared" si="162"/>
        <v/>
      </c>
      <c r="AL157" s="21" t="str">
        <f t="shared" si="162"/>
        <v/>
      </c>
      <c r="AM157" s="21" t="str">
        <f t="shared" si="162"/>
        <v/>
      </c>
      <c r="AN157" s="21" t="str">
        <f t="shared" si="162"/>
        <v/>
      </c>
      <c r="AO157" s="21" t="str">
        <f t="shared" si="102"/>
        <v/>
      </c>
    </row>
    <row r="158" ht="16.5" customHeight="1">
      <c r="J158" s="18"/>
      <c r="K158" s="19"/>
      <c r="L158" s="19"/>
      <c r="M158" s="19"/>
      <c r="N158" s="19"/>
      <c r="O158" s="19"/>
      <c r="P158" s="19"/>
      <c r="Q158" s="20"/>
      <c r="R158" s="20"/>
      <c r="S158" s="20"/>
      <c r="T158" s="20"/>
      <c r="AE158" s="21" t="str">
        <f t="shared" si="100"/>
        <v/>
      </c>
      <c r="AF158" s="21" t="str">
        <f t="shared" ref="AF158:AN158" si="163">if(not(isblank(L158)),", "&amp;L158,"")</f>
        <v/>
      </c>
      <c r="AG158" s="21" t="str">
        <f t="shared" si="163"/>
        <v/>
      </c>
      <c r="AH158" s="21" t="str">
        <f t="shared" si="163"/>
        <v/>
      </c>
      <c r="AI158" s="21" t="str">
        <f t="shared" si="163"/>
        <v/>
      </c>
      <c r="AJ158" s="21" t="str">
        <f t="shared" si="163"/>
        <v/>
      </c>
      <c r="AK158" s="21" t="str">
        <f t="shared" si="163"/>
        <v/>
      </c>
      <c r="AL158" s="21" t="str">
        <f t="shared" si="163"/>
        <v/>
      </c>
      <c r="AM158" s="21" t="str">
        <f t="shared" si="163"/>
        <v/>
      </c>
      <c r="AN158" s="21" t="str">
        <f t="shared" si="163"/>
        <v/>
      </c>
      <c r="AO158" s="21" t="str">
        <f t="shared" si="102"/>
        <v/>
      </c>
    </row>
    <row r="159" ht="16.5" customHeight="1">
      <c r="J159" s="18"/>
      <c r="K159" s="19"/>
      <c r="L159" s="19"/>
      <c r="M159" s="19"/>
      <c r="N159" s="19"/>
      <c r="O159" s="19"/>
      <c r="P159" s="19"/>
      <c r="Q159" s="20"/>
      <c r="R159" s="20"/>
      <c r="S159" s="20"/>
      <c r="T159" s="20"/>
      <c r="AE159" s="21" t="str">
        <f t="shared" si="100"/>
        <v/>
      </c>
      <c r="AF159" s="21" t="str">
        <f t="shared" ref="AF159:AN159" si="164">if(not(isblank(L159)),", "&amp;L159,"")</f>
        <v/>
      </c>
      <c r="AG159" s="21" t="str">
        <f t="shared" si="164"/>
        <v/>
      </c>
      <c r="AH159" s="21" t="str">
        <f t="shared" si="164"/>
        <v/>
      </c>
      <c r="AI159" s="21" t="str">
        <f t="shared" si="164"/>
        <v/>
      </c>
      <c r="AJ159" s="21" t="str">
        <f t="shared" si="164"/>
        <v/>
      </c>
      <c r="AK159" s="21" t="str">
        <f t="shared" si="164"/>
        <v/>
      </c>
      <c r="AL159" s="21" t="str">
        <f t="shared" si="164"/>
        <v/>
      </c>
      <c r="AM159" s="21" t="str">
        <f t="shared" si="164"/>
        <v/>
      </c>
      <c r="AN159" s="21" t="str">
        <f t="shared" si="164"/>
        <v/>
      </c>
      <c r="AO159" s="21" t="str">
        <f t="shared" si="102"/>
        <v/>
      </c>
    </row>
    <row r="160" ht="16.5" customHeight="1">
      <c r="J160" s="18"/>
      <c r="K160" s="19"/>
      <c r="L160" s="20"/>
      <c r="M160" s="20"/>
      <c r="N160" s="20"/>
      <c r="O160" s="20"/>
      <c r="P160" s="20"/>
      <c r="Q160" s="20"/>
      <c r="R160" s="20"/>
      <c r="S160" s="20"/>
      <c r="T160" s="20"/>
      <c r="AE160" s="21" t="str">
        <f t="shared" si="100"/>
        <v/>
      </c>
      <c r="AF160" s="21" t="str">
        <f t="shared" ref="AF160:AN160" si="165">if(not(isblank(L160)),", "&amp;L160,"")</f>
        <v/>
      </c>
      <c r="AG160" s="21" t="str">
        <f t="shared" si="165"/>
        <v/>
      </c>
      <c r="AH160" s="21" t="str">
        <f t="shared" si="165"/>
        <v/>
      </c>
      <c r="AI160" s="21" t="str">
        <f t="shared" si="165"/>
        <v/>
      </c>
      <c r="AJ160" s="21" t="str">
        <f t="shared" si="165"/>
        <v/>
      </c>
      <c r="AK160" s="21" t="str">
        <f t="shared" si="165"/>
        <v/>
      </c>
      <c r="AL160" s="21" t="str">
        <f t="shared" si="165"/>
        <v/>
      </c>
      <c r="AM160" s="21" t="str">
        <f t="shared" si="165"/>
        <v/>
      </c>
      <c r="AN160" s="21" t="str">
        <f t="shared" si="165"/>
        <v/>
      </c>
      <c r="AO160" s="21" t="str">
        <f t="shared" si="102"/>
        <v/>
      </c>
    </row>
    <row r="161" ht="16.5" customHeight="1">
      <c r="J161" s="18"/>
      <c r="K161" s="19"/>
      <c r="L161" s="20"/>
      <c r="M161" s="20"/>
      <c r="N161" s="20"/>
      <c r="O161" s="20"/>
      <c r="P161" s="20"/>
      <c r="Q161" s="20"/>
      <c r="R161" s="20"/>
      <c r="S161" s="20"/>
      <c r="T161" s="20"/>
      <c r="AE161" s="21" t="str">
        <f t="shared" si="100"/>
        <v/>
      </c>
      <c r="AF161" s="21" t="str">
        <f t="shared" ref="AF161:AN161" si="166">if(not(isblank(L161)),", "&amp;L161,"")</f>
        <v/>
      </c>
      <c r="AG161" s="21" t="str">
        <f t="shared" si="166"/>
        <v/>
      </c>
      <c r="AH161" s="21" t="str">
        <f t="shared" si="166"/>
        <v/>
      </c>
      <c r="AI161" s="21" t="str">
        <f t="shared" si="166"/>
        <v/>
      </c>
      <c r="AJ161" s="21" t="str">
        <f t="shared" si="166"/>
        <v/>
      </c>
      <c r="AK161" s="21" t="str">
        <f t="shared" si="166"/>
        <v/>
      </c>
      <c r="AL161" s="21" t="str">
        <f t="shared" si="166"/>
        <v/>
      </c>
      <c r="AM161" s="21" t="str">
        <f t="shared" si="166"/>
        <v/>
      </c>
      <c r="AN161" s="21" t="str">
        <f t="shared" si="166"/>
        <v/>
      </c>
      <c r="AO161" s="21" t="str">
        <f t="shared" si="102"/>
        <v/>
      </c>
    </row>
    <row r="162" ht="16.5" customHeight="1">
      <c r="J162" s="18"/>
      <c r="K162" s="19"/>
      <c r="L162" s="20"/>
      <c r="M162" s="20"/>
      <c r="N162" s="20"/>
      <c r="O162" s="20"/>
      <c r="P162" s="20"/>
      <c r="Q162" s="20"/>
      <c r="R162" s="20"/>
      <c r="S162" s="20"/>
      <c r="T162" s="20"/>
      <c r="AE162" s="21" t="str">
        <f t="shared" si="100"/>
        <v/>
      </c>
      <c r="AF162" s="21" t="str">
        <f t="shared" ref="AF162:AN162" si="167">if(not(isblank(L162)),", "&amp;L162,"")</f>
        <v/>
      </c>
      <c r="AG162" s="21" t="str">
        <f t="shared" si="167"/>
        <v/>
      </c>
      <c r="AH162" s="21" t="str">
        <f t="shared" si="167"/>
        <v/>
      </c>
      <c r="AI162" s="21" t="str">
        <f t="shared" si="167"/>
        <v/>
      </c>
      <c r="AJ162" s="21" t="str">
        <f t="shared" si="167"/>
        <v/>
      </c>
      <c r="AK162" s="21" t="str">
        <f t="shared" si="167"/>
        <v/>
      </c>
      <c r="AL162" s="21" t="str">
        <f t="shared" si="167"/>
        <v/>
      </c>
      <c r="AM162" s="21" t="str">
        <f t="shared" si="167"/>
        <v/>
      </c>
      <c r="AN162" s="21" t="str">
        <f t="shared" si="167"/>
        <v/>
      </c>
      <c r="AO162" s="21" t="str">
        <f t="shared" si="102"/>
        <v/>
      </c>
    </row>
    <row r="163" ht="16.5" customHeight="1">
      <c r="J163" s="18"/>
      <c r="K163" s="19"/>
      <c r="L163" s="20"/>
      <c r="M163" s="20"/>
      <c r="N163" s="20"/>
      <c r="O163" s="20"/>
      <c r="P163" s="20"/>
      <c r="Q163" s="20"/>
      <c r="R163" s="20"/>
      <c r="S163" s="20"/>
      <c r="T163" s="20"/>
      <c r="AE163" s="21" t="str">
        <f t="shared" si="100"/>
        <v/>
      </c>
      <c r="AF163" s="21" t="str">
        <f t="shared" ref="AF163:AN163" si="168">if(not(isblank(L163)),", "&amp;L163,"")</f>
        <v/>
      </c>
      <c r="AG163" s="21" t="str">
        <f t="shared" si="168"/>
        <v/>
      </c>
      <c r="AH163" s="21" t="str">
        <f t="shared" si="168"/>
        <v/>
      </c>
      <c r="AI163" s="21" t="str">
        <f t="shared" si="168"/>
        <v/>
      </c>
      <c r="AJ163" s="21" t="str">
        <f t="shared" si="168"/>
        <v/>
      </c>
      <c r="AK163" s="21" t="str">
        <f t="shared" si="168"/>
        <v/>
      </c>
      <c r="AL163" s="21" t="str">
        <f t="shared" si="168"/>
        <v/>
      </c>
      <c r="AM163" s="21" t="str">
        <f t="shared" si="168"/>
        <v/>
      </c>
      <c r="AN163" s="21" t="str">
        <f t="shared" si="168"/>
        <v/>
      </c>
      <c r="AO163" s="21" t="str">
        <f t="shared" si="102"/>
        <v/>
      </c>
    </row>
    <row r="164" ht="16.5" customHeight="1">
      <c r="J164" s="18"/>
      <c r="K164" s="19"/>
      <c r="L164" s="20"/>
      <c r="M164" s="20"/>
      <c r="N164" s="20"/>
      <c r="O164" s="20"/>
      <c r="P164" s="20"/>
      <c r="Q164" s="20"/>
      <c r="R164" s="20"/>
      <c r="S164" s="20"/>
      <c r="T164" s="20"/>
      <c r="AE164" s="21" t="str">
        <f t="shared" si="100"/>
        <v/>
      </c>
      <c r="AF164" s="21" t="str">
        <f t="shared" ref="AF164:AN164" si="169">if(not(isblank(L164)),", "&amp;L164,"")</f>
        <v/>
      </c>
      <c r="AG164" s="21" t="str">
        <f t="shared" si="169"/>
        <v/>
      </c>
      <c r="AH164" s="21" t="str">
        <f t="shared" si="169"/>
        <v/>
      </c>
      <c r="AI164" s="21" t="str">
        <f t="shared" si="169"/>
        <v/>
      </c>
      <c r="AJ164" s="21" t="str">
        <f t="shared" si="169"/>
        <v/>
      </c>
      <c r="AK164" s="21" t="str">
        <f t="shared" si="169"/>
        <v/>
      </c>
      <c r="AL164" s="21" t="str">
        <f t="shared" si="169"/>
        <v/>
      </c>
      <c r="AM164" s="21" t="str">
        <f t="shared" si="169"/>
        <v/>
      </c>
      <c r="AN164" s="21" t="str">
        <f t="shared" si="169"/>
        <v/>
      </c>
      <c r="AO164" s="21" t="str">
        <f t="shared" si="102"/>
        <v/>
      </c>
    </row>
    <row r="165" ht="16.5" customHeight="1">
      <c r="J165" s="18"/>
      <c r="K165" s="19"/>
      <c r="L165" s="20"/>
      <c r="M165" s="20"/>
      <c r="N165" s="20"/>
      <c r="O165" s="20"/>
      <c r="P165" s="20"/>
      <c r="Q165" s="20"/>
      <c r="R165" s="20"/>
      <c r="S165" s="20"/>
      <c r="T165" s="20"/>
      <c r="AE165" s="21" t="str">
        <f t="shared" si="100"/>
        <v/>
      </c>
      <c r="AF165" s="21" t="str">
        <f t="shared" ref="AF165:AN165" si="170">if(not(isblank(L165)),", "&amp;L165,"")</f>
        <v/>
      </c>
      <c r="AG165" s="21" t="str">
        <f t="shared" si="170"/>
        <v/>
      </c>
      <c r="AH165" s="21" t="str">
        <f t="shared" si="170"/>
        <v/>
      </c>
      <c r="AI165" s="21" t="str">
        <f t="shared" si="170"/>
        <v/>
      </c>
      <c r="AJ165" s="21" t="str">
        <f t="shared" si="170"/>
        <v/>
      </c>
      <c r="AK165" s="21" t="str">
        <f t="shared" si="170"/>
        <v/>
      </c>
      <c r="AL165" s="21" t="str">
        <f t="shared" si="170"/>
        <v/>
      </c>
      <c r="AM165" s="21" t="str">
        <f t="shared" si="170"/>
        <v/>
      </c>
      <c r="AN165" s="21" t="str">
        <f t="shared" si="170"/>
        <v/>
      </c>
      <c r="AO165" s="21" t="str">
        <f t="shared" si="102"/>
        <v/>
      </c>
    </row>
    <row r="166" ht="16.5" customHeight="1">
      <c r="J166" s="18"/>
      <c r="K166" s="19"/>
      <c r="L166" s="20"/>
      <c r="M166" s="20"/>
      <c r="N166" s="20"/>
      <c r="O166" s="20"/>
      <c r="P166" s="20"/>
      <c r="Q166" s="20"/>
      <c r="R166" s="20"/>
      <c r="S166" s="20"/>
      <c r="T166" s="20"/>
      <c r="AE166" s="21" t="str">
        <f t="shared" si="100"/>
        <v/>
      </c>
      <c r="AF166" s="21" t="str">
        <f t="shared" ref="AF166:AN166" si="171">if(not(isblank(L166)),", "&amp;L166,"")</f>
        <v/>
      </c>
      <c r="AG166" s="21" t="str">
        <f t="shared" si="171"/>
        <v/>
      </c>
      <c r="AH166" s="21" t="str">
        <f t="shared" si="171"/>
        <v/>
      </c>
      <c r="AI166" s="21" t="str">
        <f t="shared" si="171"/>
        <v/>
      </c>
      <c r="AJ166" s="21" t="str">
        <f t="shared" si="171"/>
        <v/>
      </c>
      <c r="AK166" s="21" t="str">
        <f t="shared" si="171"/>
        <v/>
      </c>
      <c r="AL166" s="21" t="str">
        <f t="shared" si="171"/>
        <v/>
      </c>
      <c r="AM166" s="21" t="str">
        <f t="shared" si="171"/>
        <v/>
      </c>
      <c r="AN166" s="21" t="str">
        <f t="shared" si="171"/>
        <v/>
      </c>
      <c r="AO166" s="21" t="str">
        <f t="shared" si="102"/>
        <v/>
      </c>
    </row>
    <row r="167" ht="16.5" customHeight="1">
      <c r="J167" s="18"/>
      <c r="K167" s="19"/>
      <c r="L167" s="20"/>
      <c r="M167" s="20"/>
      <c r="N167" s="20"/>
      <c r="O167" s="20"/>
      <c r="P167" s="20"/>
      <c r="Q167" s="20"/>
      <c r="R167" s="20"/>
      <c r="S167" s="20"/>
      <c r="T167" s="20"/>
      <c r="AE167" s="21" t="str">
        <f t="shared" si="100"/>
        <v/>
      </c>
      <c r="AF167" s="21" t="str">
        <f t="shared" ref="AF167:AN167" si="172">if(not(isblank(L167)),", "&amp;L167,"")</f>
        <v/>
      </c>
      <c r="AG167" s="21" t="str">
        <f t="shared" si="172"/>
        <v/>
      </c>
      <c r="AH167" s="21" t="str">
        <f t="shared" si="172"/>
        <v/>
      </c>
      <c r="AI167" s="21" t="str">
        <f t="shared" si="172"/>
        <v/>
      </c>
      <c r="AJ167" s="21" t="str">
        <f t="shared" si="172"/>
        <v/>
      </c>
      <c r="AK167" s="21" t="str">
        <f t="shared" si="172"/>
        <v/>
      </c>
      <c r="AL167" s="21" t="str">
        <f t="shared" si="172"/>
        <v/>
      </c>
      <c r="AM167" s="21" t="str">
        <f t="shared" si="172"/>
        <v/>
      </c>
      <c r="AN167" s="21" t="str">
        <f t="shared" si="172"/>
        <v/>
      </c>
      <c r="AO167" s="21" t="str">
        <f t="shared" si="102"/>
        <v/>
      </c>
    </row>
    <row r="168" ht="16.5" customHeight="1">
      <c r="J168" s="18"/>
      <c r="K168" s="19"/>
      <c r="L168" s="20"/>
      <c r="M168" s="20"/>
      <c r="N168" s="20"/>
      <c r="O168" s="20"/>
      <c r="P168" s="20"/>
      <c r="Q168" s="20"/>
      <c r="R168" s="20"/>
      <c r="S168" s="20"/>
      <c r="T168" s="20"/>
      <c r="AE168" s="21" t="str">
        <f t="shared" si="100"/>
        <v/>
      </c>
      <c r="AF168" s="21" t="str">
        <f t="shared" ref="AF168:AN168" si="173">if(not(isblank(L168)),", "&amp;L168,"")</f>
        <v/>
      </c>
      <c r="AG168" s="21" t="str">
        <f t="shared" si="173"/>
        <v/>
      </c>
      <c r="AH168" s="21" t="str">
        <f t="shared" si="173"/>
        <v/>
      </c>
      <c r="AI168" s="21" t="str">
        <f t="shared" si="173"/>
        <v/>
      </c>
      <c r="AJ168" s="21" t="str">
        <f t="shared" si="173"/>
        <v/>
      </c>
      <c r="AK168" s="21" t="str">
        <f t="shared" si="173"/>
        <v/>
      </c>
      <c r="AL168" s="21" t="str">
        <f t="shared" si="173"/>
        <v/>
      </c>
      <c r="AM168" s="21" t="str">
        <f t="shared" si="173"/>
        <v/>
      </c>
      <c r="AN168" s="21" t="str">
        <f t="shared" si="173"/>
        <v/>
      </c>
      <c r="AO168" s="21" t="str">
        <f t="shared" si="102"/>
        <v/>
      </c>
    </row>
    <row r="169" ht="16.5" customHeight="1">
      <c r="J169" s="18"/>
      <c r="K169" s="19"/>
      <c r="L169" s="20"/>
      <c r="M169" s="20"/>
      <c r="N169" s="20"/>
      <c r="O169" s="20"/>
      <c r="P169" s="20"/>
      <c r="Q169" s="20"/>
      <c r="R169" s="20"/>
      <c r="S169" s="20"/>
      <c r="T169" s="20"/>
      <c r="AE169" s="21" t="str">
        <f t="shared" si="100"/>
        <v/>
      </c>
      <c r="AF169" s="21" t="str">
        <f t="shared" ref="AF169:AN169" si="174">if(not(isblank(L169)),", "&amp;L169,"")</f>
        <v/>
      </c>
      <c r="AG169" s="21" t="str">
        <f t="shared" si="174"/>
        <v/>
      </c>
      <c r="AH169" s="21" t="str">
        <f t="shared" si="174"/>
        <v/>
      </c>
      <c r="AI169" s="21" t="str">
        <f t="shared" si="174"/>
        <v/>
      </c>
      <c r="AJ169" s="21" t="str">
        <f t="shared" si="174"/>
        <v/>
      </c>
      <c r="AK169" s="21" t="str">
        <f t="shared" si="174"/>
        <v/>
      </c>
      <c r="AL169" s="21" t="str">
        <f t="shared" si="174"/>
        <v/>
      </c>
      <c r="AM169" s="21" t="str">
        <f t="shared" si="174"/>
        <v/>
      </c>
      <c r="AN169" s="21" t="str">
        <f t="shared" si="174"/>
        <v/>
      </c>
      <c r="AO169" s="21" t="str">
        <f t="shared" si="102"/>
        <v/>
      </c>
    </row>
    <row r="170" ht="16.5" customHeight="1">
      <c r="J170" s="18"/>
      <c r="K170" s="19"/>
      <c r="L170" s="20"/>
      <c r="M170" s="20"/>
      <c r="N170" s="20"/>
      <c r="O170" s="20"/>
      <c r="P170" s="20"/>
      <c r="Q170" s="20"/>
      <c r="R170" s="20"/>
      <c r="S170" s="20"/>
      <c r="T170" s="20"/>
      <c r="AE170" s="21" t="str">
        <f t="shared" si="100"/>
        <v/>
      </c>
      <c r="AF170" s="21" t="str">
        <f t="shared" ref="AF170:AN170" si="175">if(not(isblank(L170)),", "&amp;L170,"")</f>
        <v/>
      </c>
      <c r="AG170" s="21" t="str">
        <f t="shared" si="175"/>
        <v/>
      </c>
      <c r="AH170" s="21" t="str">
        <f t="shared" si="175"/>
        <v/>
      </c>
      <c r="AI170" s="21" t="str">
        <f t="shared" si="175"/>
        <v/>
      </c>
      <c r="AJ170" s="21" t="str">
        <f t="shared" si="175"/>
        <v/>
      </c>
      <c r="AK170" s="21" t="str">
        <f t="shared" si="175"/>
        <v/>
      </c>
      <c r="AL170" s="21" t="str">
        <f t="shared" si="175"/>
        <v/>
      </c>
      <c r="AM170" s="21" t="str">
        <f t="shared" si="175"/>
        <v/>
      </c>
      <c r="AN170" s="21" t="str">
        <f t="shared" si="175"/>
        <v/>
      </c>
      <c r="AO170" s="21" t="str">
        <f t="shared" si="102"/>
        <v/>
      </c>
    </row>
    <row r="171" ht="16.5" customHeight="1">
      <c r="J171" s="18"/>
      <c r="K171" s="19"/>
      <c r="L171" s="20"/>
      <c r="M171" s="20"/>
      <c r="N171" s="20"/>
      <c r="O171" s="20"/>
      <c r="P171" s="20"/>
      <c r="Q171" s="20"/>
      <c r="R171" s="20"/>
      <c r="S171" s="20"/>
      <c r="T171" s="20"/>
      <c r="AE171" s="21" t="str">
        <f t="shared" si="100"/>
        <v/>
      </c>
      <c r="AF171" s="21" t="str">
        <f t="shared" ref="AF171:AN171" si="176">if(not(isblank(L171)),", "&amp;L171,"")</f>
        <v/>
      </c>
      <c r="AG171" s="21" t="str">
        <f t="shared" si="176"/>
        <v/>
      </c>
      <c r="AH171" s="21" t="str">
        <f t="shared" si="176"/>
        <v/>
      </c>
      <c r="AI171" s="21" t="str">
        <f t="shared" si="176"/>
        <v/>
      </c>
      <c r="AJ171" s="21" t="str">
        <f t="shared" si="176"/>
        <v/>
      </c>
      <c r="AK171" s="21" t="str">
        <f t="shared" si="176"/>
        <v/>
      </c>
      <c r="AL171" s="21" t="str">
        <f t="shared" si="176"/>
        <v/>
      </c>
      <c r="AM171" s="21" t="str">
        <f t="shared" si="176"/>
        <v/>
      </c>
      <c r="AN171" s="21" t="str">
        <f t="shared" si="176"/>
        <v/>
      </c>
      <c r="AO171" s="21" t="str">
        <f t="shared" si="102"/>
        <v/>
      </c>
    </row>
    <row r="172" ht="16.5" customHeight="1">
      <c r="J172" s="18"/>
      <c r="K172" s="19"/>
      <c r="L172" s="20"/>
      <c r="M172" s="20"/>
      <c r="N172" s="20"/>
      <c r="O172" s="20"/>
      <c r="P172" s="20"/>
      <c r="Q172" s="20"/>
      <c r="R172" s="20"/>
      <c r="S172" s="20"/>
      <c r="T172" s="20"/>
      <c r="AE172" s="21" t="str">
        <f t="shared" si="100"/>
        <v/>
      </c>
      <c r="AF172" s="21" t="str">
        <f t="shared" ref="AF172:AN172" si="177">if(not(isblank(L172)),", "&amp;L172,"")</f>
        <v/>
      </c>
      <c r="AG172" s="21" t="str">
        <f t="shared" si="177"/>
        <v/>
      </c>
      <c r="AH172" s="21" t="str">
        <f t="shared" si="177"/>
        <v/>
      </c>
      <c r="AI172" s="21" t="str">
        <f t="shared" si="177"/>
        <v/>
      </c>
      <c r="AJ172" s="21" t="str">
        <f t="shared" si="177"/>
        <v/>
      </c>
      <c r="AK172" s="21" t="str">
        <f t="shared" si="177"/>
        <v/>
      </c>
      <c r="AL172" s="21" t="str">
        <f t="shared" si="177"/>
        <v/>
      </c>
      <c r="AM172" s="21" t="str">
        <f t="shared" si="177"/>
        <v/>
      </c>
      <c r="AN172" s="21" t="str">
        <f t="shared" si="177"/>
        <v/>
      </c>
      <c r="AO172" s="21" t="str">
        <f t="shared" si="102"/>
        <v/>
      </c>
    </row>
    <row r="173" ht="16.5" customHeight="1">
      <c r="J173" s="18"/>
      <c r="K173" s="19"/>
      <c r="L173" s="20"/>
      <c r="M173" s="20"/>
      <c r="N173" s="20"/>
      <c r="O173" s="20"/>
      <c r="P173" s="20"/>
      <c r="Q173" s="20"/>
      <c r="R173" s="20"/>
      <c r="S173" s="20"/>
      <c r="T173" s="20"/>
      <c r="AE173" s="21" t="str">
        <f t="shared" si="100"/>
        <v/>
      </c>
      <c r="AF173" s="21" t="str">
        <f t="shared" ref="AF173:AN173" si="178">if(not(isblank(L173)),", "&amp;L173,"")</f>
        <v/>
      </c>
      <c r="AG173" s="21" t="str">
        <f t="shared" si="178"/>
        <v/>
      </c>
      <c r="AH173" s="21" t="str">
        <f t="shared" si="178"/>
        <v/>
      </c>
      <c r="AI173" s="21" t="str">
        <f t="shared" si="178"/>
        <v/>
      </c>
      <c r="AJ173" s="21" t="str">
        <f t="shared" si="178"/>
        <v/>
      </c>
      <c r="AK173" s="21" t="str">
        <f t="shared" si="178"/>
        <v/>
      </c>
      <c r="AL173" s="21" t="str">
        <f t="shared" si="178"/>
        <v/>
      </c>
      <c r="AM173" s="21" t="str">
        <f t="shared" si="178"/>
        <v/>
      </c>
      <c r="AN173" s="21" t="str">
        <f t="shared" si="178"/>
        <v/>
      </c>
      <c r="AO173" s="21" t="str">
        <f t="shared" si="102"/>
        <v/>
      </c>
    </row>
    <row r="174" ht="16.5" customHeight="1">
      <c r="J174" s="18"/>
      <c r="K174" s="19"/>
      <c r="L174" s="20"/>
      <c r="M174" s="20"/>
      <c r="N174" s="20"/>
      <c r="O174" s="20"/>
      <c r="P174" s="20"/>
      <c r="Q174" s="20"/>
      <c r="R174" s="20"/>
      <c r="S174" s="20"/>
      <c r="T174" s="20"/>
      <c r="AE174" s="21" t="str">
        <f t="shared" si="100"/>
        <v/>
      </c>
      <c r="AF174" s="21" t="str">
        <f t="shared" ref="AF174:AN174" si="179">if(not(isblank(L174)),", "&amp;L174,"")</f>
        <v/>
      </c>
      <c r="AG174" s="21" t="str">
        <f t="shared" si="179"/>
        <v/>
      </c>
      <c r="AH174" s="21" t="str">
        <f t="shared" si="179"/>
        <v/>
      </c>
      <c r="AI174" s="21" t="str">
        <f t="shared" si="179"/>
        <v/>
      </c>
      <c r="AJ174" s="21" t="str">
        <f t="shared" si="179"/>
        <v/>
      </c>
      <c r="AK174" s="21" t="str">
        <f t="shared" si="179"/>
        <v/>
      </c>
      <c r="AL174" s="21" t="str">
        <f t="shared" si="179"/>
        <v/>
      </c>
      <c r="AM174" s="21" t="str">
        <f t="shared" si="179"/>
        <v/>
      </c>
      <c r="AN174" s="21" t="str">
        <f t="shared" si="179"/>
        <v/>
      </c>
      <c r="AO174" s="21" t="str">
        <f t="shared" si="102"/>
        <v/>
      </c>
    </row>
    <row r="175" ht="16.5" customHeight="1">
      <c r="J175" s="18"/>
      <c r="K175" s="19"/>
      <c r="L175" s="20"/>
      <c r="M175" s="20"/>
      <c r="N175" s="20"/>
      <c r="O175" s="20"/>
      <c r="P175" s="20"/>
      <c r="Q175" s="20"/>
      <c r="R175" s="20"/>
      <c r="S175" s="20"/>
      <c r="T175" s="20"/>
      <c r="AE175" s="21" t="str">
        <f t="shared" si="100"/>
        <v/>
      </c>
      <c r="AF175" s="21" t="str">
        <f t="shared" ref="AF175:AN175" si="180">if(not(isblank(L175)),", "&amp;L175,"")</f>
        <v/>
      </c>
      <c r="AG175" s="21" t="str">
        <f t="shared" si="180"/>
        <v/>
      </c>
      <c r="AH175" s="21" t="str">
        <f t="shared" si="180"/>
        <v/>
      </c>
      <c r="AI175" s="21" t="str">
        <f t="shared" si="180"/>
        <v/>
      </c>
      <c r="AJ175" s="21" t="str">
        <f t="shared" si="180"/>
        <v/>
      </c>
      <c r="AK175" s="21" t="str">
        <f t="shared" si="180"/>
        <v/>
      </c>
      <c r="AL175" s="21" t="str">
        <f t="shared" si="180"/>
        <v/>
      </c>
      <c r="AM175" s="21" t="str">
        <f t="shared" si="180"/>
        <v/>
      </c>
      <c r="AN175" s="21" t="str">
        <f t="shared" si="180"/>
        <v/>
      </c>
      <c r="AO175" s="21" t="str">
        <f t="shared" si="102"/>
        <v/>
      </c>
    </row>
    <row r="176" ht="16.5" customHeight="1">
      <c r="J176" s="18"/>
      <c r="K176" s="19"/>
      <c r="L176" s="20"/>
      <c r="M176" s="20"/>
      <c r="N176" s="20"/>
      <c r="O176" s="20"/>
      <c r="P176" s="20"/>
      <c r="Q176" s="20"/>
      <c r="R176" s="20"/>
      <c r="S176" s="20"/>
      <c r="T176" s="20"/>
      <c r="AE176" s="21" t="str">
        <f t="shared" si="100"/>
        <v/>
      </c>
      <c r="AF176" s="21" t="str">
        <f t="shared" ref="AF176:AN176" si="181">if(not(isblank(L176)),", "&amp;L176,"")</f>
        <v/>
      </c>
      <c r="AG176" s="21" t="str">
        <f t="shared" si="181"/>
        <v/>
      </c>
      <c r="AH176" s="21" t="str">
        <f t="shared" si="181"/>
        <v/>
      </c>
      <c r="AI176" s="21" t="str">
        <f t="shared" si="181"/>
        <v/>
      </c>
      <c r="AJ176" s="21" t="str">
        <f t="shared" si="181"/>
        <v/>
      </c>
      <c r="AK176" s="21" t="str">
        <f t="shared" si="181"/>
        <v/>
      </c>
      <c r="AL176" s="21" t="str">
        <f t="shared" si="181"/>
        <v/>
      </c>
      <c r="AM176" s="21" t="str">
        <f t="shared" si="181"/>
        <v/>
      </c>
      <c r="AN176" s="21" t="str">
        <f t="shared" si="181"/>
        <v/>
      </c>
      <c r="AO176" s="21" t="str">
        <f t="shared" si="102"/>
        <v/>
      </c>
    </row>
    <row r="177" ht="16.5" customHeight="1">
      <c r="J177" s="18"/>
      <c r="K177" s="19"/>
      <c r="L177" s="20"/>
      <c r="M177" s="20"/>
      <c r="N177" s="20"/>
      <c r="O177" s="20"/>
      <c r="P177" s="20"/>
      <c r="Q177" s="20"/>
      <c r="R177" s="20"/>
      <c r="S177" s="20"/>
      <c r="T177" s="20"/>
      <c r="AE177" s="21" t="str">
        <f t="shared" si="100"/>
        <v/>
      </c>
      <c r="AF177" s="21" t="str">
        <f t="shared" ref="AF177:AN177" si="182">if(not(isblank(L177)),", "&amp;L177,"")</f>
        <v/>
      </c>
      <c r="AG177" s="21" t="str">
        <f t="shared" si="182"/>
        <v/>
      </c>
      <c r="AH177" s="21" t="str">
        <f t="shared" si="182"/>
        <v/>
      </c>
      <c r="AI177" s="21" t="str">
        <f t="shared" si="182"/>
        <v/>
      </c>
      <c r="AJ177" s="21" t="str">
        <f t="shared" si="182"/>
        <v/>
      </c>
      <c r="AK177" s="21" t="str">
        <f t="shared" si="182"/>
        <v/>
      </c>
      <c r="AL177" s="21" t="str">
        <f t="shared" si="182"/>
        <v/>
      </c>
      <c r="AM177" s="21" t="str">
        <f t="shared" si="182"/>
        <v/>
      </c>
      <c r="AN177" s="21" t="str">
        <f t="shared" si="182"/>
        <v/>
      </c>
      <c r="AO177" s="21" t="str">
        <f t="shared" si="102"/>
        <v/>
      </c>
    </row>
    <row r="178" ht="16.5" customHeight="1">
      <c r="J178" s="18"/>
      <c r="K178" s="19"/>
      <c r="L178" s="20"/>
      <c r="M178" s="20"/>
      <c r="N178" s="20"/>
      <c r="O178" s="20"/>
      <c r="P178" s="20"/>
      <c r="Q178" s="20"/>
      <c r="R178" s="20"/>
      <c r="S178" s="20"/>
      <c r="T178" s="20"/>
      <c r="AE178" s="21" t="str">
        <f t="shared" si="100"/>
        <v/>
      </c>
      <c r="AF178" s="21" t="str">
        <f t="shared" ref="AF178:AN178" si="183">if(not(isblank(L178)),", "&amp;L178,"")</f>
        <v/>
      </c>
      <c r="AG178" s="21" t="str">
        <f t="shared" si="183"/>
        <v/>
      </c>
      <c r="AH178" s="21" t="str">
        <f t="shared" si="183"/>
        <v/>
      </c>
      <c r="AI178" s="21" t="str">
        <f t="shared" si="183"/>
        <v/>
      </c>
      <c r="AJ178" s="21" t="str">
        <f t="shared" si="183"/>
        <v/>
      </c>
      <c r="AK178" s="21" t="str">
        <f t="shared" si="183"/>
        <v/>
      </c>
      <c r="AL178" s="21" t="str">
        <f t="shared" si="183"/>
        <v/>
      </c>
      <c r="AM178" s="21" t="str">
        <f t="shared" si="183"/>
        <v/>
      </c>
      <c r="AN178" s="21" t="str">
        <f t="shared" si="183"/>
        <v/>
      </c>
      <c r="AO178" s="21" t="str">
        <f t="shared" si="102"/>
        <v/>
      </c>
    </row>
    <row r="179" ht="16.5" customHeight="1">
      <c r="J179" s="18"/>
      <c r="K179" s="19"/>
      <c r="L179" s="20"/>
      <c r="M179" s="20"/>
      <c r="N179" s="20"/>
      <c r="O179" s="20"/>
      <c r="P179" s="20"/>
      <c r="Q179" s="20"/>
      <c r="R179" s="20"/>
      <c r="S179" s="20"/>
      <c r="T179" s="20"/>
      <c r="AE179" s="21" t="str">
        <f t="shared" si="100"/>
        <v/>
      </c>
      <c r="AF179" s="21" t="str">
        <f t="shared" ref="AF179:AN179" si="184">if(not(isblank(L179)),", "&amp;L179,"")</f>
        <v/>
      </c>
      <c r="AG179" s="21" t="str">
        <f t="shared" si="184"/>
        <v/>
      </c>
      <c r="AH179" s="21" t="str">
        <f t="shared" si="184"/>
        <v/>
      </c>
      <c r="AI179" s="21" t="str">
        <f t="shared" si="184"/>
        <v/>
      </c>
      <c r="AJ179" s="21" t="str">
        <f t="shared" si="184"/>
        <v/>
      </c>
      <c r="AK179" s="21" t="str">
        <f t="shared" si="184"/>
        <v/>
      </c>
      <c r="AL179" s="21" t="str">
        <f t="shared" si="184"/>
        <v/>
      </c>
      <c r="AM179" s="21" t="str">
        <f t="shared" si="184"/>
        <v/>
      </c>
      <c r="AN179" s="21" t="str">
        <f t="shared" si="184"/>
        <v/>
      </c>
      <c r="AO179" s="21" t="str">
        <f t="shared" si="102"/>
        <v/>
      </c>
    </row>
    <row r="180" ht="16.5" customHeight="1">
      <c r="J180" s="18"/>
      <c r="K180" s="19"/>
      <c r="L180" s="20"/>
      <c r="M180" s="20"/>
      <c r="N180" s="20"/>
      <c r="O180" s="20"/>
      <c r="P180" s="20"/>
      <c r="Q180" s="20"/>
      <c r="R180" s="20"/>
      <c r="S180" s="20"/>
      <c r="T180" s="20"/>
      <c r="AE180" s="21" t="str">
        <f t="shared" si="100"/>
        <v/>
      </c>
      <c r="AF180" s="21" t="str">
        <f t="shared" ref="AF180:AN180" si="185">if(not(isblank(L180)),", "&amp;L180,"")</f>
        <v/>
      </c>
      <c r="AG180" s="21" t="str">
        <f t="shared" si="185"/>
        <v/>
      </c>
      <c r="AH180" s="21" t="str">
        <f t="shared" si="185"/>
        <v/>
      </c>
      <c r="AI180" s="21" t="str">
        <f t="shared" si="185"/>
        <v/>
      </c>
      <c r="AJ180" s="21" t="str">
        <f t="shared" si="185"/>
        <v/>
      </c>
      <c r="AK180" s="21" t="str">
        <f t="shared" si="185"/>
        <v/>
      </c>
      <c r="AL180" s="21" t="str">
        <f t="shared" si="185"/>
        <v/>
      </c>
      <c r="AM180" s="21" t="str">
        <f t="shared" si="185"/>
        <v/>
      </c>
      <c r="AN180" s="21" t="str">
        <f t="shared" si="185"/>
        <v/>
      </c>
      <c r="AO180" s="21" t="str">
        <f t="shared" si="102"/>
        <v/>
      </c>
    </row>
    <row r="181" ht="16.5" customHeight="1">
      <c r="J181" s="18"/>
      <c r="K181" s="19"/>
      <c r="L181" s="20"/>
      <c r="M181" s="20"/>
      <c r="N181" s="20"/>
      <c r="O181" s="20"/>
      <c r="P181" s="20"/>
      <c r="Q181" s="20"/>
      <c r="R181" s="20"/>
      <c r="S181" s="20"/>
      <c r="T181" s="20"/>
      <c r="AE181" s="21" t="str">
        <f t="shared" si="100"/>
        <v/>
      </c>
      <c r="AF181" s="21" t="str">
        <f t="shared" ref="AF181:AN181" si="186">if(not(isblank(L181)),", "&amp;L181,"")</f>
        <v/>
      </c>
      <c r="AG181" s="21" t="str">
        <f t="shared" si="186"/>
        <v/>
      </c>
      <c r="AH181" s="21" t="str">
        <f t="shared" si="186"/>
        <v/>
      </c>
      <c r="AI181" s="21" t="str">
        <f t="shared" si="186"/>
        <v/>
      </c>
      <c r="AJ181" s="21" t="str">
        <f t="shared" si="186"/>
        <v/>
      </c>
      <c r="AK181" s="21" t="str">
        <f t="shared" si="186"/>
        <v/>
      </c>
      <c r="AL181" s="21" t="str">
        <f t="shared" si="186"/>
        <v/>
      </c>
      <c r="AM181" s="21" t="str">
        <f t="shared" si="186"/>
        <v/>
      </c>
      <c r="AN181" s="21" t="str">
        <f t="shared" si="186"/>
        <v/>
      </c>
      <c r="AO181" s="21" t="str">
        <f t="shared" si="102"/>
        <v/>
      </c>
    </row>
    <row r="182" ht="16.5" customHeight="1">
      <c r="J182" s="18"/>
      <c r="K182" s="19"/>
      <c r="L182" s="20"/>
      <c r="M182" s="20"/>
      <c r="N182" s="20"/>
      <c r="O182" s="20"/>
      <c r="P182" s="20"/>
      <c r="Q182" s="20"/>
      <c r="R182" s="20"/>
      <c r="S182" s="20"/>
      <c r="T182" s="20"/>
      <c r="AE182" s="21" t="str">
        <f t="shared" si="100"/>
        <v/>
      </c>
      <c r="AF182" s="21" t="str">
        <f t="shared" ref="AF182:AN182" si="187">if(not(isblank(L182)),", "&amp;L182,"")</f>
        <v/>
      </c>
      <c r="AG182" s="21" t="str">
        <f t="shared" si="187"/>
        <v/>
      </c>
      <c r="AH182" s="21" t="str">
        <f t="shared" si="187"/>
        <v/>
      </c>
      <c r="AI182" s="21" t="str">
        <f t="shared" si="187"/>
        <v/>
      </c>
      <c r="AJ182" s="21" t="str">
        <f t="shared" si="187"/>
        <v/>
      </c>
      <c r="AK182" s="21" t="str">
        <f t="shared" si="187"/>
        <v/>
      </c>
      <c r="AL182" s="21" t="str">
        <f t="shared" si="187"/>
        <v/>
      </c>
      <c r="AM182" s="21" t="str">
        <f t="shared" si="187"/>
        <v/>
      </c>
      <c r="AN182" s="21" t="str">
        <f t="shared" si="187"/>
        <v/>
      </c>
      <c r="AO182" s="21" t="str">
        <f t="shared" si="102"/>
        <v/>
      </c>
    </row>
    <row r="183" ht="16.5" customHeight="1">
      <c r="J183" s="18"/>
      <c r="K183" s="19"/>
      <c r="L183" s="20"/>
      <c r="M183" s="20"/>
      <c r="N183" s="20"/>
      <c r="O183" s="20"/>
      <c r="P183" s="20"/>
      <c r="Q183" s="20"/>
      <c r="R183" s="20"/>
      <c r="S183" s="20"/>
      <c r="T183" s="20"/>
      <c r="AE183" s="21" t="str">
        <f t="shared" si="100"/>
        <v/>
      </c>
      <c r="AF183" s="21" t="str">
        <f t="shared" ref="AF183:AN183" si="188">if(not(isblank(L183)),", "&amp;L183,"")</f>
        <v/>
      </c>
      <c r="AG183" s="21" t="str">
        <f t="shared" si="188"/>
        <v/>
      </c>
      <c r="AH183" s="21" t="str">
        <f t="shared" si="188"/>
        <v/>
      </c>
      <c r="AI183" s="21" t="str">
        <f t="shared" si="188"/>
        <v/>
      </c>
      <c r="AJ183" s="21" t="str">
        <f t="shared" si="188"/>
        <v/>
      </c>
      <c r="AK183" s="21" t="str">
        <f t="shared" si="188"/>
        <v/>
      </c>
      <c r="AL183" s="21" t="str">
        <f t="shared" si="188"/>
        <v/>
      </c>
      <c r="AM183" s="21" t="str">
        <f t="shared" si="188"/>
        <v/>
      </c>
      <c r="AN183" s="21" t="str">
        <f t="shared" si="188"/>
        <v/>
      </c>
      <c r="AO183" s="21" t="str">
        <f t="shared" si="102"/>
        <v/>
      </c>
    </row>
    <row r="184" ht="16.5" customHeight="1">
      <c r="J184" s="18"/>
      <c r="K184" s="19"/>
      <c r="L184" s="20"/>
      <c r="M184" s="20"/>
      <c r="N184" s="20"/>
      <c r="O184" s="20"/>
      <c r="P184" s="20"/>
      <c r="Q184" s="20"/>
      <c r="R184" s="20"/>
      <c r="S184" s="20"/>
      <c r="T184" s="20"/>
      <c r="AE184" s="21" t="str">
        <f t="shared" si="100"/>
        <v/>
      </c>
      <c r="AF184" s="21" t="str">
        <f t="shared" ref="AF184:AN184" si="189">if(not(isblank(L184)),", "&amp;L184,"")</f>
        <v/>
      </c>
      <c r="AG184" s="21" t="str">
        <f t="shared" si="189"/>
        <v/>
      </c>
      <c r="AH184" s="21" t="str">
        <f t="shared" si="189"/>
        <v/>
      </c>
      <c r="AI184" s="21" t="str">
        <f t="shared" si="189"/>
        <v/>
      </c>
      <c r="AJ184" s="21" t="str">
        <f t="shared" si="189"/>
        <v/>
      </c>
      <c r="AK184" s="21" t="str">
        <f t="shared" si="189"/>
        <v/>
      </c>
      <c r="AL184" s="21" t="str">
        <f t="shared" si="189"/>
        <v/>
      </c>
      <c r="AM184" s="21" t="str">
        <f t="shared" si="189"/>
        <v/>
      </c>
      <c r="AN184" s="21" t="str">
        <f t="shared" si="189"/>
        <v/>
      </c>
      <c r="AO184" s="21" t="str">
        <f t="shared" si="102"/>
        <v/>
      </c>
    </row>
    <row r="185" ht="16.5" customHeight="1">
      <c r="J185" s="18"/>
      <c r="K185" s="19"/>
      <c r="L185" s="20"/>
      <c r="M185" s="20"/>
      <c r="N185" s="20"/>
      <c r="O185" s="20"/>
      <c r="P185" s="20"/>
      <c r="Q185" s="20"/>
      <c r="R185" s="20"/>
      <c r="S185" s="20"/>
      <c r="T185" s="20"/>
      <c r="AE185" s="21" t="str">
        <f t="shared" si="100"/>
        <v/>
      </c>
      <c r="AF185" s="21" t="str">
        <f t="shared" ref="AF185:AN185" si="190">if(not(isblank(L185)),", "&amp;L185,"")</f>
        <v/>
      </c>
      <c r="AG185" s="21" t="str">
        <f t="shared" si="190"/>
        <v/>
      </c>
      <c r="AH185" s="21" t="str">
        <f t="shared" si="190"/>
        <v/>
      </c>
      <c r="AI185" s="21" t="str">
        <f t="shared" si="190"/>
        <v/>
      </c>
      <c r="AJ185" s="21" t="str">
        <f t="shared" si="190"/>
        <v/>
      </c>
      <c r="AK185" s="21" t="str">
        <f t="shared" si="190"/>
        <v/>
      </c>
      <c r="AL185" s="21" t="str">
        <f t="shared" si="190"/>
        <v/>
      </c>
      <c r="AM185" s="21" t="str">
        <f t="shared" si="190"/>
        <v/>
      </c>
      <c r="AN185" s="21" t="str">
        <f t="shared" si="190"/>
        <v/>
      </c>
      <c r="AO185" s="21" t="str">
        <f t="shared" si="102"/>
        <v/>
      </c>
    </row>
    <row r="186" ht="16.5" customHeight="1">
      <c r="J186" s="18"/>
      <c r="K186" s="19"/>
      <c r="L186" s="20"/>
      <c r="M186" s="20"/>
      <c r="N186" s="20"/>
      <c r="O186" s="20"/>
      <c r="P186" s="20"/>
      <c r="Q186" s="20"/>
      <c r="R186" s="20"/>
      <c r="S186" s="20"/>
      <c r="T186" s="20"/>
      <c r="AE186" s="21" t="str">
        <f t="shared" si="100"/>
        <v/>
      </c>
      <c r="AF186" s="21" t="str">
        <f t="shared" ref="AF186:AN186" si="191">if(not(isblank(L186)),", "&amp;L186,"")</f>
        <v/>
      </c>
      <c r="AG186" s="21" t="str">
        <f t="shared" si="191"/>
        <v/>
      </c>
      <c r="AH186" s="21" t="str">
        <f t="shared" si="191"/>
        <v/>
      </c>
      <c r="AI186" s="21" t="str">
        <f t="shared" si="191"/>
        <v/>
      </c>
      <c r="AJ186" s="21" t="str">
        <f t="shared" si="191"/>
        <v/>
      </c>
      <c r="AK186" s="21" t="str">
        <f t="shared" si="191"/>
        <v/>
      </c>
      <c r="AL186" s="21" t="str">
        <f t="shared" si="191"/>
        <v/>
      </c>
      <c r="AM186" s="21" t="str">
        <f t="shared" si="191"/>
        <v/>
      </c>
      <c r="AN186" s="21" t="str">
        <f t="shared" si="191"/>
        <v/>
      </c>
      <c r="AO186" s="21" t="str">
        <f t="shared" si="102"/>
        <v/>
      </c>
    </row>
    <row r="187" ht="16.5" customHeight="1">
      <c r="J187" s="18"/>
      <c r="K187" s="19"/>
      <c r="L187" s="20"/>
      <c r="M187" s="20"/>
      <c r="N187" s="20"/>
      <c r="O187" s="20"/>
      <c r="P187" s="20"/>
      <c r="Q187" s="20"/>
      <c r="R187" s="20"/>
      <c r="S187" s="20"/>
      <c r="T187" s="20"/>
      <c r="AE187" s="21" t="str">
        <f t="shared" si="100"/>
        <v/>
      </c>
      <c r="AF187" s="21" t="str">
        <f t="shared" ref="AF187:AN187" si="192">if(not(isblank(L187)),", "&amp;L187,"")</f>
        <v/>
      </c>
      <c r="AG187" s="21" t="str">
        <f t="shared" si="192"/>
        <v/>
      </c>
      <c r="AH187" s="21" t="str">
        <f t="shared" si="192"/>
        <v/>
      </c>
      <c r="AI187" s="21" t="str">
        <f t="shared" si="192"/>
        <v/>
      </c>
      <c r="AJ187" s="21" t="str">
        <f t="shared" si="192"/>
        <v/>
      </c>
      <c r="AK187" s="21" t="str">
        <f t="shared" si="192"/>
        <v/>
      </c>
      <c r="AL187" s="21" t="str">
        <f t="shared" si="192"/>
        <v/>
      </c>
      <c r="AM187" s="21" t="str">
        <f t="shared" si="192"/>
        <v/>
      </c>
      <c r="AN187" s="21" t="str">
        <f t="shared" si="192"/>
        <v/>
      </c>
      <c r="AO187" s="21" t="str">
        <f t="shared" si="102"/>
        <v/>
      </c>
    </row>
    <row r="188" ht="16.5" customHeight="1">
      <c r="J188" s="18"/>
      <c r="K188" s="19"/>
      <c r="L188" s="20"/>
      <c r="M188" s="20"/>
      <c r="N188" s="20"/>
      <c r="O188" s="20"/>
      <c r="P188" s="20"/>
      <c r="Q188" s="20"/>
      <c r="R188" s="20"/>
      <c r="S188" s="20"/>
      <c r="T188" s="20"/>
      <c r="AE188" s="21" t="str">
        <f t="shared" si="100"/>
        <v/>
      </c>
      <c r="AF188" s="21" t="str">
        <f t="shared" ref="AF188:AN188" si="193">if(not(isblank(L188)),", "&amp;L188,"")</f>
        <v/>
      </c>
      <c r="AG188" s="21" t="str">
        <f t="shared" si="193"/>
        <v/>
      </c>
      <c r="AH188" s="21" t="str">
        <f t="shared" si="193"/>
        <v/>
      </c>
      <c r="AI188" s="21" t="str">
        <f t="shared" si="193"/>
        <v/>
      </c>
      <c r="AJ188" s="21" t="str">
        <f t="shared" si="193"/>
        <v/>
      </c>
      <c r="AK188" s="21" t="str">
        <f t="shared" si="193"/>
        <v/>
      </c>
      <c r="AL188" s="21" t="str">
        <f t="shared" si="193"/>
        <v/>
      </c>
      <c r="AM188" s="21" t="str">
        <f t="shared" si="193"/>
        <v/>
      </c>
      <c r="AN188" s="21" t="str">
        <f t="shared" si="193"/>
        <v/>
      </c>
      <c r="AO188" s="21" t="str">
        <f t="shared" si="102"/>
        <v/>
      </c>
    </row>
    <row r="189" ht="16.5" customHeight="1">
      <c r="J189" s="18"/>
      <c r="K189" s="19"/>
      <c r="L189" s="20"/>
      <c r="M189" s="20"/>
      <c r="N189" s="20"/>
      <c r="O189" s="20"/>
      <c r="P189" s="20"/>
      <c r="Q189" s="20"/>
      <c r="R189" s="20"/>
      <c r="S189" s="20"/>
      <c r="T189" s="20"/>
      <c r="AE189" s="21" t="str">
        <f t="shared" si="100"/>
        <v/>
      </c>
      <c r="AF189" s="21" t="str">
        <f t="shared" ref="AF189:AN189" si="194">if(not(isblank(L189)),", "&amp;L189,"")</f>
        <v/>
      </c>
      <c r="AG189" s="21" t="str">
        <f t="shared" si="194"/>
        <v/>
      </c>
      <c r="AH189" s="21" t="str">
        <f t="shared" si="194"/>
        <v/>
      </c>
      <c r="AI189" s="21" t="str">
        <f t="shared" si="194"/>
        <v/>
      </c>
      <c r="AJ189" s="21" t="str">
        <f t="shared" si="194"/>
        <v/>
      </c>
      <c r="AK189" s="21" t="str">
        <f t="shared" si="194"/>
        <v/>
      </c>
      <c r="AL189" s="21" t="str">
        <f t="shared" si="194"/>
        <v/>
      </c>
      <c r="AM189" s="21" t="str">
        <f t="shared" si="194"/>
        <v/>
      </c>
      <c r="AN189" s="21" t="str">
        <f t="shared" si="194"/>
        <v/>
      </c>
      <c r="AO189" s="21" t="str">
        <f t="shared" si="102"/>
        <v/>
      </c>
    </row>
    <row r="190" ht="16.5" customHeight="1">
      <c r="J190" s="18"/>
      <c r="K190" s="19"/>
      <c r="L190" s="20"/>
      <c r="M190" s="20"/>
      <c r="N190" s="20"/>
      <c r="O190" s="20"/>
      <c r="P190" s="20"/>
      <c r="Q190" s="20"/>
      <c r="R190" s="20"/>
      <c r="S190" s="20"/>
      <c r="T190" s="20"/>
      <c r="AE190" s="21" t="str">
        <f t="shared" si="100"/>
        <v/>
      </c>
      <c r="AF190" s="21" t="str">
        <f t="shared" ref="AF190:AN190" si="195">if(not(isblank(L190)),", "&amp;L190,"")</f>
        <v/>
      </c>
      <c r="AG190" s="21" t="str">
        <f t="shared" si="195"/>
        <v/>
      </c>
      <c r="AH190" s="21" t="str">
        <f t="shared" si="195"/>
        <v/>
      </c>
      <c r="AI190" s="21" t="str">
        <f t="shared" si="195"/>
        <v/>
      </c>
      <c r="AJ190" s="21" t="str">
        <f t="shared" si="195"/>
        <v/>
      </c>
      <c r="AK190" s="21" t="str">
        <f t="shared" si="195"/>
        <v/>
      </c>
      <c r="AL190" s="21" t="str">
        <f t="shared" si="195"/>
        <v/>
      </c>
      <c r="AM190" s="21" t="str">
        <f t="shared" si="195"/>
        <v/>
      </c>
      <c r="AN190" s="21" t="str">
        <f t="shared" si="195"/>
        <v/>
      </c>
      <c r="AO190" s="21" t="str">
        <f t="shared" si="102"/>
        <v/>
      </c>
    </row>
    <row r="191" ht="16.5" customHeight="1">
      <c r="J191" s="18"/>
      <c r="K191" s="19"/>
      <c r="L191" s="20"/>
      <c r="M191" s="20"/>
      <c r="N191" s="20"/>
      <c r="O191" s="20"/>
      <c r="P191" s="20"/>
      <c r="Q191" s="20"/>
      <c r="R191" s="20"/>
      <c r="S191" s="20"/>
      <c r="T191" s="20"/>
      <c r="AE191" s="21" t="str">
        <f t="shared" si="100"/>
        <v/>
      </c>
      <c r="AF191" s="21" t="str">
        <f t="shared" ref="AF191:AN191" si="196">if(not(isblank(L191)),", "&amp;L191,"")</f>
        <v/>
      </c>
      <c r="AG191" s="21" t="str">
        <f t="shared" si="196"/>
        <v/>
      </c>
      <c r="AH191" s="21" t="str">
        <f t="shared" si="196"/>
        <v/>
      </c>
      <c r="AI191" s="21" t="str">
        <f t="shared" si="196"/>
        <v/>
      </c>
      <c r="AJ191" s="21" t="str">
        <f t="shared" si="196"/>
        <v/>
      </c>
      <c r="AK191" s="21" t="str">
        <f t="shared" si="196"/>
        <v/>
      </c>
      <c r="AL191" s="21" t="str">
        <f t="shared" si="196"/>
        <v/>
      </c>
      <c r="AM191" s="21" t="str">
        <f t="shared" si="196"/>
        <v/>
      </c>
      <c r="AN191" s="21" t="str">
        <f t="shared" si="196"/>
        <v/>
      </c>
      <c r="AO191" s="21" t="str">
        <f t="shared" si="102"/>
        <v/>
      </c>
    </row>
    <row r="192" ht="16.5" customHeight="1">
      <c r="J192" s="18"/>
      <c r="K192" s="19"/>
      <c r="L192" s="19"/>
      <c r="M192" s="20"/>
      <c r="N192" s="20"/>
      <c r="O192" s="20"/>
      <c r="P192" s="20"/>
      <c r="Q192" s="20"/>
      <c r="R192" s="20"/>
      <c r="S192" s="20"/>
      <c r="T192" s="20"/>
      <c r="AE192" s="21" t="str">
        <f t="shared" si="100"/>
        <v/>
      </c>
      <c r="AF192" s="21" t="str">
        <f t="shared" ref="AF192:AN192" si="197">if(not(isblank(L192)),", "&amp;L192,"")</f>
        <v/>
      </c>
      <c r="AG192" s="21" t="str">
        <f t="shared" si="197"/>
        <v/>
      </c>
      <c r="AH192" s="21" t="str">
        <f t="shared" si="197"/>
        <v/>
      </c>
      <c r="AI192" s="21" t="str">
        <f t="shared" si="197"/>
        <v/>
      </c>
      <c r="AJ192" s="21" t="str">
        <f t="shared" si="197"/>
        <v/>
      </c>
      <c r="AK192" s="21" t="str">
        <f t="shared" si="197"/>
        <v/>
      </c>
      <c r="AL192" s="21" t="str">
        <f t="shared" si="197"/>
        <v/>
      </c>
      <c r="AM192" s="21" t="str">
        <f t="shared" si="197"/>
        <v/>
      </c>
      <c r="AN192" s="21" t="str">
        <f t="shared" si="197"/>
        <v/>
      </c>
      <c r="AO192" s="21" t="str">
        <f t="shared" si="102"/>
        <v/>
      </c>
    </row>
    <row r="193" ht="16.5" customHeight="1">
      <c r="J193" s="18"/>
      <c r="K193" s="19"/>
      <c r="L193" s="19"/>
      <c r="M193" s="19"/>
      <c r="N193" s="19"/>
      <c r="O193" s="19"/>
      <c r="P193" s="19"/>
      <c r="Q193" s="19"/>
      <c r="R193" s="19"/>
      <c r="S193" s="19"/>
      <c r="T193" s="19"/>
      <c r="AE193" s="21" t="str">
        <f t="shared" si="100"/>
        <v/>
      </c>
      <c r="AF193" s="21" t="str">
        <f t="shared" ref="AF193:AN193" si="198">if(not(isblank(L193)),", "&amp;L193,"")</f>
        <v/>
      </c>
      <c r="AG193" s="21" t="str">
        <f t="shared" si="198"/>
        <v/>
      </c>
      <c r="AH193" s="21" t="str">
        <f t="shared" si="198"/>
        <v/>
      </c>
      <c r="AI193" s="21" t="str">
        <f t="shared" si="198"/>
        <v/>
      </c>
      <c r="AJ193" s="21" t="str">
        <f t="shared" si="198"/>
        <v/>
      </c>
      <c r="AK193" s="21" t="str">
        <f t="shared" si="198"/>
        <v/>
      </c>
      <c r="AL193" s="21" t="str">
        <f t="shared" si="198"/>
        <v/>
      </c>
      <c r="AM193" s="21" t="str">
        <f t="shared" si="198"/>
        <v/>
      </c>
      <c r="AN193" s="21" t="str">
        <f t="shared" si="198"/>
        <v/>
      </c>
      <c r="AO193" s="21" t="str">
        <f t="shared" si="102"/>
        <v/>
      </c>
    </row>
    <row r="194" ht="16.5" customHeight="1">
      <c r="J194" s="18"/>
      <c r="K194" s="19"/>
      <c r="L194" s="19"/>
      <c r="M194" s="19"/>
      <c r="N194" s="19"/>
      <c r="O194" s="19"/>
      <c r="P194" s="19"/>
      <c r="Q194" s="19"/>
      <c r="R194" s="19"/>
      <c r="S194" s="19"/>
      <c r="T194" s="19"/>
      <c r="AE194" s="21" t="str">
        <f t="shared" si="100"/>
        <v/>
      </c>
      <c r="AF194" s="21" t="str">
        <f t="shared" ref="AF194:AN194" si="199">if(not(isblank(L194)),", "&amp;L194,"")</f>
        <v/>
      </c>
      <c r="AG194" s="21" t="str">
        <f t="shared" si="199"/>
        <v/>
      </c>
      <c r="AH194" s="21" t="str">
        <f t="shared" si="199"/>
        <v/>
      </c>
      <c r="AI194" s="21" t="str">
        <f t="shared" si="199"/>
        <v/>
      </c>
      <c r="AJ194" s="21" t="str">
        <f t="shared" si="199"/>
        <v/>
      </c>
      <c r="AK194" s="21" t="str">
        <f t="shared" si="199"/>
        <v/>
      </c>
      <c r="AL194" s="21" t="str">
        <f t="shared" si="199"/>
        <v/>
      </c>
      <c r="AM194" s="21" t="str">
        <f t="shared" si="199"/>
        <v/>
      </c>
      <c r="AN194" s="21" t="str">
        <f t="shared" si="199"/>
        <v/>
      </c>
      <c r="AO194" s="21" t="str">
        <f t="shared" si="102"/>
        <v/>
      </c>
    </row>
    <row r="195" ht="16.5" customHeight="1">
      <c r="J195" s="18"/>
      <c r="K195" s="19"/>
      <c r="L195" s="19"/>
      <c r="M195" s="19"/>
      <c r="N195" s="19"/>
      <c r="O195" s="19"/>
      <c r="P195" s="19"/>
      <c r="Q195" s="19"/>
      <c r="R195" s="19"/>
      <c r="S195" s="19"/>
      <c r="T195" s="19"/>
      <c r="AE195" s="21" t="str">
        <f t="shared" si="100"/>
        <v/>
      </c>
      <c r="AF195" s="21" t="str">
        <f t="shared" ref="AF195:AN195" si="200">if(not(isblank(L195)),", "&amp;L195,"")</f>
        <v/>
      </c>
      <c r="AG195" s="21" t="str">
        <f t="shared" si="200"/>
        <v/>
      </c>
      <c r="AH195" s="21" t="str">
        <f t="shared" si="200"/>
        <v/>
      </c>
      <c r="AI195" s="21" t="str">
        <f t="shared" si="200"/>
        <v/>
      </c>
      <c r="AJ195" s="21" t="str">
        <f t="shared" si="200"/>
        <v/>
      </c>
      <c r="AK195" s="21" t="str">
        <f t="shared" si="200"/>
        <v/>
      </c>
      <c r="AL195" s="21" t="str">
        <f t="shared" si="200"/>
        <v/>
      </c>
      <c r="AM195" s="21" t="str">
        <f t="shared" si="200"/>
        <v/>
      </c>
      <c r="AN195" s="21" t="str">
        <f t="shared" si="200"/>
        <v/>
      </c>
      <c r="AO195" s="21" t="str">
        <f t="shared" si="102"/>
        <v/>
      </c>
    </row>
    <row r="196" ht="16.5" customHeight="1">
      <c r="J196" s="18"/>
      <c r="K196" s="19"/>
      <c r="L196" s="19"/>
      <c r="M196" s="19"/>
      <c r="N196" s="19"/>
      <c r="O196" s="19"/>
      <c r="P196" s="19"/>
      <c r="Q196" s="19"/>
      <c r="R196" s="19"/>
      <c r="S196" s="19"/>
      <c r="T196" s="19"/>
      <c r="AE196" s="21" t="str">
        <f t="shared" si="100"/>
        <v/>
      </c>
      <c r="AF196" s="21" t="str">
        <f t="shared" ref="AF196:AN196" si="201">if(not(isblank(L196)),", "&amp;L196,"")</f>
        <v/>
      </c>
      <c r="AG196" s="21" t="str">
        <f t="shared" si="201"/>
        <v/>
      </c>
      <c r="AH196" s="21" t="str">
        <f t="shared" si="201"/>
        <v/>
      </c>
      <c r="AI196" s="21" t="str">
        <f t="shared" si="201"/>
        <v/>
      </c>
      <c r="AJ196" s="21" t="str">
        <f t="shared" si="201"/>
        <v/>
      </c>
      <c r="AK196" s="21" t="str">
        <f t="shared" si="201"/>
        <v/>
      </c>
      <c r="AL196" s="21" t="str">
        <f t="shared" si="201"/>
        <v/>
      </c>
      <c r="AM196" s="21" t="str">
        <f t="shared" si="201"/>
        <v/>
      </c>
      <c r="AN196" s="21" t="str">
        <f t="shared" si="201"/>
        <v/>
      </c>
      <c r="AO196" s="21" t="str">
        <f t="shared" si="102"/>
        <v/>
      </c>
    </row>
    <row r="197" ht="16.5" customHeight="1">
      <c r="J197" s="18"/>
      <c r="K197" s="19"/>
      <c r="L197" s="19"/>
      <c r="M197" s="19"/>
      <c r="N197" s="19"/>
      <c r="O197" s="19"/>
      <c r="P197" s="19"/>
      <c r="Q197" s="19"/>
      <c r="R197" s="19"/>
      <c r="S197" s="19"/>
      <c r="T197" s="19"/>
      <c r="AE197" s="21" t="str">
        <f t="shared" si="100"/>
        <v/>
      </c>
      <c r="AF197" s="21" t="str">
        <f t="shared" ref="AF197:AN197" si="202">if(not(isblank(L197)),", "&amp;L197,"")</f>
        <v/>
      </c>
      <c r="AG197" s="21" t="str">
        <f t="shared" si="202"/>
        <v/>
      </c>
      <c r="AH197" s="21" t="str">
        <f t="shared" si="202"/>
        <v/>
      </c>
      <c r="AI197" s="21" t="str">
        <f t="shared" si="202"/>
        <v/>
      </c>
      <c r="AJ197" s="21" t="str">
        <f t="shared" si="202"/>
        <v/>
      </c>
      <c r="AK197" s="21" t="str">
        <f t="shared" si="202"/>
        <v/>
      </c>
      <c r="AL197" s="21" t="str">
        <f t="shared" si="202"/>
        <v/>
      </c>
      <c r="AM197" s="21" t="str">
        <f t="shared" si="202"/>
        <v/>
      </c>
      <c r="AN197" s="21" t="str">
        <f t="shared" si="202"/>
        <v/>
      </c>
      <c r="AO197" s="21" t="str">
        <f t="shared" si="102"/>
        <v/>
      </c>
    </row>
    <row r="198" ht="16.5" customHeight="1">
      <c r="J198" s="18"/>
      <c r="K198" s="19"/>
      <c r="L198" s="19"/>
      <c r="M198" s="19"/>
      <c r="N198" s="19"/>
      <c r="O198" s="19"/>
      <c r="P198" s="19"/>
      <c r="Q198" s="19"/>
      <c r="R198" s="19"/>
      <c r="S198" s="19"/>
      <c r="T198" s="19"/>
      <c r="AE198" s="21" t="str">
        <f t="shared" si="100"/>
        <v/>
      </c>
      <c r="AF198" s="21" t="str">
        <f t="shared" ref="AF198:AN198" si="203">if(not(isblank(L198)),", "&amp;L198,"")</f>
        <v/>
      </c>
      <c r="AG198" s="21" t="str">
        <f t="shared" si="203"/>
        <v/>
      </c>
      <c r="AH198" s="21" t="str">
        <f t="shared" si="203"/>
        <v/>
      </c>
      <c r="AI198" s="21" t="str">
        <f t="shared" si="203"/>
        <v/>
      </c>
      <c r="AJ198" s="21" t="str">
        <f t="shared" si="203"/>
        <v/>
      </c>
      <c r="AK198" s="21" t="str">
        <f t="shared" si="203"/>
        <v/>
      </c>
      <c r="AL198" s="21" t="str">
        <f t="shared" si="203"/>
        <v/>
      </c>
      <c r="AM198" s="21" t="str">
        <f t="shared" si="203"/>
        <v/>
      </c>
      <c r="AN198" s="21" t="str">
        <f t="shared" si="203"/>
        <v/>
      </c>
      <c r="AO198" s="21" t="str">
        <f t="shared" si="102"/>
        <v/>
      </c>
    </row>
    <row r="199" ht="16.5" customHeight="1">
      <c r="J199" s="18"/>
      <c r="K199" s="19"/>
      <c r="L199" s="19"/>
      <c r="M199" s="19"/>
      <c r="N199" s="19"/>
      <c r="O199" s="19"/>
      <c r="P199" s="19"/>
      <c r="Q199" s="19"/>
      <c r="R199" s="19"/>
      <c r="S199" s="19"/>
      <c r="T199" s="19"/>
      <c r="AE199" s="21" t="str">
        <f t="shared" si="100"/>
        <v/>
      </c>
      <c r="AF199" s="21" t="str">
        <f t="shared" ref="AF199:AN199" si="204">if(not(isblank(L199)),", "&amp;L199,"")</f>
        <v/>
      </c>
      <c r="AG199" s="21" t="str">
        <f t="shared" si="204"/>
        <v/>
      </c>
      <c r="AH199" s="21" t="str">
        <f t="shared" si="204"/>
        <v/>
      </c>
      <c r="AI199" s="21" t="str">
        <f t="shared" si="204"/>
        <v/>
      </c>
      <c r="AJ199" s="21" t="str">
        <f t="shared" si="204"/>
        <v/>
      </c>
      <c r="AK199" s="21" t="str">
        <f t="shared" si="204"/>
        <v/>
      </c>
      <c r="AL199" s="21" t="str">
        <f t="shared" si="204"/>
        <v/>
      </c>
      <c r="AM199" s="21" t="str">
        <f t="shared" si="204"/>
        <v/>
      </c>
      <c r="AN199" s="21" t="str">
        <f t="shared" si="204"/>
        <v/>
      </c>
      <c r="AO199" s="21" t="str">
        <f t="shared" si="102"/>
        <v/>
      </c>
    </row>
    <row r="200" ht="16.5" customHeight="1">
      <c r="J200" s="18"/>
      <c r="K200" s="19"/>
      <c r="L200" s="19"/>
      <c r="M200" s="19"/>
      <c r="N200" s="19"/>
      <c r="O200" s="19"/>
      <c r="P200" s="19"/>
      <c r="Q200" s="19"/>
      <c r="R200" s="19"/>
      <c r="S200" s="19"/>
      <c r="T200" s="19"/>
      <c r="AE200" s="21" t="str">
        <f t="shared" si="100"/>
        <v/>
      </c>
      <c r="AF200" s="21" t="str">
        <f t="shared" ref="AF200:AN200" si="205">if(not(isblank(L200)),", "&amp;L200,"")</f>
        <v/>
      </c>
      <c r="AG200" s="21" t="str">
        <f t="shared" si="205"/>
        <v/>
      </c>
      <c r="AH200" s="21" t="str">
        <f t="shared" si="205"/>
        <v/>
      </c>
      <c r="AI200" s="21" t="str">
        <f t="shared" si="205"/>
        <v/>
      </c>
      <c r="AJ200" s="21" t="str">
        <f t="shared" si="205"/>
        <v/>
      </c>
      <c r="AK200" s="21" t="str">
        <f t="shared" si="205"/>
        <v/>
      </c>
      <c r="AL200" s="21" t="str">
        <f t="shared" si="205"/>
        <v/>
      </c>
      <c r="AM200" s="21" t="str">
        <f t="shared" si="205"/>
        <v/>
      </c>
      <c r="AN200" s="21" t="str">
        <f t="shared" si="205"/>
        <v/>
      </c>
      <c r="AO200" s="21" t="str">
        <f t="shared" si="102"/>
        <v/>
      </c>
    </row>
    <row r="201" ht="16.5" customHeight="1">
      <c r="J201" s="18"/>
      <c r="K201" s="19"/>
      <c r="L201" s="19"/>
      <c r="M201" s="19"/>
      <c r="N201" s="19"/>
      <c r="O201" s="19"/>
      <c r="P201" s="19"/>
      <c r="Q201" s="19"/>
      <c r="R201" s="19"/>
      <c r="S201" s="19"/>
      <c r="T201" s="19"/>
      <c r="AE201" s="21" t="str">
        <f t="shared" si="100"/>
        <v/>
      </c>
      <c r="AF201" s="21" t="str">
        <f t="shared" ref="AF201:AN201" si="206">if(not(isblank(L201)),", "&amp;L201,"")</f>
        <v/>
      </c>
      <c r="AG201" s="21" t="str">
        <f t="shared" si="206"/>
        <v/>
      </c>
      <c r="AH201" s="21" t="str">
        <f t="shared" si="206"/>
        <v/>
      </c>
      <c r="AI201" s="21" t="str">
        <f t="shared" si="206"/>
        <v/>
      </c>
      <c r="AJ201" s="21" t="str">
        <f t="shared" si="206"/>
        <v/>
      </c>
      <c r="AK201" s="21" t="str">
        <f t="shared" si="206"/>
        <v/>
      </c>
      <c r="AL201" s="21" t="str">
        <f t="shared" si="206"/>
        <v/>
      </c>
      <c r="AM201" s="21" t="str">
        <f t="shared" si="206"/>
        <v/>
      </c>
      <c r="AN201" s="21" t="str">
        <f t="shared" si="206"/>
        <v/>
      </c>
      <c r="AO201" s="21" t="str">
        <f t="shared" si="102"/>
        <v/>
      </c>
    </row>
    <row r="202" ht="16.5" customHeight="1">
      <c r="J202" s="18"/>
      <c r="K202" s="19"/>
      <c r="L202" s="19"/>
      <c r="M202" s="19"/>
      <c r="N202" s="19"/>
      <c r="O202" s="19"/>
      <c r="P202" s="19"/>
      <c r="Q202" s="19"/>
      <c r="R202" s="19"/>
      <c r="S202" s="19"/>
      <c r="T202" s="19"/>
      <c r="AE202" s="21" t="str">
        <f t="shared" si="100"/>
        <v/>
      </c>
      <c r="AF202" s="21" t="str">
        <f t="shared" ref="AF202:AN202" si="207">if(not(isblank(L202)),", "&amp;L202,"")</f>
        <v/>
      </c>
      <c r="AG202" s="21" t="str">
        <f t="shared" si="207"/>
        <v/>
      </c>
      <c r="AH202" s="21" t="str">
        <f t="shared" si="207"/>
        <v/>
      </c>
      <c r="AI202" s="21" t="str">
        <f t="shared" si="207"/>
        <v/>
      </c>
      <c r="AJ202" s="21" t="str">
        <f t="shared" si="207"/>
        <v/>
      </c>
      <c r="AK202" s="21" t="str">
        <f t="shared" si="207"/>
        <v/>
      </c>
      <c r="AL202" s="21" t="str">
        <f t="shared" si="207"/>
        <v/>
      </c>
      <c r="AM202" s="21" t="str">
        <f t="shared" si="207"/>
        <v/>
      </c>
      <c r="AN202" s="21" t="str">
        <f t="shared" si="207"/>
        <v/>
      </c>
      <c r="AO202" s="21" t="str">
        <f t="shared" si="102"/>
        <v/>
      </c>
    </row>
    <row r="203" ht="16.5" customHeight="1">
      <c r="J203" s="18"/>
      <c r="K203" s="19"/>
      <c r="L203" s="19"/>
      <c r="M203" s="19"/>
      <c r="N203" s="19"/>
      <c r="O203" s="19"/>
      <c r="P203" s="19"/>
      <c r="Q203" s="19"/>
      <c r="R203" s="19"/>
      <c r="S203" s="19"/>
      <c r="T203" s="19"/>
      <c r="AE203" s="21" t="str">
        <f t="shared" si="100"/>
        <v/>
      </c>
      <c r="AF203" s="21" t="str">
        <f t="shared" ref="AF203:AN203" si="208">if(not(isblank(L203)),", "&amp;L203,"")</f>
        <v/>
      </c>
      <c r="AG203" s="21" t="str">
        <f t="shared" si="208"/>
        <v/>
      </c>
      <c r="AH203" s="21" t="str">
        <f t="shared" si="208"/>
        <v/>
      </c>
      <c r="AI203" s="21" t="str">
        <f t="shared" si="208"/>
        <v/>
      </c>
      <c r="AJ203" s="21" t="str">
        <f t="shared" si="208"/>
        <v/>
      </c>
      <c r="AK203" s="21" t="str">
        <f t="shared" si="208"/>
        <v/>
      </c>
      <c r="AL203" s="21" t="str">
        <f t="shared" si="208"/>
        <v/>
      </c>
      <c r="AM203" s="21" t="str">
        <f t="shared" si="208"/>
        <v/>
      </c>
      <c r="AN203" s="21" t="str">
        <f t="shared" si="208"/>
        <v/>
      </c>
      <c r="AO203" s="21" t="str">
        <f t="shared" si="102"/>
        <v/>
      </c>
    </row>
    <row r="204" ht="16.5" customHeight="1">
      <c r="J204" s="18"/>
      <c r="K204" s="19"/>
      <c r="L204" s="19"/>
      <c r="M204" s="19"/>
      <c r="N204" s="19"/>
      <c r="O204" s="19"/>
      <c r="P204" s="19"/>
      <c r="Q204" s="19"/>
      <c r="R204" s="19"/>
      <c r="S204" s="19"/>
      <c r="T204" s="19"/>
      <c r="AE204" s="21" t="str">
        <f t="shared" si="100"/>
        <v/>
      </c>
      <c r="AF204" s="21" t="str">
        <f t="shared" ref="AF204:AN204" si="209">if(not(isblank(L204)),", "&amp;L204,"")</f>
        <v/>
      </c>
      <c r="AG204" s="21" t="str">
        <f t="shared" si="209"/>
        <v/>
      </c>
      <c r="AH204" s="21" t="str">
        <f t="shared" si="209"/>
        <v/>
      </c>
      <c r="AI204" s="21" t="str">
        <f t="shared" si="209"/>
        <v/>
      </c>
      <c r="AJ204" s="21" t="str">
        <f t="shared" si="209"/>
        <v/>
      </c>
      <c r="AK204" s="21" t="str">
        <f t="shared" si="209"/>
        <v/>
      </c>
      <c r="AL204" s="21" t="str">
        <f t="shared" si="209"/>
        <v/>
      </c>
      <c r="AM204" s="21" t="str">
        <f t="shared" si="209"/>
        <v/>
      </c>
      <c r="AN204" s="21" t="str">
        <f t="shared" si="209"/>
        <v/>
      </c>
      <c r="AO204" s="21" t="str">
        <f t="shared" si="102"/>
        <v/>
      </c>
    </row>
    <row r="205" ht="16.5" customHeight="1">
      <c r="J205" s="18"/>
      <c r="K205" s="19"/>
      <c r="L205" s="19"/>
      <c r="M205" s="19"/>
      <c r="N205" s="19"/>
      <c r="O205" s="19"/>
      <c r="P205" s="19"/>
      <c r="Q205" s="19"/>
      <c r="R205" s="19"/>
      <c r="S205" s="19"/>
      <c r="T205" s="19"/>
      <c r="AE205" s="21" t="str">
        <f t="shared" si="100"/>
        <v/>
      </c>
      <c r="AF205" s="21" t="str">
        <f t="shared" ref="AF205:AN205" si="210">if(not(isblank(L205)),", "&amp;L205,"")</f>
        <v/>
      </c>
      <c r="AG205" s="21" t="str">
        <f t="shared" si="210"/>
        <v/>
      </c>
      <c r="AH205" s="21" t="str">
        <f t="shared" si="210"/>
        <v/>
      </c>
      <c r="AI205" s="21" t="str">
        <f t="shared" si="210"/>
        <v/>
      </c>
      <c r="AJ205" s="21" t="str">
        <f t="shared" si="210"/>
        <v/>
      </c>
      <c r="AK205" s="21" t="str">
        <f t="shared" si="210"/>
        <v/>
      </c>
      <c r="AL205" s="21" t="str">
        <f t="shared" si="210"/>
        <v/>
      </c>
      <c r="AM205" s="21" t="str">
        <f t="shared" si="210"/>
        <v/>
      </c>
      <c r="AN205" s="21" t="str">
        <f t="shared" si="210"/>
        <v/>
      </c>
      <c r="AO205" s="21" t="str">
        <f t="shared" si="102"/>
        <v/>
      </c>
    </row>
    <row r="206" ht="16.5" customHeight="1">
      <c r="J206" s="18"/>
      <c r="K206" s="19"/>
      <c r="L206" s="19"/>
      <c r="M206" s="19"/>
      <c r="N206" s="19"/>
      <c r="O206" s="19"/>
      <c r="P206" s="19"/>
      <c r="Q206" s="19"/>
      <c r="R206" s="19"/>
      <c r="S206" s="19"/>
      <c r="T206" s="19"/>
      <c r="AE206" s="21" t="str">
        <f t="shared" si="100"/>
        <v/>
      </c>
      <c r="AF206" s="21" t="str">
        <f t="shared" ref="AF206:AN206" si="211">if(not(isblank(L206)),", "&amp;L206,"")</f>
        <v/>
      </c>
      <c r="AG206" s="21" t="str">
        <f t="shared" si="211"/>
        <v/>
      </c>
      <c r="AH206" s="21" t="str">
        <f t="shared" si="211"/>
        <v/>
      </c>
      <c r="AI206" s="21" t="str">
        <f t="shared" si="211"/>
        <v/>
      </c>
      <c r="AJ206" s="21" t="str">
        <f t="shared" si="211"/>
        <v/>
      </c>
      <c r="AK206" s="21" t="str">
        <f t="shared" si="211"/>
        <v/>
      </c>
      <c r="AL206" s="21" t="str">
        <f t="shared" si="211"/>
        <v/>
      </c>
      <c r="AM206" s="21" t="str">
        <f t="shared" si="211"/>
        <v/>
      </c>
      <c r="AN206" s="21" t="str">
        <f t="shared" si="211"/>
        <v/>
      </c>
      <c r="AO206" s="21" t="str">
        <f t="shared" si="102"/>
        <v/>
      </c>
    </row>
    <row r="207" ht="16.5" customHeight="1">
      <c r="J207" s="18"/>
      <c r="K207" s="19"/>
      <c r="L207" s="19"/>
      <c r="M207" s="19"/>
      <c r="N207" s="19"/>
      <c r="O207" s="19"/>
      <c r="P207" s="19"/>
      <c r="Q207" s="19"/>
      <c r="R207" s="19"/>
      <c r="S207" s="19"/>
      <c r="T207" s="19"/>
      <c r="AE207" s="21" t="str">
        <f t="shared" si="100"/>
        <v/>
      </c>
      <c r="AF207" s="21" t="str">
        <f t="shared" ref="AF207:AN207" si="212">if(not(isblank(L207)),", "&amp;L207,"")</f>
        <v/>
      </c>
      <c r="AG207" s="21" t="str">
        <f t="shared" si="212"/>
        <v/>
      </c>
      <c r="AH207" s="21" t="str">
        <f t="shared" si="212"/>
        <v/>
      </c>
      <c r="AI207" s="21" t="str">
        <f t="shared" si="212"/>
        <v/>
      </c>
      <c r="AJ207" s="21" t="str">
        <f t="shared" si="212"/>
        <v/>
      </c>
      <c r="AK207" s="21" t="str">
        <f t="shared" si="212"/>
        <v/>
      </c>
      <c r="AL207" s="21" t="str">
        <f t="shared" si="212"/>
        <v/>
      </c>
      <c r="AM207" s="21" t="str">
        <f t="shared" si="212"/>
        <v/>
      </c>
      <c r="AN207" s="21" t="str">
        <f t="shared" si="212"/>
        <v/>
      </c>
      <c r="AO207" s="21" t="str">
        <f t="shared" si="102"/>
        <v/>
      </c>
    </row>
    <row r="208" ht="16.5" customHeight="1">
      <c r="J208" s="18"/>
      <c r="K208" s="19"/>
      <c r="L208" s="19"/>
      <c r="M208" s="19"/>
      <c r="N208" s="19"/>
      <c r="O208" s="19"/>
      <c r="P208" s="19"/>
      <c r="Q208" s="19"/>
      <c r="R208" s="19"/>
      <c r="S208" s="19"/>
      <c r="T208" s="19"/>
      <c r="AE208" s="21" t="str">
        <f t="shared" si="100"/>
        <v/>
      </c>
      <c r="AF208" s="21" t="str">
        <f t="shared" ref="AF208:AN208" si="213">if(not(isblank(L208)),", "&amp;L208,"")</f>
        <v/>
      </c>
      <c r="AG208" s="21" t="str">
        <f t="shared" si="213"/>
        <v/>
      </c>
      <c r="AH208" s="21" t="str">
        <f t="shared" si="213"/>
        <v/>
      </c>
      <c r="AI208" s="21" t="str">
        <f t="shared" si="213"/>
        <v/>
      </c>
      <c r="AJ208" s="21" t="str">
        <f t="shared" si="213"/>
        <v/>
      </c>
      <c r="AK208" s="21" t="str">
        <f t="shared" si="213"/>
        <v/>
      </c>
      <c r="AL208" s="21" t="str">
        <f t="shared" si="213"/>
        <v/>
      </c>
      <c r="AM208" s="21" t="str">
        <f t="shared" si="213"/>
        <v/>
      </c>
      <c r="AN208" s="21" t="str">
        <f t="shared" si="213"/>
        <v/>
      </c>
      <c r="AO208" s="21" t="str">
        <f t="shared" si="102"/>
        <v/>
      </c>
    </row>
    <row r="209" ht="16.5" customHeight="1">
      <c r="J209" s="18"/>
      <c r="K209" s="19"/>
      <c r="L209" s="20"/>
      <c r="M209" s="20"/>
      <c r="N209" s="20"/>
      <c r="O209" s="20"/>
      <c r="P209" s="20"/>
      <c r="Q209" s="20"/>
      <c r="R209" s="20"/>
      <c r="S209" s="20"/>
      <c r="T209" s="20"/>
      <c r="AE209" s="21" t="str">
        <f t="shared" si="100"/>
        <v/>
      </c>
      <c r="AF209" s="21" t="str">
        <f t="shared" ref="AF209:AN209" si="214">if(not(isblank(L209)),", "&amp;L209,"")</f>
        <v/>
      </c>
      <c r="AG209" s="21" t="str">
        <f t="shared" si="214"/>
        <v/>
      </c>
      <c r="AH209" s="21" t="str">
        <f t="shared" si="214"/>
        <v/>
      </c>
      <c r="AI209" s="21" t="str">
        <f t="shared" si="214"/>
        <v/>
      </c>
      <c r="AJ209" s="21" t="str">
        <f t="shared" si="214"/>
        <v/>
      </c>
      <c r="AK209" s="21" t="str">
        <f t="shared" si="214"/>
        <v/>
      </c>
      <c r="AL209" s="21" t="str">
        <f t="shared" si="214"/>
        <v/>
      </c>
      <c r="AM209" s="21" t="str">
        <f t="shared" si="214"/>
        <v/>
      </c>
      <c r="AN209" s="21" t="str">
        <f t="shared" si="214"/>
        <v/>
      </c>
      <c r="AO209" s="21" t="str">
        <f t="shared" si="102"/>
        <v/>
      </c>
    </row>
    <row r="210" ht="16.5" customHeight="1">
      <c r="J210" s="18"/>
      <c r="K210" s="19"/>
      <c r="L210" s="20"/>
      <c r="M210" s="20"/>
      <c r="N210" s="20"/>
      <c r="O210" s="20"/>
      <c r="P210" s="20"/>
      <c r="Q210" s="20"/>
      <c r="R210" s="20"/>
      <c r="S210" s="20"/>
      <c r="T210" s="20"/>
      <c r="AE210" s="21" t="str">
        <f t="shared" si="100"/>
        <v/>
      </c>
      <c r="AF210" s="21" t="str">
        <f t="shared" ref="AF210:AN210" si="215">if(not(isblank(L210)),", "&amp;L210,"")</f>
        <v/>
      </c>
      <c r="AG210" s="21" t="str">
        <f t="shared" si="215"/>
        <v/>
      </c>
      <c r="AH210" s="21" t="str">
        <f t="shared" si="215"/>
        <v/>
      </c>
      <c r="AI210" s="21" t="str">
        <f t="shared" si="215"/>
        <v/>
      </c>
      <c r="AJ210" s="21" t="str">
        <f t="shared" si="215"/>
        <v/>
      </c>
      <c r="AK210" s="21" t="str">
        <f t="shared" si="215"/>
        <v/>
      </c>
      <c r="AL210" s="21" t="str">
        <f t="shared" si="215"/>
        <v/>
      </c>
      <c r="AM210" s="21" t="str">
        <f t="shared" si="215"/>
        <v/>
      </c>
      <c r="AN210" s="21" t="str">
        <f t="shared" si="215"/>
        <v/>
      </c>
      <c r="AO210" s="21" t="str">
        <f t="shared" si="102"/>
        <v/>
      </c>
    </row>
    <row r="211" ht="16.5" customHeight="1">
      <c r="J211" s="18"/>
      <c r="K211" s="19"/>
      <c r="L211" s="20"/>
      <c r="M211" s="20"/>
      <c r="N211" s="20"/>
      <c r="O211" s="20"/>
      <c r="P211" s="20"/>
      <c r="Q211" s="20"/>
      <c r="R211" s="20"/>
      <c r="S211" s="20"/>
      <c r="T211" s="20"/>
      <c r="AE211" s="21" t="str">
        <f t="shared" si="100"/>
        <v/>
      </c>
      <c r="AF211" s="21" t="str">
        <f t="shared" ref="AF211:AN211" si="216">if(not(isblank(L211)),", "&amp;L211,"")</f>
        <v/>
      </c>
      <c r="AG211" s="21" t="str">
        <f t="shared" si="216"/>
        <v/>
      </c>
      <c r="AH211" s="21" t="str">
        <f t="shared" si="216"/>
        <v/>
      </c>
      <c r="AI211" s="21" t="str">
        <f t="shared" si="216"/>
        <v/>
      </c>
      <c r="AJ211" s="21" t="str">
        <f t="shared" si="216"/>
        <v/>
      </c>
      <c r="AK211" s="21" t="str">
        <f t="shared" si="216"/>
        <v/>
      </c>
      <c r="AL211" s="21" t="str">
        <f t="shared" si="216"/>
        <v/>
      </c>
      <c r="AM211" s="21" t="str">
        <f t="shared" si="216"/>
        <v/>
      </c>
      <c r="AN211" s="21" t="str">
        <f t="shared" si="216"/>
        <v/>
      </c>
      <c r="AO211" s="21" t="str">
        <f t="shared" si="102"/>
        <v/>
      </c>
    </row>
    <row r="212" ht="16.5" customHeight="1">
      <c r="J212" s="18"/>
      <c r="K212" s="19"/>
      <c r="L212" s="20"/>
      <c r="M212" s="20"/>
      <c r="N212" s="20"/>
      <c r="O212" s="20"/>
      <c r="P212" s="20"/>
      <c r="Q212" s="20"/>
      <c r="R212" s="20"/>
      <c r="S212" s="20"/>
      <c r="T212" s="20"/>
      <c r="AE212" s="21" t="str">
        <f t="shared" si="100"/>
        <v/>
      </c>
      <c r="AF212" s="21" t="str">
        <f t="shared" ref="AF212:AN212" si="217">if(not(isblank(L212)),", "&amp;L212,"")</f>
        <v/>
      </c>
      <c r="AG212" s="21" t="str">
        <f t="shared" si="217"/>
        <v/>
      </c>
      <c r="AH212" s="21" t="str">
        <f t="shared" si="217"/>
        <v/>
      </c>
      <c r="AI212" s="21" t="str">
        <f t="shared" si="217"/>
        <v/>
      </c>
      <c r="AJ212" s="21" t="str">
        <f t="shared" si="217"/>
        <v/>
      </c>
      <c r="AK212" s="21" t="str">
        <f t="shared" si="217"/>
        <v/>
      </c>
      <c r="AL212" s="21" t="str">
        <f t="shared" si="217"/>
        <v/>
      </c>
      <c r="AM212" s="21" t="str">
        <f t="shared" si="217"/>
        <v/>
      </c>
      <c r="AN212" s="21" t="str">
        <f t="shared" si="217"/>
        <v/>
      </c>
      <c r="AO212" s="21" t="str">
        <f t="shared" si="102"/>
        <v/>
      </c>
    </row>
    <row r="213" ht="16.5" customHeight="1">
      <c r="J213" s="18"/>
      <c r="K213" s="19"/>
      <c r="L213" s="20"/>
      <c r="M213" s="20"/>
      <c r="N213" s="20"/>
      <c r="O213" s="20"/>
      <c r="P213" s="20"/>
      <c r="Q213" s="20"/>
      <c r="R213" s="20"/>
      <c r="S213" s="20"/>
      <c r="T213" s="20"/>
      <c r="AE213" s="21" t="str">
        <f t="shared" si="100"/>
        <v/>
      </c>
      <c r="AF213" s="21" t="str">
        <f t="shared" ref="AF213:AN213" si="218">if(not(isblank(L213)),", "&amp;L213,"")</f>
        <v/>
      </c>
      <c r="AG213" s="21" t="str">
        <f t="shared" si="218"/>
        <v/>
      </c>
      <c r="AH213" s="21" t="str">
        <f t="shared" si="218"/>
        <v/>
      </c>
      <c r="AI213" s="21" t="str">
        <f t="shared" si="218"/>
        <v/>
      </c>
      <c r="AJ213" s="21" t="str">
        <f t="shared" si="218"/>
        <v/>
      </c>
      <c r="AK213" s="21" t="str">
        <f t="shared" si="218"/>
        <v/>
      </c>
      <c r="AL213" s="21" t="str">
        <f t="shared" si="218"/>
        <v/>
      </c>
      <c r="AM213" s="21" t="str">
        <f t="shared" si="218"/>
        <v/>
      </c>
      <c r="AN213" s="21" t="str">
        <f t="shared" si="218"/>
        <v/>
      </c>
      <c r="AO213" s="21" t="str">
        <f t="shared" si="102"/>
        <v/>
      </c>
    </row>
    <row r="214" ht="16.5" customHeight="1">
      <c r="J214" s="18"/>
      <c r="K214" s="19"/>
      <c r="L214" s="20"/>
      <c r="M214" s="20"/>
      <c r="N214" s="20"/>
      <c r="O214" s="20"/>
      <c r="P214" s="20"/>
      <c r="Q214" s="20"/>
      <c r="R214" s="20"/>
      <c r="S214" s="20"/>
      <c r="T214" s="20"/>
      <c r="AE214" s="21" t="str">
        <f t="shared" si="100"/>
        <v/>
      </c>
      <c r="AF214" s="21" t="str">
        <f t="shared" ref="AF214:AN214" si="219">if(not(isblank(L214)),", "&amp;L214,"")</f>
        <v/>
      </c>
      <c r="AG214" s="21" t="str">
        <f t="shared" si="219"/>
        <v/>
      </c>
      <c r="AH214" s="21" t="str">
        <f t="shared" si="219"/>
        <v/>
      </c>
      <c r="AI214" s="21" t="str">
        <f t="shared" si="219"/>
        <v/>
      </c>
      <c r="AJ214" s="21" t="str">
        <f t="shared" si="219"/>
        <v/>
      </c>
      <c r="AK214" s="21" t="str">
        <f t="shared" si="219"/>
        <v/>
      </c>
      <c r="AL214" s="21" t="str">
        <f t="shared" si="219"/>
        <v/>
      </c>
      <c r="AM214" s="21" t="str">
        <f t="shared" si="219"/>
        <v/>
      </c>
      <c r="AN214" s="21" t="str">
        <f t="shared" si="219"/>
        <v/>
      </c>
      <c r="AO214" s="21" t="str">
        <f t="shared" si="102"/>
        <v/>
      </c>
    </row>
    <row r="215" ht="16.5" customHeight="1">
      <c r="J215" s="18"/>
      <c r="K215" s="19"/>
      <c r="L215" s="20"/>
      <c r="M215" s="20"/>
      <c r="N215" s="20"/>
      <c r="O215" s="20"/>
      <c r="P215" s="20"/>
      <c r="Q215" s="20"/>
      <c r="R215" s="20"/>
      <c r="S215" s="20"/>
      <c r="T215" s="20"/>
      <c r="AE215" s="21" t="str">
        <f t="shared" si="100"/>
        <v/>
      </c>
      <c r="AF215" s="21" t="str">
        <f t="shared" ref="AF215:AN215" si="220">if(not(isblank(L215)),", "&amp;L215,"")</f>
        <v/>
      </c>
      <c r="AG215" s="21" t="str">
        <f t="shared" si="220"/>
        <v/>
      </c>
      <c r="AH215" s="21" t="str">
        <f t="shared" si="220"/>
        <v/>
      </c>
      <c r="AI215" s="21" t="str">
        <f t="shared" si="220"/>
        <v/>
      </c>
      <c r="AJ215" s="21" t="str">
        <f t="shared" si="220"/>
        <v/>
      </c>
      <c r="AK215" s="21" t="str">
        <f t="shared" si="220"/>
        <v/>
      </c>
      <c r="AL215" s="21" t="str">
        <f t="shared" si="220"/>
        <v/>
      </c>
      <c r="AM215" s="21" t="str">
        <f t="shared" si="220"/>
        <v/>
      </c>
      <c r="AN215" s="21" t="str">
        <f t="shared" si="220"/>
        <v/>
      </c>
      <c r="AO215" s="21" t="str">
        <f t="shared" si="102"/>
        <v/>
      </c>
    </row>
    <row r="216" ht="16.5" customHeight="1">
      <c r="J216" s="18"/>
      <c r="K216" s="19"/>
      <c r="L216" s="20"/>
      <c r="M216" s="20"/>
      <c r="N216" s="20"/>
      <c r="O216" s="20"/>
      <c r="P216" s="20"/>
      <c r="Q216" s="20"/>
      <c r="R216" s="20"/>
      <c r="S216" s="20"/>
      <c r="T216" s="20"/>
      <c r="AE216" s="21" t="str">
        <f t="shared" si="100"/>
        <v/>
      </c>
      <c r="AF216" s="21" t="str">
        <f t="shared" ref="AF216:AN216" si="221">if(not(isblank(L216)),", "&amp;L216,"")</f>
        <v/>
      </c>
      <c r="AG216" s="21" t="str">
        <f t="shared" si="221"/>
        <v/>
      </c>
      <c r="AH216" s="21" t="str">
        <f t="shared" si="221"/>
        <v/>
      </c>
      <c r="AI216" s="21" t="str">
        <f t="shared" si="221"/>
        <v/>
      </c>
      <c r="AJ216" s="21" t="str">
        <f t="shared" si="221"/>
        <v/>
      </c>
      <c r="AK216" s="21" t="str">
        <f t="shared" si="221"/>
        <v/>
      </c>
      <c r="AL216" s="21" t="str">
        <f t="shared" si="221"/>
        <v/>
      </c>
      <c r="AM216" s="21" t="str">
        <f t="shared" si="221"/>
        <v/>
      </c>
      <c r="AN216" s="21" t="str">
        <f t="shared" si="221"/>
        <v/>
      </c>
      <c r="AO216" s="21" t="str">
        <f t="shared" si="102"/>
        <v/>
      </c>
    </row>
    <row r="217" ht="16.5" customHeight="1">
      <c r="J217" s="18"/>
      <c r="K217" s="19"/>
      <c r="L217" s="20"/>
      <c r="M217" s="20"/>
      <c r="N217" s="20"/>
      <c r="O217" s="20"/>
      <c r="P217" s="20"/>
      <c r="Q217" s="20"/>
      <c r="R217" s="20"/>
      <c r="S217" s="20"/>
      <c r="T217" s="20"/>
      <c r="AE217" s="21" t="str">
        <f t="shared" si="100"/>
        <v/>
      </c>
      <c r="AF217" s="21" t="str">
        <f t="shared" ref="AF217:AN217" si="222">if(not(isblank(L217)),", "&amp;L217,"")</f>
        <v/>
      </c>
      <c r="AG217" s="21" t="str">
        <f t="shared" si="222"/>
        <v/>
      </c>
      <c r="AH217" s="21" t="str">
        <f t="shared" si="222"/>
        <v/>
      </c>
      <c r="AI217" s="21" t="str">
        <f t="shared" si="222"/>
        <v/>
      </c>
      <c r="AJ217" s="21" t="str">
        <f t="shared" si="222"/>
        <v/>
      </c>
      <c r="AK217" s="21" t="str">
        <f t="shared" si="222"/>
        <v/>
      </c>
      <c r="AL217" s="21" t="str">
        <f t="shared" si="222"/>
        <v/>
      </c>
      <c r="AM217" s="21" t="str">
        <f t="shared" si="222"/>
        <v/>
      </c>
      <c r="AN217" s="21" t="str">
        <f t="shared" si="222"/>
        <v/>
      </c>
      <c r="AO217" s="21" t="str">
        <f t="shared" si="102"/>
        <v/>
      </c>
    </row>
    <row r="218" ht="16.5" customHeight="1">
      <c r="J218" s="18"/>
      <c r="K218" s="19"/>
      <c r="L218" s="20"/>
      <c r="M218" s="20"/>
      <c r="N218" s="20"/>
      <c r="O218" s="20"/>
      <c r="P218" s="20"/>
      <c r="Q218" s="20"/>
      <c r="R218" s="20"/>
      <c r="S218" s="20"/>
      <c r="T218" s="20"/>
      <c r="AE218" s="21" t="str">
        <f t="shared" si="100"/>
        <v/>
      </c>
      <c r="AF218" s="21" t="str">
        <f t="shared" ref="AF218:AN218" si="223">if(not(isblank(L218)),", "&amp;L218,"")</f>
        <v/>
      </c>
      <c r="AG218" s="21" t="str">
        <f t="shared" si="223"/>
        <v/>
      </c>
      <c r="AH218" s="21" t="str">
        <f t="shared" si="223"/>
        <v/>
      </c>
      <c r="AI218" s="21" t="str">
        <f t="shared" si="223"/>
        <v/>
      </c>
      <c r="AJ218" s="21" t="str">
        <f t="shared" si="223"/>
        <v/>
      </c>
      <c r="AK218" s="21" t="str">
        <f t="shared" si="223"/>
        <v/>
      </c>
      <c r="AL218" s="21" t="str">
        <f t="shared" si="223"/>
        <v/>
      </c>
      <c r="AM218" s="21" t="str">
        <f t="shared" si="223"/>
        <v/>
      </c>
      <c r="AN218" s="21" t="str">
        <f t="shared" si="223"/>
        <v/>
      </c>
      <c r="AO218" s="21" t="str">
        <f t="shared" si="102"/>
        <v/>
      </c>
    </row>
    <row r="219" ht="16.5" customHeight="1">
      <c r="J219" s="18"/>
      <c r="K219" s="19"/>
      <c r="L219" s="20"/>
      <c r="M219" s="20"/>
      <c r="N219" s="20"/>
      <c r="O219" s="20"/>
      <c r="P219" s="20"/>
      <c r="Q219" s="20"/>
      <c r="R219" s="20"/>
      <c r="S219" s="20"/>
      <c r="T219" s="20"/>
      <c r="AE219" s="21" t="str">
        <f t="shared" si="100"/>
        <v/>
      </c>
      <c r="AF219" s="21" t="str">
        <f t="shared" ref="AF219:AN219" si="224">if(not(isblank(L219)),", "&amp;L219,"")</f>
        <v/>
      </c>
      <c r="AG219" s="21" t="str">
        <f t="shared" si="224"/>
        <v/>
      </c>
      <c r="AH219" s="21" t="str">
        <f t="shared" si="224"/>
        <v/>
      </c>
      <c r="AI219" s="21" t="str">
        <f t="shared" si="224"/>
        <v/>
      </c>
      <c r="AJ219" s="21" t="str">
        <f t="shared" si="224"/>
        <v/>
      </c>
      <c r="AK219" s="21" t="str">
        <f t="shared" si="224"/>
        <v/>
      </c>
      <c r="AL219" s="21" t="str">
        <f t="shared" si="224"/>
        <v/>
      </c>
      <c r="AM219" s="21" t="str">
        <f t="shared" si="224"/>
        <v/>
      </c>
      <c r="AN219" s="21" t="str">
        <f t="shared" si="224"/>
        <v/>
      </c>
      <c r="AO219" s="21" t="str">
        <f t="shared" si="102"/>
        <v/>
      </c>
    </row>
    <row r="220" ht="16.5" customHeight="1">
      <c r="J220" s="18"/>
      <c r="K220" s="19"/>
      <c r="L220" s="20"/>
      <c r="M220" s="20"/>
      <c r="N220" s="20"/>
      <c r="O220" s="20"/>
      <c r="P220" s="20"/>
      <c r="Q220" s="20"/>
      <c r="R220" s="20"/>
      <c r="S220" s="20"/>
      <c r="T220" s="20"/>
      <c r="AE220" s="21" t="str">
        <f t="shared" si="100"/>
        <v/>
      </c>
      <c r="AF220" s="21" t="str">
        <f t="shared" ref="AF220:AN220" si="225">if(not(isblank(L220)),", "&amp;L220,"")</f>
        <v/>
      </c>
      <c r="AG220" s="21" t="str">
        <f t="shared" si="225"/>
        <v/>
      </c>
      <c r="AH220" s="21" t="str">
        <f t="shared" si="225"/>
        <v/>
      </c>
      <c r="AI220" s="21" t="str">
        <f t="shared" si="225"/>
        <v/>
      </c>
      <c r="AJ220" s="21" t="str">
        <f t="shared" si="225"/>
        <v/>
      </c>
      <c r="AK220" s="21" t="str">
        <f t="shared" si="225"/>
        <v/>
      </c>
      <c r="AL220" s="21" t="str">
        <f t="shared" si="225"/>
        <v/>
      </c>
      <c r="AM220" s="21" t="str">
        <f t="shared" si="225"/>
        <v/>
      </c>
      <c r="AN220" s="21" t="str">
        <f t="shared" si="225"/>
        <v/>
      </c>
      <c r="AO220" s="21" t="str">
        <f t="shared" si="102"/>
        <v/>
      </c>
    </row>
    <row r="221" ht="16.5" customHeight="1">
      <c r="J221" s="18"/>
      <c r="K221" s="19"/>
      <c r="L221" s="19"/>
      <c r="M221" s="19"/>
      <c r="N221" s="19"/>
      <c r="O221" s="19"/>
      <c r="P221" s="19"/>
      <c r="Q221" s="19"/>
      <c r="R221" s="19"/>
      <c r="S221" s="19"/>
      <c r="T221" s="19"/>
      <c r="AE221" s="21" t="str">
        <f t="shared" si="100"/>
        <v/>
      </c>
      <c r="AF221" s="21" t="str">
        <f t="shared" ref="AF221:AN221" si="226">if(not(isblank(L221)),", "&amp;L221,"")</f>
        <v/>
      </c>
      <c r="AG221" s="21" t="str">
        <f t="shared" si="226"/>
        <v/>
      </c>
      <c r="AH221" s="21" t="str">
        <f t="shared" si="226"/>
        <v/>
      </c>
      <c r="AI221" s="21" t="str">
        <f t="shared" si="226"/>
        <v/>
      </c>
      <c r="AJ221" s="21" t="str">
        <f t="shared" si="226"/>
        <v/>
      </c>
      <c r="AK221" s="21" t="str">
        <f t="shared" si="226"/>
        <v/>
      </c>
      <c r="AL221" s="21" t="str">
        <f t="shared" si="226"/>
        <v/>
      </c>
      <c r="AM221" s="21" t="str">
        <f t="shared" si="226"/>
        <v/>
      </c>
      <c r="AN221" s="21" t="str">
        <f t="shared" si="226"/>
        <v/>
      </c>
      <c r="AO221" s="21" t="str">
        <f t="shared" si="102"/>
        <v/>
      </c>
    </row>
    <row r="222" ht="16.5" customHeight="1">
      <c r="J222" s="18"/>
      <c r="K222" s="19"/>
      <c r="L222" s="20"/>
      <c r="M222" s="20"/>
      <c r="N222" s="20"/>
      <c r="O222" s="20"/>
      <c r="P222" s="20"/>
      <c r="Q222" s="20"/>
      <c r="R222" s="20"/>
      <c r="S222" s="20"/>
      <c r="T222" s="20"/>
      <c r="AE222" s="21" t="str">
        <f t="shared" si="100"/>
        <v/>
      </c>
      <c r="AF222" s="21" t="str">
        <f t="shared" ref="AF222:AN222" si="227">if(not(isblank(L222)),", "&amp;L222,"")</f>
        <v/>
      </c>
      <c r="AG222" s="21" t="str">
        <f t="shared" si="227"/>
        <v/>
      </c>
      <c r="AH222" s="21" t="str">
        <f t="shared" si="227"/>
        <v/>
      </c>
      <c r="AI222" s="21" t="str">
        <f t="shared" si="227"/>
        <v/>
      </c>
      <c r="AJ222" s="21" t="str">
        <f t="shared" si="227"/>
        <v/>
      </c>
      <c r="AK222" s="21" t="str">
        <f t="shared" si="227"/>
        <v/>
      </c>
      <c r="AL222" s="21" t="str">
        <f t="shared" si="227"/>
        <v/>
      </c>
      <c r="AM222" s="21" t="str">
        <f t="shared" si="227"/>
        <v/>
      </c>
      <c r="AN222" s="21" t="str">
        <f t="shared" si="227"/>
        <v/>
      </c>
      <c r="AO222" s="21" t="str">
        <f t="shared" si="102"/>
        <v/>
      </c>
    </row>
    <row r="223" ht="16.5" customHeight="1">
      <c r="J223" s="18"/>
      <c r="K223" s="19"/>
      <c r="L223" s="20"/>
      <c r="M223" s="20"/>
      <c r="N223" s="20"/>
      <c r="O223" s="20"/>
      <c r="P223" s="20"/>
      <c r="Q223" s="20"/>
      <c r="R223" s="20"/>
      <c r="S223" s="20"/>
      <c r="T223" s="20"/>
      <c r="AE223" s="21" t="str">
        <f t="shared" si="100"/>
        <v/>
      </c>
      <c r="AF223" s="21" t="str">
        <f t="shared" ref="AF223:AN223" si="228">if(not(isblank(L223)),", "&amp;L223,"")</f>
        <v/>
      </c>
      <c r="AG223" s="21" t="str">
        <f t="shared" si="228"/>
        <v/>
      </c>
      <c r="AH223" s="21" t="str">
        <f t="shared" si="228"/>
        <v/>
      </c>
      <c r="AI223" s="21" t="str">
        <f t="shared" si="228"/>
        <v/>
      </c>
      <c r="AJ223" s="21" t="str">
        <f t="shared" si="228"/>
        <v/>
      </c>
      <c r="AK223" s="21" t="str">
        <f t="shared" si="228"/>
        <v/>
      </c>
      <c r="AL223" s="21" t="str">
        <f t="shared" si="228"/>
        <v/>
      </c>
      <c r="AM223" s="21" t="str">
        <f t="shared" si="228"/>
        <v/>
      </c>
      <c r="AN223" s="21" t="str">
        <f t="shared" si="228"/>
        <v/>
      </c>
      <c r="AO223" s="21" t="str">
        <f t="shared" si="102"/>
        <v/>
      </c>
    </row>
    <row r="224" ht="16.5" customHeight="1">
      <c r="J224" s="18"/>
      <c r="K224" s="19"/>
      <c r="L224" s="20"/>
      <c r="M224" s="20"/>
      <c r="N224" s="20"/>
      <c r="O224" s="20"/>
      <c r="P224" s="20"/>
      <c r="Q224" s="20"/>
      <c r="R224" s="20"/>
      <c r="S224" s="20"/>
      <c r="T224" s="20"/>
      <c r="AE224" s="21" t="str">
        <f t="shared" si="100"/>
        <v/>
      </c>
      <c r="AF224" s="21" t="str">
        <f t="shared" ref="AF224:AN224" si="229">if(not(isblank(L224)),", "&amp;L224,"")</f>
        <v/>
      </c>
      <c r="AG224" s="21" t="str">
        <f t="shared" si="229"/>
        <v/>
      </c>
      <c r="AH224" s="21" t="str">
        <f t="shared" si="229"/>
        <v/>
      </c>
      <c r="AI224" s="21" t="str">
        <f t="shared" si="229"/>
        <v/>
      </c>
      <c r="AJ224" s="21" t="str">
        <f t="shared" si="229"/>
        <v/>
      </c>
      <c r="AK224" s="21" t="str">
        <f t="shared" si="229"/>
        <v/>
      </c>
      <c r="AL224" s="21" t="str">
        <f t="shared" si="229"/>
        <v/>
      </c>
      <c r="AM224" s="21" t="str">
        <f t="shared" si="229"/>
        <v/>
      </c>
      <c r="AN224" s="21" t="str">
        <f t="shared" si="229"/>
        <v/>
      </c>
      <c r="AO224" s="21" t="str">
        <f t="shared" si="102"/>
        <v/>
      </c>
    </row>
    <row r="225" ht="16.5" customHeight="1">
      <c r="J225" s="18"/>
      <c r="K225" s="19"/>
      <c r="L225" s="19"/>
      <c r="M225" s="19"/>
      <c r="N225" s="19"/>
      <c r="O225" s="19"/>
      <c r="P225" s="19"/>
      <c r="Q225" s="19"/>
      <c r="R225" s="19"/>
      <c r="S225" s="19"/>
      <c r="T225" s="19"/>
      <c r="AE225" s="21" t="str">
        <f t="shared" si="100"/>
        <v/>
      </c>
      <c r="AF225" s="21" t="str">
        <f t="shared" ref="AF225:AN225" si="230">if(not(isblank(L225)),", "&amp;L225,"")</f>
        <v/>
      </c>
      <c r="AG225" s="21" t="str">
        <f t="shared" si="230"/>
        <v/>
      </c>
      <c r="AH225" s="21" t="str">
        <f t="shared" si="230"/>
        <v/>
      </c>
      <c r="AI225" s="21" t="str">
        <f t="shared" si="230"/>
        <v/>
      </c>
      <c r="AJ225" s="21" t="str">
        <f t="shared" si="230"/>
        <v/>
      </c>
      <c r="AK225" s="21" t="str">
        <f t="shared" si="230"/>
        <v/>
      </c>
      <c r="AL225" s="21" t="str">
        <f t="shared" si="230"/>
        <v/>
      </c>
      <c r="AM225" s="21" t="str">
        <f t="shared" si="230"/>
        <v/>
      </c>
      <c r="AN225" s="21" t="str">
        <f t="shared" si="230"/>
        <v/>
      </c>
      <c r="AO225" s="21" t="str">
        <f t="shared" si="102"/>
        <v/>
      </c>
    </row>
    <row r="226" ht="16.5" customHeight="1">
      <c r="J226" s="18"/>
      <c r="K226" s="19"/>
      <c r="L226" s="20"/>
      <c r="M226" s="20"/>
      <c r="N226" s="20"/>
      <c r="O226" s="20"/>
      <c r="P226" s="20"/>
      <c r="Q226" s="20"/>
      <c r="R226" s="20"/>
      <c r="S226" s="20"/>
      <c r="T226" s="20"/>
      <c r="AE226" s="21" t="str">
        <f t="shared" si="100"/>
        <v/>
      </c>
      <c r="AF226" s="21" t="str">
        <f t="shared" ref="AF226:AN226" si="231">if(not(isblank(L226)),", "&amp;L226,"")</f>
        <v/>
      </c>
      <c r="AG226" s="21" t="str">
        <f t="shared" si="231"/>
        <v/>
      </c>
      <c r="AH226" s="21" t="str">
        <f t="shared" si="231"/>
        <v/>
      </c>
      <c r="AI226" s="21" t="str">
        <f t="shared" si="231"/>
        <v/>
      </c>
      <c r="AJ226" s="21" t="str">
        <f t="shared" si="231"/>
        <v/>
      </c>
      <c r="AK226" s="21" t="str">
        <f t="shared" si="231"/>
        <v/>
      </c>
      <c r="AL226" s="21" t="str">
        <f t="shared" si="231"/>
        <v/>
      </c>
      <c r="AM226" s="21" t="str">
        <f t="shared" si="231"/>
        <v/>
      </c>
      <c r="AN226" s="21" t="str">
        <f t="shared" si="231"/>
        <v/>
      </c>
      <c r="AO226" s="21" t="str">
        <f t="shared" si="102"/>
        <v/>
      </c>
    </row>
    <row r="227" ht="16.5" customHeight="1">
      <c r="J227" s="18"/>
      <c r="K227" s="19"/>
      <c r="L227" s="20"/>
      <c r="M227" s="20"/>
      <c r="N227" s="20"/>
      <c r="O227" s="20"/>
      <c r="P227" s="20"/>
      <c r="Q227" s="20"/>
      <c r="R227" s="20"/>
      <c r="S227" s="20"/>
      <c r="T227" s="20"/>
      <c r="AE227" s="21" t="str">
        <f t="shared" si="100"/>
        <v/>
      </c>
      <c r="AF227" s="21" t="str">
        <f t="shared" ref="AF227:AN227" si="232">if(not(isblank(L227)),", "&amp;L227,"")</f>
        <v/>
      </c>
      <c r="AG227" s="21" t="str">
        <f t="shared" si="232"/>
        <v/>
      </c>
      <c r="AH227" s="21" t="str">
        <f t="shared" si="232"/>
        <v/>
      </c>
      <c r="AI227" s="21" t="str">
        <f t="shared" si="232"/>
        <v/>
      </c>
      <c r="AJ227" s="21" t="str">
        <f t="shared" si="232"/>
        <v/>
      </c>
      <c r="AK227" s="21" t="str">
        <f t="shared" si="232"/>
        <v/>
      </c>
      <c r="AL227" s="21" t="str">
        <f t="shared" si="232"/>
        <v/>
      </c>
      <c r="AM227" s="21" t="str">
        <f t="shared" si="232"/>
        <v/>
      </c>
      <c r="AN227" s="21" t="str">
        <f t="shared" si="232"/>
        <v/>
      </c>
      <c r="AO227" s="21" t="str">
        <f t="shared" si="102"/>
        <v/>
      </c>
    </row>
    <row r="228" ht="16.5" customHeight="1">
      <c r="J228" s="18"/>
      <c r="K228" s="19"/>
      <c r="L228" s="20"/>
      <c r="M228" s="20"/>
      <c r="N228" s="20"/>
      <c r="O228" s="20"/>
      <c r="P228" s="20"/>
      <c r="Q228" s="20"/>
      <c r="R228" s="20"/>
      <c r="S228" s="20"/>
      <c r="T228" s="20"/>
      <c r="AE228" s="21" t="str">
        <f t="shared" si="100"/>
        <v/>
      </c>
      <c r="AF228" s="21" t="str">
        <f t="shared" ref="AF228:AN228" si="233">if(not(isblank(L228)),", "&amp;L228,"")</f>
        <v/>
      </c>
      <c r="AG228" s="21" t="str">
        <f t="shared" si="233"/>
        <v/>
      </c>
      <c r="AH228" s="21" t="str">
        <f t="shared" si="233"/>
        <v/>
      </c>
      <c r="AI228" s="21" t="str">
        <f t="shared" si="233"/>
        <v/>
      </c>
      <c r="AJ228" s="21" t="str">
        <f t="shared" si="233"/>
        <v/>
      </c>
      <c r="AK228" s="21" t="str">
        <f t="shared" si="233"/>
        <v/>
      </c>
      <c r="AL228" s="21" t="str">
        <f t="shared" si="233"/>
        <v/>
      </c>
      <c r="AM228" s="21" t="str">
        <f t="shared" si="233"/>
        <v/>
      </c>
      <c r="AN228" s="21" t="str">
        <f t="shared" si="233"/>
        <v/>
      </c>
      <c r="AO228" s="21" t="str">
        <f t="shared" si="102"/>
        <v/>
      </c>
    </row>
    <row r="229" ht="16.5" customHeight="1">
      <c r="J229" s="18"/>
      <c r="K229" s="19"/>
      <c r="L229" s="20"/>
      <c r="M229" s="20"/>
      <c r="N229" s="20"/>
      <c r="O229" s="20"/>
      <c r="P229" s="20"/>
      <c r="Q229" s="20"/>
      <c r="R229" s="20"/>
      <c r="S229" s="20"/>
      <c r="T229" s="20"/>
      <c r="AE229" s="21" t="str">
        <f t="shared" si="100"/>
        <v/>
      </c>
      <c r="AF229" s="21" t="str">
        <f t="shared" ref="AF229:AN229" si="234">if(not(isblank(L229)),", "&amp;L229,"")</f>
        <v/>
      </c>
      <c r="AG229" s="21" t="str">
        <f t="shared" si="234"/>
        <v/>
      </c>
      <c r="AH229" s="21" t="str">
        <f t="shared" si="234"/>
        <v/>
      </c>
      <c r="AI229" s="21" t="str">
        <f t="shared" si="234"/>
        <v/>
      </c>
      <c r="AJ229" s="21" t="str">
        <f t="shared" si="234"/>
        <v/>
      </c>
      <c r="AK229" s="21" t="str">
        <f t="shared" si="234"/>
        <v/>
      </c>
      <c r="AL229" s="21" t="str">
        <f t="shared" si="234"/>
        <v/>
      </c>
      <c r="AM229" s="21" t="str">
        <f t="shared" si="234"/>
        <v/>
      </c>
      <c r="AN229" s="21" t="str">
        <f t="shared" si="234"/>
        <v/>
      </c>
      <c r="AO229" s="21" t="str">
        <f t="shared" si="102"/>
        <v/>
      </c>
    </row>
    <row r="230" ht="16.5" customHeight="1">
      <c r="J230" s="18"/>
      <c r="K230" s="19"/>
      <c r="L230" s="20"/>
      <c r="M230" s="20"/>
      <c r="N230" s="20"/>
      <c r="O230" s="20"/>
      <c r="P230" s="20"/>
      <c r="Q230" s="20"/>
      <c r="R230" s="20"/>
      <c r="S230" s="20"/>
      <c r="T230" s="20"/>
      <c r="AE230" s="21" t="str">
        <f t="shared" si="100"/>
        <v/>
      </c>
      <c r="AF230" s="21" t="str">
        <f t="shared" ref="AF230:AN230" si="235">if(not(isblank(L230)),", "&amp;L230,"")</f>
        <v/>
      </c>
      <c r="AG230" s="21" t="str">
        <f t="shared" si="235"/>
        <v/>
      </c>
      <c r="AH230" s="21" t="str">
        <f t="shared" si="235"/>
        <v/>
      </c>
      <c r="AI230" s="21" t="str">
        <f t="shared" si="235"/>
        <v/>
      </c>
      <c r="AJ230" s="21" t="str">
        <f t="shared" si="235"/>
        <v/>
      </c>
      <c r="AK230" s="21" t="str">
        <f t="shared" si="235"/>
        <v/>
      </c>
      <c r="AL230" s="21" t="str">
        <f t="shared" si="235"/>
        <v/>
      </c>
      <c r="AM230" s="21" t="str">
        <f t="shared" si="235"/>
        <v/>
      </c>
      <c r="AN230" s="21" t="str">
        <f t="shared" si="235"/>
        <v/>
      </c>
      <c r="AO230" s="21" t="str">
        <f t="shared" si="102"/>
        <v/>
      </c>
    </row>
    <row r="231" ht="16.5" customHeight="1">
      <c r="J231" s="18"/>
      <c r="K231" s="19"/>
      <c r="L231" s="20"/>
      <c r="M231" s="20"/>
      <c r="N231" s="20"/>
      <c r="O231" s="20"/>
      <c r="P231" s="20"/>
      <c r="Q231" s="20"/>
      <c r="R231" s="20"/>
      <c r="S231" s="20"/>
      <c r="T231" s="20"/>
      <c r="AE231" s="21" t="str">
        <f t="shared" si="100"/>
        <v/>
      </c>
      <c r="AF231" s="21" t="str">
        <f t="shared" ref="AF231:AN231" si="236">if(not(isblank(L231)),", "&amp;L231,"")</f>
        <v/>
      </c>
      <c r="AG231" s="21" t="str">
        <f t="shared" si="236"/>
        <v/>
      </c>
      <c r="AH231" s="21" t="str">
        <f t="shared" si="236"/>
        <v/>
      </c>
      <c r="AI231" s="21" t="str">
        <f t="shared" si="236"/>
        <v/>
      </c>
      <c r="AJ231" s="21" t="str">
        <f t="shared" si="236"/>
        <v/>
      </c>
      <c r="AK231" s="21" t="str">
        <f t="shared" si="236"/>
        <v/>
      </c>
      <c r="AL231" s="21" t="str">
        <f t="shared" si="236"/>
        <v/>
      </c>
      <c r="AM231" s="21" t="str">
        <f t="shared" si="236"/>
        <v/>
      </c>
      <c r="AN231" s="21" t="str">
        <f t="shared" si="236"/>
        <v/>
      </c>
      <c r="AO231" s="21" t="str">
        <f t="shared" si="102"/>
        <v/>
      </c>
    </row>
    <row r="232" ht="16.5" customHeight="1">
      <c r="J232" s="18"/>
      <c r="K232" s="19"/>
      <c r="L232" s="20"/>
      <c r="M232" s="20"/>
      <c r="N232" s="20"/>
      <c r="O232" s="20"/>
      <c r="P232" s="20"/>
      <c r="Q232" s="20"/>
      <c r="R232" s="20"/>
      <c r="S232" s="20"/>
      <c r="T232" s="20"/>
      <c r="AE232" s="21" t="str">
        <f t="shared" si="100"/>
        <v/>
      </c>
      <c r="AF232" s="21" t="str">
        <f t="shared" ref="AF232:AN232" si="237">if(not(isblank(L232)),", "&amp;L232,"")</f>
        <v/>
      </c>
      <c r="AG232" s="21" t="str">
        <f t="shared" si="237"/>
        <v/>
      </c>
      <c r="AH232" s="21" t="str">
        <f t="shared" si="237"/>
        <v/>
      </c>
      <c r="AI232" s="21" t="str">
        <f t="shared" si="237"/>
        <v/>
      </c>
      <c r="AJ232" s="21" t="str">
        <f t="shared" si="237"/>
        <v/>
      </c>
      <c r="AK232" s="21" t="str">
        <f t="shared" si="237"/>
        <v/>
      </c>
      <c r="AL232" s="21" t="str">
        <f t="shared" si="237"/>
        <v/>
      </c>
      <c r="AM232" s="21" t="str">
        <f t="shared" si="237"/>
        <v/>
      </c>
      <c r="AN232" s="21" t="str">
        <f t="shared" si="237"/>
        <v/>
      </c>
      <c r="AO232" s="21" t="str">
        <f t="shared" si="102"/>
        <v/>
      </c>
    </row>
    <row r="233" ht="16.5" customHeight="1">
      <c r="J233" s="18"/>
      <c r="K233" s="19"/>
      <c r="L233" s="20"/>
      <c r="M233" s="20"/>
      <c r="N233" s="20"/>
      <c r="O233" s="20"/>
      <c r="P233" s="20"/>
      <c r="Q233" s="20"/>
      <c r="R233" s="20"/>
      <c r="S233" s="20"/>
      <c r="T233" s="20"/>
      <c r="AE233" s="21" t="str">
        <f t="shared" si="100"/>
        <v/>
      </c>
      <c r="AF233" s="21" t="str">
        <f t="shared" ref="AF233:AN233" si="238">if(not(isblank(L233)),", "&amp;L233,"")</f>
        <v/>
      </c>
      <c r="AG233" s="21" t="str">
        <f t="shared" si="238"/>
        <v/>
      </c>
      <c r="AH233" s="21" t="str">
        <f t="shared" si="238"/>
        <v/>
      </c>
      <c r="AI233" s="21" t="str">
        <f t="shared" si="238"/>
        <v/>
      </c>
      <c r="AJ233" s="21" t="str">
        <f t="shared" si="238"/>
        <v/>
      </c>
      <c r="AK233" s="21" t="str">
        <f t="shared" si="238"/>
        <v/>
      </c>
      <c r="AL233" s="21" t="str">
        <f t="shared" si="238"/>
        <v/>
      </c>
      <c r="AM233" s="21" t="str">
        <f t="shared" si="238"/>
        <v/>
      </c>
      <c r="AN233" s="21" t="str">
        <f t="shared" si="238"/>
        <v/>
      </c>
      <c r="AO233" s="21" t="str">
        <f t="shared" si="102"/>
        <v/>
      </c>
    </row>
    <row r="234" ht="16.5" customHeight="1">
      <c r="J234" s="18"/>
      <c r="K234" s="19"/>
      <c r="L234" s="20"/>
      <c r="M234" s="20"/>
      <c r="N234" s="20"/>
      <c r="O234" s="20"/>
      <c r="P234" s="20"/>
      <c r="Q234" s="20"/>
      <c r="R234" s="20"/>
      <c r="S234" s="20"/>
      <c r="T234" s="20"/>
      <c r="AE234" s="21" t="str">
        <f t="shared" si="100"/>
        <v/>
      </c>
      <c r="AF234" s="21" t="str">
        <f t="shared" ref="AF234:AN234" si="239">if(not(isblank(L234)),", "&amp;L234,"")</f>
        <v/>
      </c>
      <c r="AG234" s="21" t="str">
        <f t="shared" si="239"/>
        <v/>
      </c>
      <c r="AH234" s="21" t="str">
        <f t="shared" si="239"/>
        <v/>
      </c>
      <c r="AI234" s="21" t="str">
        <f t="shared" si="239"/>
        <v/>
      </c>
      <c r="AJ234" s="21" t="str">
        <f t="shared" si="239"/>
        <v/>
      </c>
      <c r="AK234" s="21" t="str">
        <f t="shared" si="239"/>
        <v/>
      </c>
      <c r="AL234" s="21" t="str">
        <f t="shared" si="239"/>
        <v/>
      </c>
      <c r="AM234" s="21" t="str">
        <f t="shared" si="239"/>
        <v/>
      </c>
      <c r="AN234" s="21" t="str">
        <f t="shared" si="239"/>
        <v/>
      </c>
      <c r="AO234" s="21" t="str">
        <f t="shared" si="102"/>
        <v/>
      </c>
    </row>
    <row r="235" ht="16.5" customHeight="1">
      <c r="J235" s="18"/>
      <c r="K235" s="19"/>
      <c r="L235" s="20"/>
      <c r="M235" s="20"/>
      <c r="N235" s="20"/>
      <c r="O235" s="20"/>
      <c r="P235" s="20"/>
      <c r="Q235" s="20"/>
      <c r="R235" s="20"/>
      <c r="S235" s="20"/>
      <c r="T235" s="20"/>
      <c r="AE235" s="21" t="str">
        <f t="shared" si="100"/>
        <v/>
      </c>
      <c r="AF235" s="21" t="str">
        <f t="shared" ref="AF235:AN235" si="240">if(not(isblank(L235)),", "&amp;L235,"")</f>
        <v/>
      </c>
      <c r="AG235" s="21" t="str">
        <f t="shared" si="240"/>
        <v/>
      </c>
      <c r="AH235" s="21" t="str">
        <f t="shared" si="240"/>
        <v/>
      </c>
      <c r="AI235" s="21" t="str">
        <f t="shared" si="240"/>
        <v/>
      </c>
      <c r="AJ235" s="21" t="str">
        <f t="shared" si="240"/>
        <v/>
      </c>
      <c r="AK235" s="21" t="str">
        <f t="shared" si="240"/>
        <v/>
      </c>
      <c r="AL235" s="21" t="str">
        <f t="shared" si="240"/>
        <v/>
      </c>
      <c r="AM235" s="21" t="str">
        <f t="shared" si="240"/>
        <v/>
      </c>
      <c r="AN235" s="21" t="str">
        <f t="shared" si="240"/>
        <v/>
      </c>
      <c r="AO235" s="21" t="str">
        <f t="shared" si="102"/>
        <v/>
      </c>
    </row>
    <row r="236" ht="16.5" customHeight="1">
      <c r="J236" s="18"/>
      <c r="K236" s="19"/>
      <c r="L236" s="20"/>
      <c r="M236" s="20"/>
      <c r="N236" s="20"/>
      <c r="O236" s="20"/>
      <c r="P236" s="20"/>
      <c r="Q236" s="20"/>
      <c r="R236" s="20"/>
      <c r="S236" s="20"/>
      <c r="T236" s="20"/>
      <c r="AE236" s="21" t="str">
        <f t="shared" si="100"/>
        <v/>
      </c>
      <c r="AF236" s="21" t="str">
        <f t="shared" ref="AF236:AN236" si="241">if(not(isblank(L236)),", "&amp;L236,"")</f>
        <v/>
      </c>
      <c r="AG236" s="21" t="str">
        <f t="shared" si="241"/>
        <v/>
      </c>
      <c r="AH236" s="21" t="str">
        <f t="shared" si="241"/>
        <v/>
      </c>
      <c r="AI236" s="21" t="str">
        <f t="shared" si="241"/>
        <v/>
      </c>
      <c r="AJ236" s="21" t="str">
        <f t="shared" si="241"/>
        <v/>
      </c>
      <c r="AK236" s="21" t="str">
        <f t="shared" si="241"/>
        <v/>
      </c>
      <c r="AL236" s="21" t="str">
        <f t="shared" si="241"/>
        <v/>
      </c>
      <c r="AM236" s="21" t="str">
        <f t="shared" si="241"/>
        <v/>
      </c>
      <c r="AN236" s="21" t="str">
        <f t="shared" si="241"/>
        <v/>
      </c>
      <c r="AO236" s="21" t="str">
        <f t="shared" si="102"/>
        <v/>
      </c>
    </row>
    <row r="237" ht="16.5" customHeight="1">
      <c r="J237" s="18"/>
      <c r="K237" s="19"/>
      <c r="L237" s="20"/>
      <c r="M237" s="20"/>
      <c r="N237" s="20"/>
      <c r="O237" s="20"/>
      <c r="P237" s="20"/>
      <c r="Q237" s="20"/>
      <c r="R237" s="20"/>
      <c r="S237" s="20"/>
      <c r="T237" s="20"/>
      <c r="AE237" s="21" t="str">
        <f t="shared" si="100"/>
        <v/>
      </c>
      <c r="AF237" s="21" t="str">
        <f t="shared" ref="AF237:AN237" si="242">if(not(isblank(L237)),", "&amp;L237,"")</f>
        <v/>
      </c>
      <c r="AG237" s="21" t="str">
        <f t="shared" si="242"/>
        <v/>
      </c>
      <c r="AH237" s="21" t="str">
        <f t="shared" si="242"/>
        <v/>
      </c>
      <c r="AI237" s="21" t="str">
        <f t="shared" si="242"/>
        <v/>
      </c>
      <c r="AJ237" s="21" t="str">
        <f t="shared" si="242"/>
        <v/>
      </c>
      <c r="AK237" s="21" t="str">
        <f t="shared" si="242"/>
        <v/>
      </c>
      <c r="AL237" s="21" t="str">
        <f t="shared" si="242"/>
        <v/>
      </c>
      <c r="AM237" s="21" t="str">
        <f t="shared" si="242"/>
        <v/>
      </c>
      <c r="AN237" s="21" t="str">
        <f t="shared" si="242"/>
        <v/>
      </c>
      <c r="AO237" s="21" t="str">
        <f t="shared" si="102"/>
        <v/>
      </c>
    </row>
    <row r="238" ht="16.5" customHeight="1">
      <c r="J238" s="18"/>
      <c r="K238" s="19"/>
      <c r="L238" s="20"/>
      <c r="M238" s="20"/>
      <c r="N238" s="20"/>
      <c r="O238" s="20"/>
      <c r="P238" s="20"/>
      <c r="Q238" s="20"/>
      <c r="R238" s="20"/>
      <c r="S238" s="20"/>
      <c r="T238" s="20"/>
      <c r="AE238" s="21" t="str">
        <f t="shared" si="100"/>
        <v/>
      </c>
      <c r="AF238" s="21" t="str">
        <f t="shared" ref="AF238:AN238" si="243">if(not(isblank(L238)),", "&amp;L238,"")</f>
        <v/>
      </c>
      <c r="AG238" s="21" t="str">
        <f t="shared" si="243"/>
        <v/>
      </c>
      <c r="AH238" s="21" t="str">
        <f t="shared" si="243"/>
        <v/>
      </c>
      <c r="AI238" s="21" t="str">
        <f t="shared" si="243"/>
        <v/>
      </c>
      <c r="AJ238" s="21" t="str">
        <f t="shared" si="243"/>
        <v/>
      </c>
      <c r="AK238" s="21" t="str">
        <f t="shared" si="243"/>
        <v/>
      </c>
      <c r="AL238" s="21" t="str">
        <f t="shared" si="243"/>
        <v/>
      </c>
      <c r="AM238" s="21" t="str">
        <f t="shared" si="243"/>
        <v/>
      </c>
      <c r="AN238" s="21" t="str">
        <f t="shared" si="243"/>
        <v/>
      </c>
      <c r="AO238" s="21" t="str">
        <f t="shared" si="102"/>
        <v/>
      </c>
    </row>
    <row r="239" ht="16.5" customHeight="1">
      <c r="J239" s="18"/>
      <c r="K239" s="19"/>
      <c r="L239" s="20"/>
      <c r="M239" s="20"/>
      <c r="N239" s="20"/>
      <c r="O239" s="20"/>
      <c r="P239" s="20"/>
      <c r="Q239" s="20"/>
      <c r="R239" s="20"/>
      <c r="S239" s="20"/>
      <c r="T239" s="20"/>
      <c r="AE239" s="21" t="str">
        <f t="shared" si="100"/>
        <v/>
      </c>
      <c r="AF239" s="21" t="str">
        <f t="shared" ref="AF239:AN239" si="244">if(not(isblank(L239)),", "&amp;L239,"")</f>
        <v/>
      </c>
      <c r="AG239" s="21" t="str">
        <f t="shared" si="244"/>
        <v/>
      </c>
      <c r="AH239" s="21" t="str">
        <f t="shared" si="244"/>
        <v/>
      </c>
      <c r="AI239" s="21" t="str">
        <f t="shared" si="244"/>
        <v/>
      </c>
      <c r="AJ239" s="21" t="str">
        <f t="shared" si="244"/>
        <v/>
      </c>
      <c r="AK239" s="21" t="str">
        <f t="shared" si="244"/>
        <v/>
      </c>
      <c r="AL239" s="21" t="str">
        <f t="shared" si="244"/>
        <v/>
      </c>
      <c r="AM239" s="21" t="str">
        <f t="shared" si="244"/>
        <v/>
      </c>
      <c r="AN239" s="21" t="str">
        <f t="shared" si="244"/>
        <v/>
      </c>
      <c r="AO239" s="21" t="str">
        <f t="shared" si="102"/>
        <v/>
      </c>
    </row>
    <row r="240" ht="16.5" customHeight="1">
      <c r="J240" s="18"/>
      <c r="K240" s="19"/>
      <c r="L240" s="20"/>
      <c r="M240" s="20"/>
      <c r="N240" s="20"/>
      <c r="O240" s="20"/>
      <c r="P240" s="20"/>
      <c r="Q240" s="20"/>
      <c r="R240" s="20"/>
      <c r="S240" s="20"/>
      <c r="T240" s="20"/>
      <c r="AE240" s="21" t="str">
        <f t="shared" si="100"/>
        <v/>
      </c>
      <c r="AF240" s="21" t="str">
        <f t="shared" ref="AF240:AN240" si="245">if(not(isblank(L240)),", "&amp;L240,"")</f>
        <v/>
      </c>
      <c r="AG240" s="21" t="str">
        <f t="shared" si="245"/>
        <v/>
      </c>
      <c r="AH240" s="21" t="str">
        <f t="shared" si="245"/>
        <v/>
      </c>
      <c r="AI240" s="21" t="str">
        <f t="shared" si="245"/>
        <v/>
      </c>
      <c r="AJ240" s="21" t="str">
        <f t="shared" si="245"/>
        <v/>
      </c>
      <c r="AK240" s="21" t="str">
        <f t="shared" si="245"/>
        <v/>
      </c>
      <c r="AL240" s="21" t="str">
        <f t="shared" si="245"/>
        <v/>
      </c>
      <c r="AM240" s="21" t="str">
        <f t="shared" si="245"/>
        <v/>
      </c>
      <c r="AN240" s="21" t="str">
        <f t="shared" si="245"/>
        <v/>
      </c>
      <c r="AO240" s="21" t="str">
        <f t="shared" si="102"/>
        <v/>
      </c>
    </row>
    <row r="241" ht="16.5" customHeight="1">
      <c r="J241" s="18"/>
      <c r="K241" s="19"/>
      <c r="L241" s="20"/>
      <c r="M241" s="20"/>
      <c r="N241" s="20"/>
      <c r="O241" s="20"/>
      <c r="P241" s="20"/>
      <c r="Q241" s="20"/>
      <c r="R241" s="20"/>
      <c r="S241" s="20"/>
      <c r="T241" s="20"/>
      <c r="AE241" s="21" t="str">
        <f t="shared" si="100"/>
        <v/>
      </c>
      <c r="AF241" s="21" t="str">
        <f t="shared" ref="AF241:AN241" si="246">if(not(isblank(L241)),", "&amp;L241,"")</f>
        <v/>
      </c>
      <c r="AG241" s="21" t="str">
        <f t="shared" si="246"/>
        <v/>
      </c>
      <c r="AH241" s="21" t="str">
        <f t="shared" si="246"/>
        <v/>
      </c>
      <c r="AI241" s="21" t="str">
        <f t="shared" si="246"/>
        <v/>
      </c>
      <c r="AJ241" s="21" t="str">
        <f t="shared" si="246"/>
        <v/>
      </c>
      <c r="AK241" s="21" t="str">
        <f t="shared" si="246"/>
        <v/>
      </c>
      <c r="AL241" s="21" t="str">
        <f t="shared" si="246"/>
        <v/>
      </c>
      <c r="AM241" s="21" t="str">
        <f t="shared" si="246"/>
        <v/>
      </c>
      <c r="AN241" s="21" t="str">
        <f t="shared" si="246"/>
        <v/>
      </c>
      <c r="AO241" s="21" t="str">
        <f t="shared" si="102"/>
        <v/>
      </c>
    </row>
    <row r="242" ht="16.5" customHeight="1">
      <c r="J242" s="18"/>
      <c r="K242" s="19"/>
      <c r="L242" s="19"/>
      <c r="M242" s="19"/>
      <c r="N242" s="19"/>
      <c r="O242" s="19"/>
      <c r="P242" s="19"/>
      <c r="Q242" s="20"/>
      <c r="R242" s="20"/>
      <c r="S242" s="20"/>
      <c r="T242" s="20"/>
      <c r="AE242" s="21" t="str">
        <f t="shared" si="100"/>
        <v/>
      </c>
      <c r="AF242" s="21" t="str">
        <f t="shared" ref="AF242:AN242" si="247">if(not(isblank(L242)),", "&amp;L242,"")</f>
        <v/>
      </c>
      <c r="AG242" s="21" t="str">
        <f t="shared" si="247"/>
        <v/>
      </c>
      <c r="AH242" s="21" t="str">
        <f t="shared" si="247"/>
        <v/>
      </c>
      <c r="AI242" s="21" t="str">
        <f t="shared" si="247"/>
        <v/>
      </c>
      <c r="AJ242" s="21" t="str">
        <f t="shared" si="247"/>
        <v/>
      </c>
      <c r="AK242" s="21" t="str">
        <f t="shared" si="247"/>
        <v/>
      </c>
      <c r="AL242" s="21" t="str">
        <f t="shared" si="247"/>
        <v/>
      </c>
      <c r="AM242" s="21" t="str">
        <f t="shared" si="247"/>
        <v/>
      </c>
      <c r="AN242" s="21" t="str">
        <f t="shared" si="247"/>
        <v/>
      </c>
      <c r="AO242" s="21" t="str">
        <f t="shared" si="102"/>
        <v/>
      </c>
    </row>
    <row r="243" ht="16.5" customHeight="1">
      <c r="J243" s="18"/>
      <c r="K243" s="19"/>
      <c r="L243" s="19"/>
      <c r="M243" s="19"/>
      <c r="N243" s="19"/>
      <c r="O243" s="19"/>
      <c r="P243" s="20"/>
      <c r="Q243" s="20"/>
      <c r="R243" s="20"/>
      <c r="S243" s="20"/>
      <c r="T243" s="20"/>
      <c r="AE243" s="21" t="str">
        <f t="shared" si="100"/>
        <v/>
      </c>
      <c r="AF243" s="21" t="str">
        <f t="shared" ref="AF243:AN243" si="248">if(not(isblank(L243)),", "&amp;L243,"")</f>
        <v/>
      </c>
      <c r="AG243" s="21" t="str">
        <f t="shared" si="248"/>
        <v/>
      </c>
      <c r="AH243" s="21" t="str">
        <f t="shared" si="248"/>
        <v/>
      </c>
      <c r="AI243" s="21" t="str">
        <f t="shared" si="248"/>
        <v/>
      </c>
      <c r="AJ243" s="21" t="str">
        <f t="shared" si="248"/>
        <v/>
      </c>
      <c r="AK243" s="21" t="str">
        <f t="shared" si="248"/>
        <v/>
      </c>
      <c r="AL243" s="21" t="str">
        <f t="shared" si="248"/>
        <v/>
      </c>
      <c r="AM243" s="21" t="str">
        <f t="shared" si="248"/>
        <v/>
      </c>
      <c r="AN243" s="21" t="str">
        <f t="shared" si="248"/>
        <v/>
      </c>
      <c r="AO243" s="21" t="str">
        <f t="shared" si="102"/>
        <v/>
      </c>
    </row>
    <row r="244" ht="16.5" customHeight="1">
      <c r="J244" s="18"/>
      <c r="K244" s="19"/>
      <c r="L244" s="19"/>
      <c r="M244" s="19"/>
      <c r="N244" s="19"/>
      <c r="O244" s="19"/>
      <c r="P244" s="19"/>
      <c r="Q244" s="20"/>
      <c r="R244" s="20"/>
      <c r="S244" s="20"/>
      <c r="T244" s="20"/>
      <c r="AE244" s="21" t="str">
        <f t="shared" si="100"/>
        <v/>
      </c>
      <c r="AF244" s="21" t="str">
        <f t="shared" ref="AF244:AN244" si="249">if(not(isblank(L244)),", "&amp;L244,"")</f>
        <v/>
      </c>
      <c r="AG244" s="21" t="str">
        <f t="shared" si="249"/>
        <v/>
      </c>
      <c r="AH244" s="21" t="str">
        <f t="shared" si="249"/>
        <v/>
      </c>
      <c r="AI244" s="21" t="str">
        <f t="shared" si="249"/>
        <v/>
      </c>
      <c r="AJ244" s="21" t="str">
        <f t="shared" si="249"/>
        <v/>
      </c>
      <c r="AK244" s="21" t="str">
        <f t="shared" si="249"/>
        <v/>
      </c>
      <c r="AL244" s="21" t="str">
        <f t="shared" si="249"/>
        <v/>
      </c>
      <c r="AM244" s="21" t="str">
        <f t="shared" si="249"/>
        <v/>
      </c>
      <c r="AN244" s="21" t="str">
        <f t="shared" si="249"/>
        <v/>
      </c>
      <c r="AO244" s="21" t="str">
        <f t="shared" si="102"/>
        <v/>
      </c>
    </row>
    <row r="245" ht="16.5" customHeight="1">
      <c r="J245" s="18"/>
      <c r="K245" s="19"/>
      <c r="L245" s="19"/>
      <c r="M245" s="19"/>
      <c r="N245" s="19"/>
      <c r="O245" s="19"/>
      <c r="P245" s="19"/>
      <c r="Q245" s="20"/>
      <c r="R245" s="20"/>
      <c r="S245" s="20"/>
      <c r="T245" s="20"/>
      <c r="AE245" s="21" t="str">
        <f t="shared" si="100"/>
        <v/>
      </c>
      <c r="AF245" s="21" t="str">
        <f t="shared" ref="AF245:AN245" si="250">if(not(isblank(L245)),", "&amp;L245,"")</f>
        <v/>
      </c>
      <c r="AG245" s="21" t="str">
        <f t="shared" si="250"/>
        <v/>
      </c>
      <c r="AH245" s="21" t="str">
        <f t="shared" si="250"/>
        <v/>
      </c>
      <c r="AI245" s="21" t="str">
        <f t="shared" si="250"/>
        <v/>
      </c>
      <c r="AJ245" s="21" t="str">
        <f t="shared" si="250"/>
        <v/>
      </c>
      <c r="AK245" s="21" t="str">
        <f t="shared" si="250"/>
        <v/>
      </c>
      <c r="AL245" s="21" t="str">
        <f t="shared" si="250"/>
        <v/>
      </c>
      <c r="AM245" s="21" t="str">
        <f t="shared" si="250"/>
        <v/>
      </c>
      <c r="AN245" s="21" t="str">
        <f t="shared" si="250"/>
        <v/>
      </c>
      <c r="AO245" s="21" t="str">
        <f t="shared" si="102"/>
        <v/>
      </c>
    </row>
    <row r="246" ht="16.5" customHeight="1">
      <c r="J246" s="18"/>
      <c r="K246" s="19"/>
      <c r="L246" s="19"/>
      <c r="M246" s="19"/>
      <c r="N246" s="19"/>
      <c r="O246" s="19"/>
      <c r="P246" s="19"/>
      <c r="Q246" s="20"/>
      <c r="R246" s="20"/>
      <c r="S246" s="20"/>
      <c r="T246" s="20"/>
      <c r="AE246" s="21" t="str">
        <f t="shared" si="100"/>
        <v/>
      </c>
      <c r="AF246" s="21" t="str">
        <f t="shared" ref="AF246:AN246" si="251">if(not(isblank(L246)),", "&amp;L246,"")</f>
        <v/>
      </c>
      <c r="AG246" s="21" t="str">
        <f t="shared" si="251"/>
        <v/>
      </c>
      <c r="AH246" s="21" t="str">
        <f t="shared" si="251"/>
        <v/>
      </c>
      <c r="AI246" s="21" t="str">
        <f t="shared" si="251"/>
        <v/>
      </c>
      <c r="AJ246" s="21" t="str">
        <f t="shared" si="251"/>
        <v/>
      </c>
      <c r="AK246" s="21" t="str">
        <f t="shared" si="251"/>
        <v/>
      </c>
      <c r="AL246" s="21" t="str">
        <f t="shared" si="251"/>
        <v/>
      </c>
      <c r="AM246" s="21" t="str">
        <f t="shared" si="251"/>
        <v/>
      </c>
      <c r="AN246" s="21" t="str">
        <f t="shared" si="251"/>
        <v/>
      </c>
      <c r="AO246" s="21" t="str">
        <f t="shared" si="102"/>
        <v/>
      </c>
    </row>
    <row r="247" ht="16.5" customHeight="1">
      <c r="J247" s="18"/>
      <c r="K247" s="19"/>
      <c r="L247" s="19"/>
      <c r="M247" s="19"/>
      <c r="N247" s="19"/>
      <c r="O247" s="19"/>
      <c r="P247" s="19"/>
      <c r="Q247" s="20"/>
      <c r="R247" s="20"/>
      <c r="S247" s="20"/>
      <c r="T247" s="20"/>
      <c r="AE247" s="21" t="str">
        <f t="shared" si="100"/>
        <v/>
      </c>
      <c r="AF247" s="21" t="str">
        <f t="shared" ref="AF247:AN247" si="252">if(not(isblank(L247)),", "&amp;L247,"")</f>
        <v/>
      </c>
      <c r="AG247" s="21" t="str">
        <f t="shared" si="252"/>
        <v/>
      </c>
      <c r="AH247" s="21" t="str">
        <f t="shared" si="252"/>
        <v/>
      </c>
      <c r="AI247" s="21" t="str">
        <f t="shared" si="252"/>
        <v/>
      </c>
      <c r="AJ247" s="21" t="str">
        <f t="shared" si="252"/>
        <v/>
      </c>
      <c r="AK247" s="21" t="str">
        <f t="shared" si="252"/>
        <v/>
      </c>
      <c r="AL247" s="21" t="str">
        <f t="shared" si="252"/>
        <v/>
      </c>
      <c r="AM247" s="21" t="str">
        <f t="shared" si="252"/>
        <v/>
      </c>
      <c r="AN247" s="21" t="str">
        <f t="shared" si="252"/>
        <v/>
      </c>
      <c r="AO247" s="21" t="str">
        <f t="shared" si="102"/>
        <v/>
      </c>
    </row>
    <row r="248" ht="16.5" customHeight="1">
      <c r="J248" s="18"/>
      <c r="K248" s="19"/>
      <c r="L248" s="20"/>
      <c r="M248" s="20"/>
      <c r="N248" s="20"/>
      <c r="O248" s="20"/>
      <c r="P248" s="20"/>
      <c r="Q248" s="20"/>
      <c r="R248" s="20"/>
      <c r="S248" s="20"/>
      <c r="T248" s="20"/>
      <c r="AE248" s="21" t="str">
        <f t="shared" si="100"/>
        <v/>
      </c>
      <c r="AF248" s="21" t="str">
        <f t="shared" ref="AF248:AN248" si="253">if(not(isblank(L248)),", "&amp;L248,"")</f>
        <v/>
      </c>
      <c r="AG248" s="21" t="str">
        <f t="shared" si="253"/>
        <v/>
      </c>
      <c r="AH248" s="21" t="str">
        <f t="shared" si="253"/>
        <v/>
      </c>
      <c r="AI248" s="21" t="str">
        <f t="shared" si="253"/>
        <v/>
      </c>
      <c r="AJ248" s="21" t="str">
        <f t="shared" si="253"/>
        <v/>
      </c>
      <c r="AK248" s="21" t="str">
        <f t="shared" si="253"/>
        <v/>
      </c>
      <c r="AL248" s="21" t="str">
        <f t="shared" si="253"/>
        <v/>
      </c>
      <c r="AM248" s="21" t="str">
        <f t="shared" si="253"/>
        <v/>
      </c>
      <c r="AN248" s="21" t="str">
        <f t="shared" si="253"/>
        <v/>
      </c>
      <c r="AO248" s="21" t="str">
        <f t="shared" si="102"/>
        <v/>
      </c>
    </row>
    <row r="249" ht="16.5" customHeight="1">
      <c r="J249" s="18"/>
      <c r="K249" s="19"/>
      <c r="L249" s="20"/>
      <c r="M249" s="20"/>
      <c r="N249" s="20"/>
      <c r="O249" s="20"/>
      <c r="P249" s="20"/>
      <c r="Q249" s="20"/>
      <c r="R249" s="20"/>
      <c r="S249" s="20"/>
      <c r="T249" s="20"/>
      <c r="AE249" s="21" t="str">
        <f t="shared" si="100"/>
        <v/>
      </c>
      <c r="AF249" s="21" t="str">
        <f t="shared" ref="AF249:AN249" si="254">if(not(isblank(L249)),", "&amp;L249,"")</f>
        <v/>
      </c>
      <c r="AG249" s="21" t="str">
        <f t="shared" si="254"/>
        <v/>
      </c>
      <c r="AH249" s="21" t="str">
        <f t="shared" si="254"/>
        <v/>
      </c>
      <c r="AI249" s="21" t="str">
        <f t="shared" si="254"/>
        <v/>
      </c>
      <c r="AJ249" s="21" t="str">
        <f t="shared" si="254"/>
        <v/>
      </c>
      <c r="AK249" s="21" t="str">
        <f t="shared" si="254"/>
        <v/>
      </c>
      <c r="AL249" s="21" t="str">
        <f t="shared" si="254"/>
        <v/>
      </c>
      <c r="AM249" s="21" t="str">
        <f t="shared" si="254"/>
        <v/>
      </c>
      <c r="AN249" s="21" t="str">
        <f t="shared" si="254"/>
        <v/>
      </c>
      <c r="AO249" s="21" t="str">
        <f t="shared" si="102"/>
        <v/>
      </c>
    </row>
    <row r="250" ht="16.5" customHeight="1">
      <c r="J250" s="18"/>
      <c r="K250" s="19"/>
      <c r="L250" s="20"/>
      <c r="M250" s="20"/>
      <c r="N250" s="20"/>
      <c r="O250" s="20"/>
      <c r="P250" s="20"/>
      <c r="Q250" s="20"/>
      <c r="R250" s="20"/>
      <c r="S250" s="20"/>
      <c r="T250" s="20"/>
      <c r="AE250" s="21" t="str">
        <f t="shared" si="100"/>
        <v/>
      </c>
      <c r="AF250" s="21" t="str">
        <f t="shared" ref="AF250:AN250" si="255">if(not(isblank(L250)),", "&amp;L250,"")</f>
        <v/>
      </c>
      <c r="AG250" s="21" t="str">
        <f t="shared" si="255"/>
        <v/>
      </c>
      <c r="AH250" s="21" t="str">
        <f t="shared" si="255"/>
        <v/>
      </c>
      <c r="AI250" s="21" t="str">
        <f t="shared" si="255"/>
        <v/>
      </c>
      <c r="AJ250" s="21" t="str">
        <f t="shared" si="255"/>
        <v/>
      </c>
      <c r="AK250" s="21" t="str">
        <f t="shared" si="255"/>
        <v/>
      </c>
      <c r="AL250" s="21" t="str">
        <f t="shared" si="255"/>
        <v/>
      </c>
      <c r="AM250" s="21" t="str">
        <f t="shared" si="255"/>
        <v/>
      </c>
      <c r="AN250" s="21" t="str">
        <f t="shared" si="255"/>
        <v/>
      </c>
      <c r="AO250" s="21" t="str">
        <f t="shared" si="102"/>
        <v/>
      </c>
    </row>
    <row r="251" ht="16.5" customHeight="1">
      <c r="J251" s="18"/>
      <c r="K251" s="19"/>
      <c r="L251" s="20"/>
      <c r="M251" s="20"/>
      <c r="N251" s="20"/>
      <c r="O251" s="20"/>
      <c r="P251" s="20"/>
      <c r="Q251" s="20"/>
      <c r="R251" s="20"/>
      <c r="S251" s="20"/>
      <c r="T251" s="20"/>
      <c r="AE251" s="21" t="str">
        <f t="shared" si="100"/>
        <v/>
      </c>
      <c r="AF251" s="21" t="str">
        <f t="shared" ref="AF251:AN251" si="256">if(not(isblank(L251)),", "&amp;L251,"")</f>
        <v/>
      </c>
      <c r="AG251" s="21" t="str">
        <f t="shared" si="256"/>
        <v/>
      </c>
      <c r="AH251" s="21" t="str">
        <f t="shared" si="256"/>
        <v/>
      </c>
      <c r="AI251" s="21" t="str">
        <f t="shared" si="256"/>
        <v/>
      </c>
      <c r="AJ251" s="21" t="str">
        <f t="shared" si="256"/>
        <v/>
      </c>
      <c r="AK251" s="21" t="str">
        <f t="shared" si="256"/>
        <v/>
      </c>
      <c r="AL251" s="21" t="str">
        <f t="shared" si="256"/>
        <v/>
      </c>
      <c r="AM251" s="21" t="str">
        <f t="shared" si="256"/>
        <v/>
      </c>
      <c r="AN251" s="21" t="str">
        <f t="shared" si="256"/>
        <v/>
      </c>
      <c r="AO251" s="21" t="str">
        <f t="shared" si="102"/>
        <v/>
      </c>
    </row>
    <row r="252" ht="16.5" customHeight="1">
      <c r="J252" s="18"/>
      <c r="K252" s="19"/>
      <c r="L252" s="20"/>
      <c r="M252" s="20"/>
      <c r="N252" s="20"/>
      <c r="O252" s="20"/>
      <c r="P252" s="20"/>
      <c r="Q252" s="20"/>
      <c r="R252" s="20"/>
      <c r="S252" s="20"/>
      <c r="T252" s="20"/>
      <c r="AE252" s="21" t="str">
        <f t="shared" si="100"/>
        <v/>
      </c>
      <c r="AF252" s="21" t="str">
        <f t="shared" ref="AF252:AN252" si="257">if(not(isblank(L252)),", "&amp;L252,"")</f>
        <v/>
      </c>
      <c r="AG252" s="21" t="str">
        <f t="shared" si="257"/>
        <v/>
      </c>
      <c r="AH252" s="21" t="str">
        <f t="shared" si="257"/>
        <v/>
      </c>
      <c r="AI252" s="21" t="str">
        <f t="shared" si="257"/>
        <v/>
      </c>
      <c r="AJ252" s="21" t="str">
        <f t="shared" si="257"/>
        <v/>
      </c>
      <c r="AK252" s="21" t="str">
        <f t="shared" si="257"/>
        <v/>
      </c>
      <c r="AL252" s="21" t="str">
        <f t="shared" si="257"/>
        <v/>
      </c>
      <c r="AM252" s="21" t="str">
        <f t="shared" si="257"/>
        <v/>
      </c>
      <c r="AN252" s="21" t="str">
        <f t="shared" si="257"/>
        <v/>
      </c>
      <c r="AO252" s="21" t="str">
        <f t="shared" si="102"/>
        <v/>
      </c>
    </row>
    <row r="253" ht="16.5" customHeight="1">
      <c r="J253" s="18"/>
      <c r="K253" s="19"/>
      <c r="L253" s="20"/>
      <c r="M253" s="20"/>
      <c r="N253" s="20"/>
      <c r="O253" s="20"/>
      <c r="P253" s="20"/>
      <c r="Q253" s="20"/>
      <c r="R253" s="20"/>
      <c r="S253" s="20"/>
      <c r="T253" s="20"/>
      <c r="AE253" s="21" t="str">
        <f t="shared" si="100"/>
        <v/>
      </c>
      <c r="AF253" s="21" t="str">
        <f t="shared" ref="AF253:AN253" si="258">if(not(isblank(L253)),", "&amp;L253,"")</f>
        <v/>
      </c>
      <c r="AG253" s="21" t="str">
        <f t="shared" si="258"/>
        <v/>
      </c>
      <c r="AH253" s="21" t="str">
        <f t="shared" si="258"/>
        <v/>
      </c>
      <c r="AI253" s="21" t="str">
        <f t="shared" si="258"/>
        <v/>
      </c>
      <c r="AJ253" s="21" t="str">
        <f t="shared" si="258"/>
        <v/>
      </c>
      <c r="AK253" s="21" t="str">
        <f t="shared" si="258"/>
        <v/>
      </c>
      <c r="AL253" s="21" t="str">
        <f t="shared" si="258"/>
        <v/>
      </c>
      <c r="AM253" s="21" t="str">
        <f t="shared" si="258"/>
        <v/>
      </c>
      <c r="AN253" s="21" t="str">
        <f t="shared" si="258"/>
        <v/>
      </c>
      <c r="AO253" s="21" t="str">
        <f t="shared" si="102"/>
        <v/>
      </c>
    </row>
    <row r="254" ht="16.5" customHeight="1">
      <c r="J254" s="18"/>
      <c r="K254" s="19"/>
      <c r="L254" s="19"/>
      <c r="M254" s="19"/>
      <c r="N254" s="19"/>
      <c r="O254" s="19"/>
      <c r="P254" s="20"/>
      <c r="Q254" s="20"/>
      <c r="R254" s="20"/>
      <c r="S254" s="20"/>
      <c r="T254" s="20"/>
      <c r="AE254" s="21" t="str">
        <f t="shared" si="100"/>
        <v/>
      </c>
      <c r="AF254" s="21" t="str">
        <f t="shared" ref="AF254:AN254" si="259">if(not(isblank(L254)),", "&amp;L254,"")</f>
        <v/>
      </c>
      <c r="AG254" s="21" t="str">
        <f t="shared" si="259"/>
        <v/>
      </c>
      <c r="AH254" s="21" t="str">
        <f t="shared" si="259"/>
        <v/>
      </c>
      <c r="AI254" s="21" t="str">
        <f t="shared" si="259"/>
        <v/>
      </c>
      <c r="AJ254" s="21" t="str">
        <f t="shared" si="259"/>
        <v/>
      </c>
      <c r="AK254" s="21" t="str">
        <f t="shared" si="259"/>
        <v/>
      </c>
      <c r="AL254" s="21" t="str">
        <f t="shared" si="259"/>
        <v/>
      </c>
      <c r="AM254" s="21" t="str">
        <f t="shared" si="259"/>
        <v/>
      </c>
      <c r="AN254" s="21" t="str">
        <f t="shared" si="259"/>
        <v/>
      </c>
      <c r="AO254" s="21" t="str">
        <f t="shared" si="102"/>
        <v/>
      </c>
    </row>
    <row r="255" ht="16.5" customHeight="1">
      <c r="J255" s="18"/>
      <c r="K255" s="19"/>
      <c r="L255" s="19"/>
      <c r="M255" s="19"/>
      <c r="N255" s="19"/>
      <c r="O255" s="19"/>
      <c r="P255" s="20"/>
      <c r="Q255" s="20"/>
      <c r="R255" s="20"/>
      <c r="S255" s="20"/>
      <c r="T255" s="20"/>
      <c r="AE255" s="21" t="str">
        <f t="shared" si="100"/>
        <v/>
      </c>
      <c r="AF255" s="21" t="str">
        <f t="shared" ref="AF255:AN255" si="260">if(not(isblank(L255)),", "&amp;L255,"")</f>
        <v/>
      </c>
      <c r="AG255" s="21" t="str">
        <f t="shared" si="260"/>
        <v/>
      </c>
      <c r="AH255" s="21" t="str">
        <f t="shared" si="260"/>
        <v/>
      </c>
      <c r="AI255" s="21" t="str">
        <f t="shared" si="260"/>
        <v/>
      </c>
      <c r="AJ255" s="21" t="str">
        <f t="shared" si="260"/>
        <v/>
      </c>
      <c r="AK255" s="21" t="str">
        <f t="shared" si="260"/>
        <v/>
      </c>
      <c r="AL255" s="21" t="str">
        <f t="shared" si="260"/>
        <v/>
      </c>
      <c r="AM255" s="21" t="str">
        <f t="shared" si="260"/>
        <v/>
      </c>
      <c r="AN255" s="21" t="str">
        <f t="shared" si="260"/>
        <v/>
      </c>
      <c r="AO255" s="21" t="str">
        <f t="shared" si="102"/>
        <v/>
      </c>
    </row>
    <row r="256" ht="16.5" customHeight="1">
      <c r="J256" s="18"/>
      <c r="K256" s="19"/>
      <c r="L256" s="19"/>
      <c r="M256" s="19"/>
      <c r="N256" s="19"/>
      <c r="O256" s="19"/>
      <c r="P256" s="20"/>
      <c r="Q256" s="20"/>
      <c r="R256" s="20"/>
      <c r="S256" s="20"/>
      <c r="T256" s="20"/>
      <c r="AE256" s="21" t="str">
        <f t="shared" si="100"/>
        <v/>
      </c>
      <c r="AF256" s="21" t="str">
        <f t="shared" ref="AF256:AN256" si="261">if(not(isblank(L256)),", "&amp;L256,"")</f>
        <v/>
      </c>
      <c r="AG256" s="21" t="str">
        <f t="shared" si="261"/>
        <v/>
      </c>
      <c r="AH256" s="21" t="str">
        <f t="shared" si="261"/>
        <v/>
      </c>
      <c r="AI256" s="21" t="str">
        <f t="shared" si="261"/>
        <v/>
      </c>
      <c r="AJ256" s="21" t="str">
        <f t="shared" si="261"/>
        <v/>
      </c>
      <c r="AK256" s="21" t="str">
        <f t="shared" si="261"/>
        <v/>
      </c>
      <c r="AL256" s="21" t="str">
        <f t="shared" si="261"/>
        <v/>
      </c>
      <c r="AM256" s="21" t="str">
        <f t="shared" si="261"/>
        <v/>
      </c>
      <c r="AN256" s="21" t="str">
        <f t="shared" si="261"/>
        <v/>
      </c>
      <c r="AO256" s="21" t="str">
        <f t="shared" si="102"/>
        <v/>
      </c>
    </row>
    <row r="257" ht="16.5" customHeight="1">
      <c r="J257" s="18"/>
      <c r="K257" s="19"/>
      <c r="L257" s="19"/>
      <c r="M257" s="19"/>
      <c r="N257" s="19"/>
      <c r="O257" s="19"/>
      <c r="P257" s="19"/>
      <c r="Q257" s="20"/>
      <c r="R257" s="20"/>
      <c r="S257" s="20"/>
      <c r="T257" s="20"/>
      <c r="AE257" s="21" t="str">
        <f t="shared" si="100"/>
        <v/>
      </c>
      <c r="AF257" s="21" t="str">
        <f t="shared" ref="AF257:AN257" si="262">if(not(isblank(L257)),", "&amp;L257,"")</f>
        <v/>
      </c>
      <c r="AG257" s="21" t="str">
        <f t="shared" si="262"/>
        <v/>
      </c>
      <c r="AH257" s="21" t="str">
        <f t="shared" si="262"/>
        <v/>
      </c>
      <c r="AI257" s="21" t="str">
        <f t="shared" si="262"/>
        <v/>
      </c>
      <c r="AJ257" s="21" t="str">
        <f t="shared" si="262"/>
        <v/>
      </c>
      <c r="AK257" s="21" t="str">
        <f t="shared" si="262"/>
        <v/>
      </c>
      <c r="AL257" s="21" t="str">
        <f t="shared" si="262"/>
        <v/>
      </c>
      <c r="AM257" s="21" t="str">
        <f t="shared" si="262"/>
        <v/>
      </c>
      <c r="AN257" s="21" t="str">
        <f t="shared" si="262"/>
        <v/>
      </c>
      <c r="AO257" s="21" t="str">
        <f t="shared" si="102"/>
        <v/>
      </c>
    </row>
    <row r="258" ht="16.5" customHeight="1">
      <c r="J258" s="18"/>
      <c r="K258" s="19"/>
      <c r="L258" s="19"/>
      <c r="M258" s="19"/>
      <c r="N258" s="19"/>
      <c r="O258" s="19"/>
      <c r="P258" s="19"/>
      <c r="Q258" s="20"/>
      <c r="R258" s="20"/>
      <c r="S258" s="20"/>
      <c r="T258" s="20"/>
      <c r="AE258" s="21" t="str">
        <f t="shared" si="100"/>
        <v/>
      </c>
      <c r="AF258" s="21" t="str">
        <f t="shared" ref="AF258:AN258" si="263">if(not(isblank(L258)),", "&amp;L258,"")</f>
        <v/>
      </c>
      <c r="AG258" s="21" t="str">
        <f t="shared" si="263"/>
        <v/>
      </c>
      <c r="AH258" s="21" t="str">
        <f t="shared" si="263"/>
        <v/>
      </c>
      <c r="AI258" s="21" t="str">
        <f t="shared" si="263"/>
        <v/>
      </c>
      <c r="AJ258" s="21" t="str">
        <f t="shared" si="263"/>
        <v/>
      </c>
      <c r="AK258" s="21" t="str">
        <f t="shared" si="263"/>
        <v/>
      </c>
      <c r="AL258" s="21" t="str">
        <f t="shared" si="263"/>
        <v/>
      </c>
      <c r="AM258" s="21" t="str">
        <f t="shared" si="263"/>
        <v/>
      </c>
      <c r="AN258" s="21" t="str">
        <f t="shared" si="263"/>
        <v/>
      </c>
      <c r="AO258" s="21" t="str">
        <f t="shared" si="102"/>
        <v/>
      </c>
    </row>
    <row r="259" ht="16.5" customHeight="1">
      <c r="J259" s="18"/>
      <c r="K259" s="19"/>
      <c r="L259" s="19"/>
      <c r="M259" s="19"/>
      <c r="N259" s="19"/>
      <c r="O259" s="19"/>
      <c r="P259" s="20"/>
      <c r="Q259" s="20"/>
      <c r="R259" s="20"/>
      <c r="S259" s="20"/>
      <c r="T259" s="20"/>
      <c r="AE259" s="21" t="str">
        <f t="shared" si="100"/>
        <v/>
      </c>
      <c r="AF259" s="21" t="str">
        <f t="shared" ref="AF259:AN259" si="264">if(not(isblank(L259)),", "&amp;L259,"")</f>
        <v/>
      </c>
      <c r="AG259" s="21" t="str">
        <f t="shared" si="264"/>
        <v/>
      </c>
      <c r="AH259" s="21" t="str">
        <f t="shared" si="264"/>
        <v/>
      </c>
      <c r="AI259" s="21" t="str">
        <f t="shared" si="264"/>
        <v/>
      </c>
      <c r="AJ259" s="21" t="str">
        <f t="shared" si="264"/>
        <v/>
      </c>
      <c r="AK259" s="21" t="str">
        <f t="shared" si="264"/>
        <v/>
      </c>
      <c r="AL259" s="21" t="str">
        <f t="shared" si="264"/>
        <v/>
      </c>
      <c r="AM259" s="21" t="str">
        <f t="shared" si="264"/>
        <v/>
      </c>
      <c r="AN259" s="21" t="str">
        <f t="shared" si="264"/>
        <v/>
      </c>
      <c r="AO259" s="21" t="str">
        <f t="shared" si="102"/>
        <v/>
      </c>
    </row>
    <row r="260" ht="16.5" customHeight="1">
      <c r="J260" s="18"/>
      <c r="K260" s="19"/>
      <c r="L260" s="20"/>
      <c r="M260" s="20"/>
      <c r="N260" s="20"/>
      <c r="O260" s="20"/>
      <c r="P260" s="20"/>
      <c r="Q260" s="20"/>
      <c r="R260" s="20"/>
      <c r="S260" s="20"/>
      <c r="T260" s="20"/>
      <c r="AE260" s="21" t="str">
        <f t="shared" si="100"/>
        <v/>
      </c>
      <c r="AF260" s="21" t="str">
        <f t="shared" ref="AF260:AN260" si="265">if(not(isblank(L260)),", "&amp;L260,"")</f>
        <v/>
      </c>
      <c r="AG260" s="21" t="str">
        <f t="shared" si="265"/>
        <v/>
      </c>
      <c r="AH260" s="21" t="str">
        <f t="shared" si="265"/>
        <v/>
      </c>
      <c r="AI260" s="21" t="str">
        <f t="shared" si="265"/>
        <v/>
      </c>
      <c r="AJ260" s="21" t="str">
        <f t="shared" si="265"/>
        <v/>
      </c>
      <c r="AK260" s="21" t="str">
        <f t="shared" si="265"/>
        <v/>
      </c>
      <c r="AL260" s="21" t="str">
        <f t="shared" si="265"/>
        <v/>
      </c>
      <c r="AM260" s="21" t="str">
        <f t="shared" si="265"/>
        <v/>
      </c>
      <c r="AN260" s="21" t="str">
        <f t="shared" si="265"/>
        <v/>
      </c>
      <c r="AO260" s="21" t="str">
        <f t="shared" si="102"/>
        <v/>
      </c>
    </row>
    <row r="261" ht="16.5" customHeight="1">
      <c r="F261" s="26"/>
      <c r="G261" s="26"/>
      <c r="J261" s="18"/>
      <c r="K261" s="19"/>
      <c r="L261" s="19"/>
      <c r="M261" s="19"/>
      <c r="N261" s="19"/>
      <c r="O261" s="19"/>
      <c r="P261" s="20"/>
      <c r="Q261" s="20"/>
      <c r="R261" s="20"/>
      <c r="S261" s="20"/>
      <c r="T261" s="20"/>
      <c r="AE261" s="21" t="str">
        <f t="shared" si="100"/>
        <v/>
      </c>
      <c r="AF261" s="21" t="str">
        <f t="shared" ref="AF261:AN261" si="266">if(not(isblank(L261)),", "&amp;L261,"")</f>
        <v/>
      </c>
      <c r="AG261" s="21" t="str">
        <f t="shared" si="266"/>
        <v/>
      </c>
      <c r="AH261" s="21" t="str">
        <f t="shared" si="266"/>
        <v/>
      </c>
      <c r="AI261" s="21" t="str">
        <f t="shared" si="266"/>
        <v/>
      </c>
      <c r="AJ261" s="21" t="str">
        <f t="shared" si="266"/>
        <v/>
      </c>
      <c r="AK261" s="21" t="str">
        <f t="shared" si="266"/>
        <v/>
      </c>
      <c r="AL261" s="21" t="str">
        <f t="shared" si="266"/>
        <v/>
      </c>
      <c r="AM261" s="21" t="str">
        <f t="shared" si="266"/>
        <v/>
      </c>
      <c r="AN261" s="21" t="str">
        <f t="shared" si="266"/>
        <v/>
      </c>
      <c r="AO261" s="21" t="str">
        <f t="shared" si="102"/>
        <v/>
      </c>
    </row>
    <row r="262" ht="16.5" customHeight="1">
      <c r="J262" s="18"/>
      <c r="K262" s="19"/>
      <c r="L262" s="19"/>
      <c r="M262" s="19"/>
      <c r="N262" s="19"/>
      <c r="O262" s="19"/>
      <c r="P262" s="19"/>
      <c r="Q262" s="20"/>
      <c r="R262" s="20"/>
      <c r="S262" s="20"/>
      <c r="T262" s="20"/>
      <c r="AE262" s="21" t="str">
        <f t="shared" si="100"/>
        <v/>
      </c>
      <c r="AF262" s="21" t="str">
        <f t="shared" ref="AF262:AN262" si="267">if(not(isblank(L262)),", "&amp;L262,"")</f>
        <v/>
      </c>
      <c r="AG262" s="21" t="str">
        <f t="shared" si="267"/>
        <v/>
      </c>
      <c r="AH262" s="21" t="str">
        <f t="shared" si="267"/>
        <v/>
      </c>
      <c r="AI262" s="21" t="str">
        <f t="shared" si="267"/>
        <v/>
      </c>
      <c r="AJ262" s="21" t="str">
        <f t="shared" si="267"/>
        <v/>
      </c>
      <c r="AK262" s="21" t="str">
        <f t="shared" si="267"/>
        <v/>
      </c>
      <c r="AL262" s="21" t="str">
        <f t="shared" si="267"/>
        <v/>
      </c>
      <c r="AM262" s="21" t="str">
        <f t="shared" si="267"/>
        <v/>
      </c>
      <c r="AN262" s="21" t="str">
        <f t="shared" si="267"/>
        <v/>
      </c>
      <c r="AO262" s="21" t="str">
        <f t="shared" si="102"/>
        <v/>
      </c>
    </row>
    <row r="263" ht="16.5" customHeight="1">
      <c r="J263" s="18"/>
      <c r="K263" s="19"/>
      <c r="L263" s="20"/>
      <c r="M263" s="20"/>
      <c r="N263" s="20"/>
      <c r="O263" s="20"/>
      <c r="P263" s="20"/>
      <c r="Q263" s="20"/>
      <c r="R263" s="20"/>
      <c r="S263" s="20"/>
      <c r="T263" s="20"/>
      <c r="AE263" s="21" t="str">
        <f t="shared" si="100"/>
        <v/>
      </c>
      <c r="AF263" s="21" t="str">
        <f t="shared" ref="AF263:AN263" si="268">if(not(isblank(L263)),", "&amp;L263,"")</f>
        <v/>
      </c>
      <c r="AG263" s="21" t="str">
        <f t="shared" si="268"/>
        <v/>
      </c>
      <c r="AH263" s="21" t="str">
        <f t="shared" si="268"/>
        <v/>
      </c>
      <c r="AI263" s="21" t="str">
        <f t="shared" si="268"/>
        <v/>
      </c>
      <c r="AJ263" s="21" t="str">
        <f t="shared" si="268"/>
        <v/>
      </c>
      <c r="AK263" s="21" t="str">
        <f t="shared" si="268"/>
        <v/>
      </c>
      <c r="AL263" s="21" t="str">
        <f t="shared" si="268"/>
        <v/>
      </c>
      <c r="AM263" s="21" t="str">
        <f t="shared" si="268"/>
        <v/>
      </c>
      <c r="AN263" s="21" t="str">
        <f t="shared" si="268"/>
        <v/>
      </c>
      <c r="AO263" s="21" t="str">
        <f t="shared" si="102"/>
        <v/>
      </c>
    </row>
    <row r="264" ht="16.5" customHeight="1">
      <c r="J264" s="18"/>
      <c r="K264" s="19"/>
      <c r="L264" s="20"/>
      <c r="M264" s="20"/>
      <c r="N264" s="20"/>
      <c r="O264" s="20"/>
      <c r="P264" s="20"/>
      <c r="Q264" s="20"/>
      <c r="R264" s="20"/>
      <c r="S264" s="20"/>
      <c r="T264" s="20"/>
      <c r="AE264" s="21" t="str">
        <f t="shared" si="100"/>
        <v/>
      </c>
      <c r="AF264" s="21" t="str">
        <f t="shared" ref="AF264:AN264" si="269">if(not(isblank(L264)),", "&amp;L264,"")</f>
        <v/>
      </c>
      <c r="AG264" s="21" t="str">
        <f t="shared" si="269"/>
        <v/>
      </c>
      <c r="AH264" s="21" t="str">
        <f t="shared" si="269"/>
        <v/>
      </c>
      <c r="AI264" s="21" t="str">
        <f t="shared" si="269"/>
        <v/>
      </c>
      <c r="AJ264" s="21" t="str">
        <f t="shared" si="269"/>
        <v/>
      </c>
      <c r="AK264" s="21" t="str">
        <f t="shared" si="269"/>
        <v/>
      </c>
      <c r="AL264" s="21" t="str">
        <f t="shared" si="269"/>
        <v/>
      </c>
      <c r="AM264" s="21" t="str">
        <f t="shared" si="269"/>
        <v/>
      </c>
      <c r="AN264" s="21" t="str">
        <f t="shared" si="269"/>
        <v/>
      </c>
      <c r="AO264" s="21" t="str">
        <f t="shared" si="102"/>
        <v/>
      </c>
    </row>
    <row r="265" ht="16.5" customHeight="1">
      <c r="J265" s="18"/>
      <c r="K265" s="19"/>
      <c r="L265" s="20"/>
      <c r="M265" s="20"/>
      <c r="N265" s="20"/>
      <c r="O265" s="20"/>
      <c r="P265" s="20"/>
      <c r="Q265" s="20"/>
      <c r="R265" s="20"/>
      <c r="S265" s="20"/>
      <c r="T265" s="20"/>
      <c r="AE265" s="21" t="str">
        <f t="shared" si="100"/>
        <v/>
      </c>
      <c r="AF265" s="21" t="str">
        <f t="shared" ref="AF265:AN265" si="270">if(not(isblank(L265)),", "&amp;L265,"")</f>
        <v/>
      </c>
      <c r="AG265" s="21" t="str">
        <f t="shared" si="270"/>
        <v/>
      </c>
      <c r="AH265" s="21" t="str">
        <f t="shared" si="270"/>
        <v/>
      </c>
      <c r="AI265" s="21" t="str">
        <f t="shared" si="270"/>
        <v/>
      </c>
      <c r="AJ265" s="21" t="str">
        <f t="shared" si="270"/>
        <v/>
      </c>
      <c r="AK265" s="21" t="str">
        <f t="shared" si="270"/>
        <v/>
      </c>
      <c r="AL265" s="21" t="str">
        <f t="shared" si="270"/>
        <v/>
      </c>
      <c r="AM265" s="21" t="str">
        <f t="shared" si="270"/>
        <v/>
      </c>
      <c r="AN265" s="21" t="str">
        <f t="shared" si="270"/>
        <v/>
      </c>
      <c r="AO265" s="21" t="str">
        <f t="shared" si="102"/>
        <v/>
      </c>
    </row>
    <row r="266" ht="16.5" customHeight="1">
      <c r="J266" s="18"/>
      <c r="K266" s="19"/>
      <c r="L266" s="20"/>
      <c r="M266" s="20"/>
      <c r="N266" s="20"/>
      <c r="O266" s="20"/>
      <c r="P266" s="20"/>
      <c r="Q266" s="20"/>
      <c r="R266" s="20"/>
      <c r="S266" s="20"/>
      <c r="T266" s="20"/>
      <c r="AE266" s="21" t="str">
        <f t="shared" si="100"/>
        <v/>
      </c>
      <c r="AF266" s="21" t="str">
        <f t="shared" ref="AF266:AN266" si="271">if(not(isblank(L266)),", "&amp;L266,"")</f>
        <v/>
      </c>
      <c r="AG266" s="21" t="str">
        <f t="shared" si="271"/>
        <v/>
      </c>
      <c r="AH266" s="21" t="str">
        <f t="shared" si="271"/>
        <v/>
      </c>
      <c r="AI266" s="21" t="str">
        <f t="shared" si="271"/>
        <v/>
      </c>
      <c r="AJ266" s="21" t="str">
        <f t="shared" si="271"/>
        <v/>
      </c>
      <c r="AK266" s="21" t="str">
        <f t="shared" si="271"/>
        <v/>
      </c>
      <c r="AL266" s="21" t="str">
        <f t="shared" si="271"/>
        <v/>
      </c>
      <c r="AM266" s="21" t="str">
        <f t="shared" si="271"/>
        <v/>
      </c>
      <c r="AN266" s="21" t="str">
        <f t="shared" si="271"/>
        <v/>
      </c>
      <c r="AO266" s="21" t="str">
        <f t="shared" si="102"/>
        <v/>
      </c>
    </row>
    <row r="267" ht="16.5" customHeight="1">
      <c r="J267" s="18"/>
      <c r="K267" s="19"/>
      <c r="L267" s="20"/>
      <c r="M267" s="20"/>
      <c r="N267" s="20"/>
      <c r="O267" s="20"/>
      <c r="P267" s="20"/>
      <c r="Q267" s="20"/>
      <c r="R267" s="20"/>
      <c r="S267" s="20"/>
      <c r="T267" s="20"/>
      <c r="AE267" s="21" t="str">
        <f t="shared" si="100"/>
        <v/>
      </c>
      <c r="AF267" s="21" t="str">
        <f t="shared" ref="AF267:AN267" si="272">if(not(isblank(L267)),", "&amp;L267,"")</f>
        <v/>
      </c>
      <c r="AG267" s="21" t="str">
        <f t="shared" si="272"/>
        <v/>
      </c>
      <c r="AH267" s="21" t="str">
        <f t="shared" si="272"/>
        <v/>
      </c>
      <c r="AI267" s="21" t="str">
        <f t="shared" si="272"/>
        <v/>
      </c>
      <c r="AJ267" s="21" t="str">
        <f t="shared" si="272"/>
        <v/>
      </c>
      <c r="AK267" s="21" t="str">
        <f t="shared" si="272"/>
        <v/>
      </c>
      <c r="AL267" s="21" t="str">
        <f t="shared" si="272"/>
        <v/>
      </c>
      <c r="AM267" s="21" t="str">
        <f t="shared" si="272"/>
        <v/>
      </c>
      <c r="AN267" s="21" t="str">
        <f t="shared" si="272"/>
        <v/>
      </c>
      <c r="AO267" s="21" t="str">
        <f t="shared" si="102"/>
        <v/>
      </c>
    </row>
    <row r="268" ht="16.5" customHeight="1">
      <c r="J268" s="18"/>
      <c r="K268" s="19"/>
      <c r="L268" s="20"/>
      <c r="M268" s="20"/>
      <c r="N268" s="20"/>
      <c r="O268" s="20"/>
      <c r="P268" s="20"/>
      <c r="Q268" s="20"/>
      <c r="R268" s="20"/>
      <c r="S268" s="20"/>
      <c r="T268" s="20"/>
      <c r="AE268" s="21" t="str">
        <f t="shared" si="100"/>
        <v/>
      </c>
      <c r="AF268" s="21" t="str">
        <f t="shared" ref="AF268:AN268" si="273">if(not(isblank(L268)),", "&amp;L268,"")</f>
        <v/>
      </c>
      <c r="AG268" s="21" t="str">
        <f t="shared" si="273"/>
        <v/>
      </c>
      <c r="AH268" s="21" t="str">
        <f t="shared" si="273"/>
        <v/>
      </c>
      <c r="AI268" s="21" t="str">
        <f t="shared" si="273"/>
        <v/>
      </c>
      <c r="AJ268" s="21" t="str">
        <f t="shared" si="273"/>
        <v/>
      </c>
      <c r="AK268" s="21" t="str">
        <f t="shared" si="273"/>
        <v/>
      </c>
      <c r="AL268" s="21" t="str">
        <f t="shared" si="273"/>
        <v/>
      </c>
      <c r="AM268" s="21" t="str">
        <f t="shared" si="273"/>
        <v/>
      </c>
      <c r="AN268" s="21" t="str">
        <f t="shared" si="273"/>
        <v/>
      </c>
      <c r="AO268" s="21" t="str">
        <f t="shared" si="102"/>
        <v/>
      </c>
    </row>
    <row r="269" ht="16.5" customHeight="1">
      <c r="J269" s="18"/>
      <c r="K269" s="19"/>
      <c r="L269" s="20"/>
      <c r="M269" s="20"/>
      <c r="N269" s="20"/>
      <c r="O269" s="20"/>
      <c r="P269" s="20"/>
      <c r="Q269" s="20"/>
      <c r="R269" s="20"/>
      <c r="S269" s="20"/>
      <c r="T269" s="20"/>
      <c r="AE269" s="21" t="str">
        <f t="shared" si="100"/>
        <v/>
      </c>
      <c r="AF269" s="21" t="str">
        <f t="shared" ref="AF269:AN269" si="274">if(not(isblank(L269)),", "&amp;L269,"")</f>
        <v/>
      </c>
      <c r="AG269" s="21" t="str">
        <f t="shared" si="274"/>
        <v/>
      </c>
      <c r="AH269" s="21" t="str">
        <f t="shared" si="274"/>
        <v/>
      </c>
      <c r="AI269" s="21" t="str">
        <f t="shared" si="274"/>
        <v/>
      </c>
      <c r="AJ269" s="21" t="str">
        <f t="shared" si="274"/>
        <v/>
      </c>
      <c r="AK269" s="21" t="str">
        <f t="shared" si="274"/>
        <v/>
      </c>
      <c r="AL269" s="21" t="str">
        <f t="shared" si="274"/>
        <v/>
      </c>
      <c r="AM269" s="21" t="str">
        <f t="shared" si="274"/>
        <v/>
      </c>
      <c r="AN269" s="21" t="str">
        <f t="shared" si="274"/>
        <v/>
      </c>
      <c r="AO269" s="21" t="str">
        <f t="shared" si="102"/>
        <v/>
      </c>
    </row>
    <row r="270" ht="16.5" customHeight="1">
      <c r="J270" s="18"/>
      <c r="K270" s="19"/>
      <c r="L270" s="20"/>
      <c r="M270" s="20"/>
      <c r="N270" s="20"/>
      <c r="O270" s="20"/>
      <c r="P270" s="20"/>
      <c r="Q270" s="20"/>
      <c r="R270" s="20"/>
      <c r="S270" s="20"/>
      <c r="T270" s="20"/>
      <c r="AE270" s="21" t="str">
        <f t="shared" si="100"/>
        <v/>
      </c>
      <c r="AF270" s="21" t="str">
        <f t="shared" ref="AF270:AN270" si="275">if(not(isblank(L270)),", "&amp;L270,"")</f>
        <v/>
      </c>
      <c r="AG270" s="21" t="str">
        <f t="shared" si="275"/>
        <v/>
      </c>
      <c r="AH270" s="21" t="str">
        <f t="shared" si="275"/>
        <v/>
      </c>
      <c r="AI270" s="21" t="str">
        <f t="shared" si="275"/>
        <v/>
      </c>
      <c r="AJ270" s="21" t="str">
        <f t="shared" si="275"/>
        <v/>
      </c>
      <c r="AK270" s="21" t="str">
        <f t="shared" si="275"/>
        <v/>
      </c>
      <c r="AL270" s="21" t="str">
        <f t="shared" si="275"/>
        <v/>
      </c>
      <c r="AM270" s="21" t="str">
        <f t="shared" si="275"/>
        <v/>
      </c>
      <c r="AN270" s="21" t="str">
        <f t="shared" si="275"/>
        <v/>
      </c>
      <c r="AO270" s="21" t="str">
        <f t="shared" si="102"/>
        <v/>
      </c>
    </row>
    <row r="271" ht="16.5" customHeight="1">
      <c r="J271" s="18"/>
      <c r="K271" s="19"/>
      <c r="L271" s="20"/>
      <c r="M271" s="20"/>
      <c r="N271" s="20"/>
      <c r="O271" s="20"/>
      <c r="P271" s="20"/>
      <c r="Q271" s="20"/>
      <c r="R271" s="20"/>
      <c r="S271" s="20"/>
      <c r="T271" s="20"/>
      <c r="AE271" s="21" t="str">
        <f t="shared" si="100"/>
        <v/>
      </c>
      <c r="AF271" s="21" t="str">
        <f t="shared" ref="AF271:AN271" si="276">if(not(isblank(L271)),", "&amp;L271,"")</f>
        <v/>
      </c>
      <c r="AG271" s="21" t="str">
        <f t="shared" si="276"/>
        <v/>
      </c>
      <c r="AH271" s="21" t="str">
        <f t="shared" si="276"/>
        <v/>
      </c>
      <c r="AI271" s="21" t="str">
        <f t="shared" si="276"/>
        <v/>
      </c>
      <c r="AJ271" s="21" t="str">
        <f t="shared" si="276"/>
        <v/>
      </c>
      <c r="AK271" s="21" t="str">
        <f t="shared" si="276"/>
        <v/>
      </c>
      <c r="AL271" s="21" t="str">
        <f t="shared" si="276"/>
        <v/>
      </c>
      <c r="AM271" s="21" t="str">
        <f t="shared" si="276"/>
        <v/>
      </c>
      <c r="AN271" s="21" t="str">
        <f t="shared" si="276"/>
        <v/>
      </c>
      <c r="AO271" s="21" t="str">
        <f t="shared" si="102"/>
        <v/>
      </c>
    </row>
    <row r="272" ht="16.5" customHeight="1">
      <c r="J272" s="18"/>
      <c r="K272" s="19"/>
      <c r="L272" s="20"/>
      <c r="M272" s="20"/>
      <c r="N272" s="20"/>
      <c r="O272" s="20"/>
      <c r="P272" s="20"/>
      <c r="Q272" s="20"/>
      <c r="R272" s="20"/>
      <c r="S272" s="20"/>
      <c r="T272" s="20"/>
      <c r="AE272" s="21" t="str">
        <f t="shared" si="100"/>
        <v/>
      </c>
      <c r="AF272" s="21" t="str">
        <f t="shared" ref="AF272:AN272" si="277">if(not(isblank(L272)),", "&amp;L272,"")</f>
        <v/>
      </c>
      <c r="AG272" s="21" t="str">
        <f t="shared" si="277"/>
        <v/>
      </c>
      <c r="AH272" s="21" t="str">
        <f t="shared" si="277"/>
        <v/>
      </c>
      <c r="AI272" s="21" t="str">
        <f t="shared" si="277"/>
        <v/>
      </c>
      <c r="AJ272" s="21" t="str">
        <f t="shared" si="277"/>
        <v/>
      </c>
      <c r="AK272" s="21" t="str">
        <f t="shared" si="277"/>
        <v/>
      </c>
      <c r="AL272" s="21" t="str">
        <f t="shared" si="277"/>
        <v/>
      </c>
      <c r="AM272" s="21" t="str">
        <f t="shared" si="277"/>
        <v/>
      </c>
      <c r="AN272" s="21" t="str">
        <f t="shared" si="277"/>
        <v/>
      </c>
      <c r="AO272" s="21" t="str">
        <f t="shared" si="102"/>
        <v/>
      </c>
    </row>
    <row r="273" ht="16.5" customHeight="1">
      <c r="J273" s="18"/>
      <c r="K273" s="19"/>
      <c r="L273" s="20"/>
      <c r="M273" s="20"/>
      <c r="N273" s="20"/>
      <c r="O273" s="20"/>
      <c r="P273" s="20"/>
      <c r="Q273" s="20"/>
      <c r="R273" s="20"/>
      <c r="S273" s="20"/>
      <c r="T273" s="20"/>
      <c r="AE273" s="21" t="str">
        <f t="shared" si="100"/>
        <v/>
      </c>
      <c r="AF273" s="21" t="str">
        <f t="shared" ref="AF273:AN273" si="278">if(not(isblank(L273)),", "&amp;L273,"")</f>
        <v/>
      </c>
      <c r="AG273" s="21" t="str">
        <f t="shared" si="278"/>
        <v/>
      </c>
      <c r="AH273" s="21" t="str">
        <f t="shared" si="278"/>
        <v/>
      </c>
      <c r="AI273" s="21" t="str">
        <f t="shared" si="278"/>
        <v/>
      </c>
      <c r="AJ273" s="21" t="str">
        <f t="shared" si="278"/>
        <v/>
      </c>
      <c r="AK273" s="21" t="str">
        <f t="shared" si="278"/>
        <v/>
      </c>
      <c r="AL273" s="21" t="str">
        <f t="shared" si="278"/>
        <v/>
      </c>
      <c r="AM273" s="21" t="str">
        <f t="shared" si="278"/>
        <v/>
      </c>
      <c r="AN273" s="21" t="str">
        <f t="shared" si="278"/>
        <v/>
      </c>
      <c r="AO273" s="21" t="str">
        <f t="shared" si="102"/>
        <v/>
      </c>
    </row>
    <row r="274" ht="16.5" customHeight="1">
      <c r="J274" s="18"/>
      <c r="K274" s="19"/>
      <c r="L274" s="20"/>
      <c r="M274" s="20"/>
      <c r="N274" s="20"/>
      <c r="O274" s="20"/>
      <c r="P274" s="20"/>
      <c r="Q274" s="20"/>
      <c r="R274" s="20"/>
      <c r="S274" s="20"/>
      <c r="T274" s="20"/>
      <c r="AE274" s="21" t="str">
        <f t="shared" si="100"/>
        <v/>
      </c>
      <c r="AF274" s="21" t="str">
        <f t="shared" ref="AF274:AN274" si="279">if(not(isblank(L274)),", "&amp;L274,"")</f>
        <v/>
      </c>
      <c r="AG274" s="21" t="str">
        <f t="shared" si="279"/>
        <v/>
      </c>
      <c r="AH274" s="21" t="str">
        <f t="shared" si="279"/>
        <v/>
      </c>
      <c r="AI274" s="21" t="str">
        <f t="shared" si="279"/>
        <v/>
      </c>
      <c r="AJ274" s="21" t="str">
        <f t="shared" si="279"/>
        <v/>
      </c>
      <c r="AK274" s="21" t="str">
        <f t="shared" si="279"/>
        <v/>
      </c>
      <c r="AL274" s="21" t="str">
        <f t="shared" si="279"/>
        <v/>
      </c>
      <c r="AM274" s="21" t="str">
        <f t="shared" si="279"/>
        <v/>
      </c>
      <c r="AN274" s="21" t="str">
        <f t="shared" si="279"/>
        <v/>
      </c>
      <c r="AO274" s="21" t="str">
        <f t="shared" si="102"/>
        <v/>
      </c>
    </row>
    <row r="275" ht="16.5" customHeight="1">
      <c r="J275" s="18"/>
      <c r="K275" s="19"/>
      <c r="L275" s="20"/>
      <c r="M275" s="20"/>
      <c r="N275" s="20"/>
      <c r="O275" s="20"/>
      <c r="P275" s="20"/>
      <c r="Q275" s="20"/>
      <c r="R275" s="20"/>
      <c r="S275" s="20"/>
      <c r="T275" s="20"/>
      <c r="AE275" s="21" t="str">
        <f t="shared" si="100"/>
        <v/>
      </c>
      <c r="AF275" s="21" t="str">
        <f t="shared" ref="AF275:AN275" si="280">if(not(isblank(L275)),", "&amp;L275,"")</f>
        <v/>
      </c>
      <c r="AG275" s="21" t="str">
        <f t="shared" si="280"/>
        <v/>
      </c>
      <c r="AH275" s="21" t="str">
        <f t="shared" si="280"/>
        <v/>
      </c>
      <c r="AI275" s="21" t="str">
        <f t="shared" si="280"/>
        <v/>
      </c>
      <c r="AJ275" s="21" t="str">
        <f t="shared" si="280"/>
        <v/>
      </c>
      <c r="AK275" s="21" t="str">
        <f t="shared" si="280"/>
        <v/>
      </c>
      <c r="AL275" s="21" t="str">
        <f t="shared" si="280"/>
        <v/>
      </c>
      <c r="AM275" s="21" t="str">
        <f t="shared" si="280"/>
        <v/>
      </c>
      <c r="AN275" s="21" t="str">
        <f t="shared" si="280"/>
        <v/>
      </c>
      <c r="AO275" s="21" t="str">
        <f t="shared" si="102"/>
        <v/>
      </c>
    </row>
    <row r="276" ht="16.5" customHeight="1">
      <c r="J276" s="18"/>
      <c r="K276" s="19"/>
      <c r="L276" s="20"/>
      <c r="M276" s="20"/>
      <c r="N276" s="20"/>
      <c r="O276" s="20"/>
      <c r="P276" s="20"/>
      <c r="Q276" s="20"/>
      <c r="R276" s="20"/>
      <c r="S276" s="20"/>
      <c r="T276" s="20"/>
      <c r="AE276" s="21" t="str">
        <f t="shared" si="100"/>
        <v/>
      </c>
      <c r="AF276" s="21" t="str">
        <f t="shared" ref="AF276:AN276" si="281">if(not(isblank(L276)),", "&amp;L276,"")</f>
        <v/>
      </c>
      <c r="AG276" s="21" t="str">
        <f t="shared" si="281"/>
        <v/>
      </c>
      <c r="AH276" s="21" t="str">
        <f t="shared" si="281"/>
        <v/>
      </c>
      <c r="AI276" s="21" t="str">
        <f t="shared" si="281"/>
        <v/>
      </c>
      <c r="AJ276" s="21" t="str">
        <f t="shared" si="281"/>
        <v/>
      </c>
      <c r="AK276" s="21" t="str">
        <f t="shared" si="281"/>
        <v/>
      </c>
      <c r="AL276" s="21" t="str">
        <f t="shared" si="281"/>
        <v/>
      </c>
      <c r="AM276" s="21" t="str">
        <f t="shared" si="281"/>
        <v/>
      </c>
      <c r="AN276" s="21" t="str">
        <f t="shared" si="281"/>
        <v/>
      </c>
      <c r="AO276" s="21" t="str">
        <f t="shared" si="102"/>
        <v/>
      </c>
    </row>
    <row r="277" ht="16.5" customHeight="1">
      <c r="J277" s="18"/>
      <c r="K277" s="19"/>
      <c r="L277" s="20"/>
      <c r="M277" s="20"/>
      <c r="N277" s="20"/>
      <c r="O277" s="20"/>
      <c r="P277" s="20"/>
      <c r="Q277" s="20"/>
      <c r="R277" s="20"/>
      <c r="S277" s="20"/>
      <c r="T277" s="20"/>
      <c r="AE277" s="21" t="str">
        <f t="shared" si="100"/>
        <v/>
      </c>
      <c r="AF277" s="21" t="str">
        <f t="shared" ref="AF277:AN277" si="282">if(not(isblank(L277)),", "&amp;L277,"")</f>
        <v/>
      </c>
      <c r="AG277" s="21" t="str">
        <f t="shared" si="282"/>
        <v/>
      </c>
      <c r="AH277" s="21" t="str">
        <f t="shared" si="282"/>
        <v/>
      </c>
      <c r="AI277" s="21" t="str">
        <f t="shared" si="282"/>
        <v/>
      </c>
      <c r="AJ277" s="21" t="str">
        <f t="shared" si="282"/>
        <v/>
      </c>
      <c r="AK277" s="21" t="str">
        <f t="shared" si="282"/>
        <v/>
      </c>
      <c r="AL277" s="21" t="str">
        <f t="shared" si="282"/>
        <v/>
      </c>
      <c r="AM277" s="21" t="str">
        <f t="shared" si="282"/>
        <v/>
      </c>
      <c r="AN277" s="21" t="str">
        <f t="shared" si="282"/>
        <v/>
      </c>
      <c r="AO277" s="21" t="str">
        <f t="shared" si="102"/>
        <v/>
      </c>
    </row>
    <row r="278" ht="16.5" customHeight="1">
      <c r="J278" s="18"/>
      <c r="K278" s="19"/>
      <c r="L278" s="20"/>
      <c r="M278" s="20"/>
      <c r="N278" s="20"/>
      <c r="O278" s="20"/>
      <c r="P278" s="20"/>
      <c r="Q278" s="20"/>
      <c r="R278" s="20"/>
      <c r="S278" s="20"/>
      <c r="T278" s="20"/>
      <c r="AE278" s="21" t="str">
        <f t="shared" si="100"/>
        <v/>
      </c>
      <c r="AF278" s="21" t="str">
        <f t="shared" ref="AF278:AN278" si="283">if(not(isblank(L278)),", "&amp;L278,"")</f>
        <v/>
      </c>
      <c r="AG278" s="21" t="str">
        <f t="shared" si="283"/>
        <v/>
      </c>
      <c r="AH278" s="21" t="str">
        <f t="shared" si="283"/>
        <v/>
      </c>
      <c r="AI278" s="21" t="str">
        <f t="shared" si="283"/>
        <v/>
      </c>
      <c r="AJ278" s="21" t="str">
        <f t="shared" si="283"/>
        <v/>
      </c>
      <c r="AK278" s="21" t="str">
        <f t="shared" si="283"/>
        <v/>
      </c>
      <c r="AL278" s="21" t="str">
        <f t="shared" si="283"/>
        <v/>
      </c>
      <c r="AM278" s="21" t="str">
        <f t="shared" si="283"/>
        <v/>
      </c>
      <c r="AN278" s="21" t="str">
        <f t="shared" si="283"/>
        <v/>
      </c>
      <c r="AO278" s="21" t="str">
        <f t="shared" si="102"/>
        <v/>
      </c>
    </row>
    <row r="279" ht="16.5" customHeight="1">
      <c r="J279" s="18"/>
      <c r="K279" s="19"/>
      <c r="L279" s="19"/>
      <c r="M279" s="19"/>
      <c r="N279" s="19"/>
      <c r="O279" s="19"/>
      <c r="P279" s="19"/>
      <c r="Q279" s="20"/>
      <c r="R279" s="20"/>
      <c r="S279" s="20"/>
      <c r="T279" s="20"/>
      <c r="AE279" s="21" t="str">
        <f t="shared" si="100"/>
        <v/>
      </c>
      <c r="AF279" s="21" t="str">
        <f t="shared" ref="AF279:AN279" si="284">if(not(isblank(L279)),", "&amp;L279,"")</f>
        <v/>
      </c>
      <c r="AG279" s="21" t="str">
        <f t="shared" si="284"/>
        <v/>
      </c>
      <c r="AH279" s="21" t="str">
        <f t="shared" si="284"/>
        <v/>
      </c>
      <c r="AI279" s="21" t="str">
        <f t="shared" si="284"/>
        <v/>
      </c>
      <c r="AJ279" s="21" t="str">
        <f t="shared" si="284"/>
        <v/>
      </c>
      <c r="AK279" s="21" t="str">
        <f t="shared" si="284"/>
        <v/>
      </c>
      <c r="AL279" s="21" t="str">
        <f t="shared" si="284"/>
        <v/>
      </c>
      <c r="AM279" s="21" t="str">
        <f t="shared" si="284"/>
        <v/>
      </c>
      <c r="AN279" s="21" t="str">
        <f t="shared" si="284"/>
        <v/>
      </c>
      <c r="AO279" s="21" t="str">
        <f t="shared" si="102"/>
        <v/>
      </c>
    </row>
    <row r="280" ht="16.5" customHeight="1">
      <c r="J280" s="18"/>
      <c r="K280" s="19"/>
      <c r="L280" s="20"/>
      <c r="M280" s="20"/>
      <c r="N280" s="20"/>
      <c r="O280" s="20"/>
      <c r="P280" s="20"/>
      <c r="Q280" s="20"/>
      <c r="R280" s="20"/>
      <c r="S280" s="20"/>
      <c r="T280" s="20"/>
      <c r="AE280" s="21" t="str">
        <f t="shared" si="100"/>
        <v/>
      </c>
      <c r="AF280" s="21" t="str">
        <f t="shared" ref="AF280:AN280" si="285">if(not(isblank(L280)),", "&amp;L280,"")</f>
        <v/>
      </c>
      <c r="AG280" s="21" t="str">
        <f t="shared" si="285"/>
        <v/>
      </c>
      <c r="AH280" s="21" t="str">
        <f t="shared" si="285"/>
        <v/>
      </c>
      <c r="AI280" s="21" t="str">
        <f t="shared" si="285"/>
        <v/>
      </c>
      <c r="AJ280" s="21" t="str">
        <f t="shared" si="285"/>
        <v/>
      </c>
      <c r="AK280" s="21" t="str">
        <f t="shared" si="285"/>
        <v/>
      </c>
      <c r="AL280" s="21" t="str">
        <f t="shared" si="285"/>
        <v/>
      </c>
      <c r="AM280" s="21" t="str">
        <f t="shared" si="285"/>
        <v/>
      </c>
      <c r="AN280" s="21" t="str">
        <f t="shared" si="285"/>
        <v/>
      </c>
      <c r="AO280" s="21" t="str">
        <f t="shared" si="102"/>
        <v/>
      </c>
    </row>
    <row r="281" ht="16.5" customHeight="1">
      <c r="J281" s="18"/>
      <c r="K281" s="19"/>
      <c r="L281" s="20"/>
      <c r="M281" s="20"/>
      <c r="N281" s="20"/>
      <c r="O281" s="20"/>
      <c r="P281" s="20"/>
      <c r="Q281" s="20"/>
      <c r="R281" s="20"/>
      <c r="S281" s="20"/>
      <c r="T281" s="20"/>
      <c r="AE281" s="21" t="str">
        <f t="shared" si="100"/>
        <v/>
      </c>
      <c r="AF281" s="21" t="str">
        <f t="shared" ref="AF281:AN281" si="286">if(not(isblank(L281)),", "&amp;L281,"")</f>
        <v/>
      </c>
      <c r="AG281" s="21" t="str">
        <f t="shared" si="286"/>
        <v/>
      </c>
      <c r="AH281" s="21" t="str">
        <f t="shared" si="286"/>
        <v/>
      </c>
      <c r="AI281" s="21" t="str">
        <f t="shared" si="286"/>
        <v/>
      </c>
      <c r="AJ281" s="21" t="str">
        <f t="shared" si="286"/>
        <v/>
      </c>
      <c r="AK281" s="21" t="str">
        <f t="shared" si="286"/>
        <v/>
      </c>
      <c r="AL281" s="21" t="str">
        <f t="shared" si="286"/>
        <v/>
      </c>
      <c r="AM281" s="21" t="str">
        <f t="shared" si="286"/>
        <v/>
      </c>
      <c r="AN281" s="21" t="str">
        <f t="shared" si="286"/>
        <v/>
      </c>
      <c r="AO281" s="21" t="str">
        <f t="shared" si="102"/>
        <v/>
      </c>
    </row>
    <row r="282" ht="16.5" customHeight="1">
      <c r="J282" s="18"/>
      <c r="K282" s="19"/>
      <c r="L282" s="20"/>
      <c r="M282" s="20"/>
      <c r="N282" s="20"/>
      <c r="O282" s="20"/>
      <c r="P282" s="20"/>
      <c r="Q282" s="20"/>
      <c r="R282" s="20"/>
      <c r="S282" s="20"/>
      <c r="T282" s="20"/>
      <c r="AE282" s="21" t="str">
        <f t="shared" si="100"/>
        <v/>
      </c>
      <c r="AF282" s="21" t="str">
        <f t="shared" ref="AF282:AN282" si="287">if(not(isblank(L282)),", "&amp;L282,"")</f>
        <v/>
      </c>
      <c r="AG282" s="21" t="str">
        <f t="shared" si="287"/>
        <v/>
      </c>
      <c r="AH282" s="21" t="str">
        <f t="shared" si="287"/>
        <v/>
      </c>
      <c r="AI282" s="21" t="str">
        <f t="shared" si="287"/>
        <v/>
      </c>
      <c r="AJ282" s="21" t="str">
        <f t="shared" si="287"/>
        <v/>
      </c>
      <c r="AK282" s="21" t="str">
        <f t="shared" si="287"/>
        <v/>
      </c>
      <c r="AL282" s="21" t="str">
        <f t="shared" si="287"/>
        <v/>
      </c>
      <c r="AM282" s="21" t="str">
        <f t="shared" si="287"/>
        <v/>
      </c>
      <c r="AN282" s="21" t="str">
        <f t="shared" si="287"/>
        <v/>
      </c>
      <c r="AO282" s="21" t="str">
        <f t="shared" si="102"/>
        <v/>
      </c>
    </row>
    <row r="283" ht="16.5" customHeight="1">
      <c r="J283" s="18"/>
      <c r="K283" s="19"/>
      <c r="L283" s="20"/>
      <c r="M283" s="20"/>
      <c r="N283" s="20"/>
      <c r="O283" s="20"/>
      <c r="P283" s="20"/>
      <c r="Q283" s="20"/>
      <c r="R283" s="20"/>
      <c r="S283" s="20"/>
      <c r="T283" s="20"/>
      <c r="AE283" s="21" t="str">
        <f t="shared" si="100"/>
        <v/>
      </c>
      <c r="AF283" s="21" t="str">
        <f t="shared" ref="AF283:AN283" si="288">if(not(isblank(L283)),", "&amp;L283,"")</f>
        <v/>
      </c>
      <c r="AG283" s="21" t="str">
        <f t="shared" si="288"/>
        <v/>
      </c>
      <c r="AH283" s="21" t="str">
        <f t="shared" si="288"/>
        <v/>
      </c>
      <c r="AI283" s="21" t="str">
        <f t="shared" si="288"/>
        <v/>
      </c>
      <c r="AJ283" s="21" t="str">
        <f t="shared" si="288"/>
        <v/>
      </c>
      <c r="AK283" s="21" t="str">
        <f t="shared" si="288"/>
        <v/>
      </c>
      <c r="AL283" s="21" t="str">
        <f t="shared" si="288"/>
        <v/>
      </c>
      <c r="AM283" s="21" t="str">
        <f t="shared" si="288"/>
        <v/>
      </c>
      <c r="AN283" s="21" t="str">
        <f t="shared" si="288"/>
        <v/>
      </c>
      <c r="AO283" s="21" t="str">
        <f t="shared" si="102"/>
        <v/>
      </c>
    </row>
    <row r="284" ht="16.5" customHeight="1">
      <c r="J284" s="18"/>
      <c r="K284" s="19"/>
      <c r="L284" s="19"/>
      <c r="M284" s="20"/>
      <c r="N284" s="20"/>
      <c r="O284" s="20"/>
      <c r="P284" s="20"/>
      <c r="Q284" s="20"/>
      <c r="R284" s="20"/>
      <c r="S284" s="20"/>
      <c r="T284" s="20"/>
      <c r="AE284" s="21" t="str">
        <f t="shared" si="100"/>
        <v/>
      </c>
      <c r="AF284" s="21" t="str">
        <f t="shared" ref="AF284:AN284" si="289">if(not(isblank(L284)),", "&amp;L284,"")</f>
        <v/>
      </c>
      <c r="AG284" s="21" t="str">
        <f t="shared" si="289"/>
        <v/>
      </c>
      <c r="AH284" s="21" t="str">
        <f t="shared" si="289"/>
        <v/>
      </c>
      <c r="AI284" s="21" t="str">
        <f t="shared" si="289"/>
        <v/>
      </c>
      <c r="AJ284" s="21" t="str">
        <f t="shared" si="289"/>
        <v/>
      </c>
      <c r="AK284" s="21" t="str">
        <f t="shared" si="289"/>
        <v/>
      </c>
      <c r="AL284" s="21" t="str">
        <f t="shared" si="289"/>
        <v/>
      </c>
      <c r="AM284" s="21" t="str">
        <f t="shared" si="289"/>
        <v/>
      </c>
      <c r="AN284" s="21" t="str">
        <f t="shared" si="289"/>
        <v/>
      </c>
      <c r="AO284" s="21" t="str">
        <f t="shared" si="102"/>
        <v/>
      </c>
    </row>
    <row r="285" ht="16.5" customHeight="1">
      <c r="J285" s="18"/>
      <c r="K285" s="19"/>
      <c r="L285" s="20"/>
      <c r="M285" s="20"/>
      <c r="N285" s="20"/>
      <c r="O285" s="20"/>
      <c r="P285" s="20"/>
      <c r="Q285" s="20"/>
      <c r="R285" s="20"/>
      <c r="S285" s="20"/>
      <c r="T285" s="20"/>
      <c r="AE285" s="21" t="str">
        <f t="shared" si="100"/>
        <v/>
      </c>
      <c r="AF285" s="21" t="str">
        <f t="shared" ref="AF285:AN285" si="290">if(not(isblank(L285)),", "&amp;L285,"")</f>
        <v/>
      </c>
      <c r="AG285" s="21" t="str">
        <f t="shared" si="290"/>
        <v/>
      </c>
      <c r="AH285" s="21" t="str">
        <f t="shared" si="290"/>
        <v/>
      </c>
      <c r="AI285" s="21" t="str">
        <f t="shared" si="290"/>
        <v/>
      </c>
      <c r="AJ285" s="21" t="str">
        <f t="shared" si="290"/>
        <v/>
      </c>
      <c r="AK285" s="21" t="str">
        <f t="shared" si="290"/>
        <v/>
      </c>
      <c r="AL285" s="21" t="str">
        <f t="shared" si="290"/>
        <v/>
      </c>
      <c r="AM285" s="21" t="str">
        <f t="shared" si="290"/>
        <v/>
      </c>
      <c r="AN285" s="21" t="str">
        <f t="shared" si="290"/>
        <v/>
      </c>
      <c r="AO285" s="21" t="str">
        <f t="shared" si="102"/>
        <v/>
      </c>
    </row>
    <row r="286" ht="16.5" customHeight="1">
      <c r="J286" s="18"/>
      <c r="K286" s="19"/>
      <c r="L286" s="20"/>
      <c r="M286" s="20"/>
      <c r="N286" s="20"/>
      <c r="O286" s="20"/>
      <c r="P286" s="20"/>
      <c r="Q286" s="20"/>
      <c r="R286" s="20"/>
      <c r="S286" s="20"/>
      <c r="T286" s="20"/>
      <c r="AE286" s="21" t="str">
        <f t="shared" si="100"/>
        <v/>
      </c>
      <c r="AF286" s="21" t="str">
        <f t="shared" ref="AF286:AN286" si="291">if(not(isblank(L286)),", "&amp;L286,"")</f>
        <v/>
      </c>
      <c r="AG286" s="21" t="str">
        <f t="shared" si="291"/>
        <v/>
      </c>
      <c r="AH286" s="21" t="str">
        <f t="shared" si="291"/>
        <v/>
      </c>
      <c r="AI286" s="21" t="str">
        <f t="shared" si="291"/>
        <v/>
      </c>
      <c r="AJ286" s="21" t="str">
        <f t="shared" si="291"/>
        <v/>
      </c>
      <c r="AK286" s="21" t="str">
        <f t="shared" si="291"/>
        <v/>
      </c>
      <c r="AL286" s="21" t="str">
        <f t="shared" si="291"/>
        <v/>
      </c>
      <c r="AM286" s="21" t="str">
        <f t="shared" si="291"/>
        <v/>
      </c>
      <c r="AN286" s="21" t="str">
        <f t="shared" si="291"/>
        <v/>
      </c>
      <c r="AO286" s="21" t="str">
        <f t="shared" si="102"/>
        <v/>
      </c>
    </row>
    <row r="287" ht="16.5" customHeight="1">
      <c r="J287" s="18"/>
      <c r="K287" s="19"/>
      <c r="L287" s="19"/>
      <c r="M287" s="20"/>
      <c r="N287" s="20"/>
      <c r="O287" s="20"/>
      <c r="P287" s="20"/>
      <c r="Q287" s="20"/>
      <c r="R287" s="20"/>
      <c r="S287" s="20"/>
      <c r="T287" s="20"/>
      <c r="AE287" s="21" t="str">
        <f t="shared" si="100"/>
        <v/>
      </c>
      <c r="AF287" s="21" t="str">
        <f t="shared" ref="AF287:AN287" si="292">if(not(isblank(L287)),", "&amp;L287,"")</f>
        <v/>
      </c>
      <c r="AG287" s="21" t="str">
        <f t="shared" si="292"/>
        <v/>
      </c>
      <c r="AH287" s="21" t="str">
        <f t="shared" si="292"/>
        <v/>
      </c>
      <c r="AI287" s="21" t="str">
        <f t="shared" si="292"/>
        <v/>
      </c>
      <c r="AJ287" s="21" t="str">
        <f t="shared" si="292"/>
        <v/>
      </c>
      <c r="AK287" s="21" t="str">
        <f t="shared" si="292"/>
        <v/>
      </c>
      <c r="AL287" s="21" t="str">
        <f t="shared" si="292"/>
        <v/>
      </c>
      <c r="AM287" s="21" t="str">
        <f t="shared" si="292"/>
        <v/>
      </c>
      <c r="AN287" s="21" t="str">
        <f t="shared" si="292"/>
        <v/>
      </c>
      <c r="AO287" s="21" t="str">
        <f t="shared" si="102"/>
        <v/>
      </c>
    </row>
    <row r="288" ht="16.5" customHeight="1">
      <c r="J288" s="18"/>
      <c r="K288" s="19"/>
      <c r="L288" s="20"/>
      <c r="M288" s="20"/>
      <c r="N288" s="20"/>
      <c r="O288" s="20"/>
      <c r="P288" s="20"/>
      <c r="Q288" s="20"/>
      <c r="R288" s="20"/>
      <c r="S288" s="20"/>
      <c r="T288" s="20"/>
      <c r="AE288" s="21" t="str">
        <f t="shared" si="100"/>
        <v/>
      </c>
      <c r="AF288" s="21" t="str">
        <f t="shared" ref="AF288:AN288" si="293">if(not(isblank(L288)),", "&amp;L288,"")</f>
        <v/>
      </c>
      <c r="AG288" s="21" t="str">
        <f t="shared" si="293"/>
        <v/>
      </c>
      <c r="AH288" s="21" t="str">
        <f t="shared" si="293"/>
        <v/>
      </c>
      <c r="AI288" s="21" t="str">
        <f t="shared" si="293"/>
        <v/>
      </c>
      <c r="AJ288" s="21" t="str">
        <f t="shared" si="293"/>
        <v/>
      </c>
      <c r="AK288" s="21" t="str">
        <f t="shared" si="293"/>
        <v/>
      </c>
      <c r="AL288" s="21" t="str">
        <f t="shared" si="293"/>
        <v/>
      </c>
      <c r="AM288" s="21" t="str">
        <f t="shared" si="293"/>
        <v/>
      </c>
      <c r="AN288" s="21" t="str">
        <f t="shared" si="293"/>
        <v/>
      </c>
      <c r="AO288" s="21" t="str">
        <f t="shared" si="102"/>
        <v/>
      </c>
    </row>
    <row r="289" ht="16.5" customHeight="1">
      <c r="J289" s="18"/>
      <c r="K289" s="19"/>
      <c r="L289" s="20"/>
      <c r="M289" s="20"/>
      <c r="N289" s="20"/>
      <c r="O289" s="20"/>
      <c r="P289" s="20"/>
      <c r="Q289" s="20"/>
      <c r="R289" s="20"/>
      <c r="S289" s="20"/>
      <c r="T289" s="20"/>
      <c r="AE289" s="21" t="str">
        <f t="shared" si="100"/>
        <v/>
      </c>
      <c r="AF289" s="21" t="str">
        <f t="shared" ref="AF289:AN289" si="294">if(not(isblank(L289)),", "&amp;L289,"")</f>
        <v/>
      </c>
      <c r="AG289" s="21" t="str">
        <f t="shared" si="294"/>
        <v/>
      </c>
      <c r="AH289" s="21" t="str">
        <f t="shared" si="294"/>
        <v/>
      </c>
      <c r="AI289" s="21" t="str">
        <f t="shared" si="294"/>
        <v/>
      </c>
      <c r="AJ289" s="21" t="str">
        <f t="shared" si="294"/>
        <v/>
      </c>
      <c r="AK289" s="21" t="str">
        <f t="shared" si="294"/>
        <v/>
      </c>
      <c r="AL289" s="21" t="str">
        <f t="shared" si="294"/>
        <v/>
      </c>
      <c r="AM289" s="21" t="str">
        <f t="shared" si="294"/>
        <v/>
      </c>
      <c r="AN289" s="21" t="str">
        <f t="shared" si="294"/>
        <v/>
      </c>
      <c r="AO289" s="21" t="str">
        <f t="shared" si="102"/>
        <v/>
      </c>
    </row>
    <row r="290" ht="16.5" customHeight="1">
      <c r="J290" s="18"/>
      <c r="K290" s="19"/>
      <c r="L290" s="20"/>
      <c r="M290" s="20"/>
      <c r="N290" s="20"/>
      <c r="O290" s="20"/>
      <c r="P290" s="20"/>
      <c r="Q290" s="20"/>
      <c r="R290" s="20"/>
      <c r="S290" s="20"/>
      <c r="T290" s="20"/>
      <c r="AE290" s="21" t="str">
        <f t="shared" si="100"/>
        <v/>
      </c>
      <c r="AF290" s="21" t="str">
        <f t="shared" ref="AF290:AN290" si="295">if(not(isblank(L290)),", "&amp;L290,"")</f>
        <v/>
      </c>
      <c r="AG290" s="21" t="str">
        <f t="shared" si="295"/>
        <v/>
      </c>
      <c r="AH290" s="21" t="str">
        <f t="shared" si="295"/>
        <v/>
      </c>
      <c r="AI290" s="21" t="str">
        <f t="shared" si="295"/>
        <v/>
      </c>
      <c r="AJ290" s="21" t="str">
        <f t="shared" si="295"/>
        <v/>
      </c>
      <c r="AK290" s="21" t="str">
        <f t="shared" si="295"/>
        <v/>
      </c>
      <c r="AL290" s="21" t="str">
        <f t="shared" si="295"/>
        <v/>
      </c>
      <c r="AM290" s="21" t="str">
        <f t="shared" si="295"/>
        <v/>
      </c>
      <c r="AN290" s="21" t="str">
        <f t="shared" si="295"/>
        <v/>
      </c>
      <c r="AO290" s="21" t="str">
        <f t="shared" si="102"/>
        <v/>
      </c>
    </row>
    <row r="291" ht="16.5" customHeight="1">
      <c r="J291" s="18"/>
      <c r="K291" s="19"/>
      <c r="L291" s="20"/>
      <c r="M291" s="20"/>
      <c r="N291" s="20"/>
      <c r="O291" s="20"/>
      <c r="P291" s="20"/>
      <c r="Q291" s="20"/>
      <c r="R291" s="20"/>
      <c r="S291" s="20"/>
      <c r="T291" s="20"/>
      <c r="AE291" s="21" t="str">
        <f t="shared" si="100"/>
        <v/>
      </c>
      <c r="AF291" s="21" t="str">
        <f t="shared" ref="AF291:AN291" si="296">if(not(isblank(L291)),", "&amp;L291,"")</f>
        <v/>
      </c>
      <c r="AG291" s="21" t="str">
        <f t="shared" si="296"/>
        <v/>
      </c>
      <c r="AH291" s="21" t="str">
        <f t="shared" si="296"/>
        <v/>
      </c>
      <c r="AI291" s="21" t="str">
        <f t="shared" si="296"/>
        <v/>
      </c>
      <c r="AJ291" s="21" t="str">
        <f t="shared" si="296"/>
        <v/>
      </c>
      <c r="AK291" s="21" t="str">
        <f t="shared" si="296"/>
        <v/>
      </c>
      <c r="AL291" s="21" t="str">
        <f t="shared" si="296"/>
        <v/>
      </c>
      <c r="AM291" s="21" t="str">
        <f t="shared" si="296"/>
        <v/>
      </c>
      <c r="AN291" s="21" t="str">
        <f t="shared" si="296"/>
        <v/>
      </c>
      <c r="AO291" s="21" t="str">
        <f t="shared" si="102"/>
        <v/>
      </c>
    </row>
    <row r="292" ht="16.5" customHeight="1">
      <c r="J292" s="18"/>
      <c r="K292" s="19"/>
      <c r="L292" s="20"/>
      <c r="M292" s="20"/>
      <c r="N292" s="20"/>
      <c r="O292" s="20"/>
      <c r="P292" s="20"/>
      <c r="Q292" s="20"/>
      <c r="R292" s="20"/>
      <c r="S292" s="20"/>
      <c r="T292" s="20"/>
      <c r="AE292" s="21" t="str">
        <f t="shared" si="100"/>
        <v/>
      </c>
      <c r="AF292" s="21" t="str">
        <f t="shared" ref="AF292:AN292" si="297">if(not(isblank(L292)),", "&amp;L292,"")</f>
        <v/>
      </c>
      <c r="AG292" s="21" t="str">
        <f t="shared" si="297"/>
        <v/>
      </c>
      <c r="AH292" s="21" t="str">
        <f t="shared" si="297"/>
        <v/>
      </c>
      <c r="AI292" s="21" t="str">
        <f t="shared" si="297"/>
        <v/>
      </c>
      <c r="AJ292" s="21" t="str">
        <f t="shared" si="297"/>
        <v/>
      </c>
      <c r="AK292" s="21" t="str">
        <f t="shared" si="297"/>
        <v/>
      </c>
      <c r="AL292" s="21" t="str">
        <f t="shared" si="297"/>
        <v/>
      </c>
      <c r="AM292" s="21" t="str">
        <f t="shared" si="297"/>
        <v/>
      </c>
      <c r="AN292" s="21" t="str">
        <f t="shared" si="297"/>
        <v/>
      </c>
      <c r="AO292" s="21" t="str">
        <f t="shared" si="102"/>
        <v/>
      </c>
    </row>
    <row r="293" ht="16.5" customHeight="1">
      <c r="J293" s="18"/>
      <c r="K293" s="19"/>
      <c r="L293" s="20"/>
      <c r="M293" s="20"/>
      <c r="N293" s="20"/>
      <c r="O293" s="20"/>
      <c r="P293" s="20"/>
      <c r="Q293" s="20"/>
      <c r="R293" s="20"/>
      <c r="S293" s="20"/>
      <c r="T293" s="20"/>
      <c r="AE293" s="21" t="str">
        <f t="shared" si="100"/>
        <v/>
      </c>
      <c r="AF293" s="21" t="str">
        <f t="shared" ref="AF293:AN293" si="298">if(not(isblank(L293)),", "&amp;L293,"")</f>
        <v/>
      </c>
      <c r="AG293" s="21" t="str">
        <f t="shared" si="298"/>
        <v/>
      </c>
      <c r="AH293" s="21" t="str">
        <f t="shared" si="298"/>
        <v/>
      </c>
      <c r="AI293" s="21" t="str">
        <f t="shared" si="298"/>
        <v/>
      </c>
      <c r="AJ293" s="21" t="str">
        <f t="shared" si="298"/>
        <v/>
      </c>
      <c r="AK293" s="21" t="str">
        <f t="shared" si="298"/>
        <v/>
      </c>
      <c r="AL293" s="21" t="str">
        <f t="shared" si="298"/>
        <v/>
      </c>
      <c r="AM293" s="21" t="str">
        <f t="shared" si="298"/>
        <v/>
      </c>
      <c r="AN293" s="21" t="str">
        <f t="shared" si="298"/>
        <v/>
      </c>
      <c r="AO293" s="21" t="str">
        <f t="shared" si="102"/>
        <v/>
      </c>
    </row>
    <row r="294" ht="16.5" customHeight="1">
      <c r="J294" s="18"/>
      <c r="K294" s="19"/>
      <c r="L294" s="20"/>
      <c r="M294" s="20"/>
      <c r="N294" s="20"/>
      <c r="O294" s="20"/>
      <c r="P294" s="20"/>
      <c r="Q294" s="20"/>
      <c r="R294" s="20"/>
      <c r="S294" s="20"/>
      <c r="T294" s="20"/>
      <c r="AE294" s="21" t="str">
        <f t="shared" si="100"/>
        <v/>
      </c>
      <c r="AF294" s="21" t="str">
        <f t="shared" ref="AF294:AN294" si="299">if(not(isblank(L294)),", "&amp;L294,"")</f>
        <v/>
      </c>
      <c r="AG294" s="21" t="str">
        <f t="shared" si="299"/>
        <v/>
      </c>
      <c r="AH294" s="21" t="str">
        <f t="shared" si="299"/>
        <v/>
      </c>
      <c r="AI294" s="21" t="str">
        <f t="shared" si="299"/>
        <v/>
      </c>
      <c r="AJ294" s="21" t="str">
        <f t="shared" si="299"/>
        <v/>
      </c>
      <c r="AK294" s="21" t="str">
        <f t="shared" si="299"/>
        <v/>
      </c>
      <c r="AL294" s="21" t="str">
        <f t="shared" si="299"/>
        <v/>
      </c>
      <c r="AM294" s="21" t="str">
        <f t="shared" si="299"/>
        <v/>
      </c>
      <c r="AN294" s="21" t="str">
        <f t="shared" si="299"/>
        <v/>
      </c>
      <c r="AO294" s="21" t="str">
        <f t="shared" si="102"/>
        <v/>
      </c>
    </row>
    <row r="295" ht="16.5" customHeight="1">
      <c r="J295" s="18"/>
      <c r="K295" s="19"/>
      <c r="L295" s="20"/>
      <c r="M295" s="20"/>
      <c r="N295" s="20"/>
      <c r="O295" s="20"/>
      <c r="P295" s="20"/>
      <c r="Q295" s="20"/>
      <c r="R295" s="20"/>
      <c r="S295" s="20"/>
      <c r="T295" s="20"/>
      <c r="AE295" s="21" t="str">
        <f t="shared" si="100"/>
        <v/>
      </c>
      <c r="AF295" s="21" t="str">
        <f t="shared" ref="AF295:AN295" si="300">if(not(isblank(L295)),", "&amp;L295,"")</f>
        <v/>
      </c>
      <c r="AG295" s="21" t="str">
        <f t="shared" si="300"/>
        <v/>
      </c>
      <c r="AH295" s="21" t="str">
        <f t="shared" si="300"/>
        <v/>
      </c>
      <c r="AI295" s="21" t="str">
        <f t="shared" si="300"/>
        <v/>
      </c>
      <c r="AJ295" s="21" t="str">
        <f t="shared" si="300"/>
        <v/>
      </c>
      <c r="AK295" s="21" t="str">
        <f t="shared" si="300"/>
        <v/>
      </c>
      <c r="AL295" s="21" t="str">
        <f t="shared" si="300"/>
        <v/>
      </c>
      <c r="AM295" s="21" t="str">
        <f t="shared" si="300"/>
        <v/>
      </c>
      <c r="AN295" s="21" t="str">
        <f t="shared" si="300"/>
        <v/>
      </c>
      <c r="AO295" s="21" t="str">
        <f t="shared" si="102"/>
        <v/>
      </c>
    </row>
    <row r="296" ht="16.5" customHeight="1">
      <c r="J296" s="18"/>
      <c r="K296" s="19"/>
      <c r="L296" s="20"/>
      <c r="M296" s="20"/>
      <c r="N296" s="20"/>
      <c r="O296" s="20"/>
      <c r="P296" s="20"/>
      <c r="Q296" s="20"/>
      <c r="R296" s="20"/>
      <c r="S296" s="20"/>
      <c r="T296" s="20"/>
      <c r="AE296" s="21" t="str">
        <f t="shared" si="100"/>
        <v/>
      </c>
      <c r="AF296" s="21" t="str">
        <f t="shared" ref="AF296:AN296" si="301">if(not(isblank(L296)),", "&amp;L296,"")</f>
        <v/>
      </c>
      <c r="AG296" s="21" t="str">
        <f t="shared" si="301"/>
        <v/>
      </c>
      <c r="AH296" s="21" t="str">
        <f t="shared" si="301"/>
        <v/>
      </c>
      <c r="AI296" s="21" t="str">
        <f t="shared" si="301"/>
        <v/>
      </c>
      <c r="AJ296" s="21" t="str">
        <f t="shared" si="301"/>
        <v/>
      </c>
      <c r="AK296" s="21" t="str">
        <f t="shared" si="301"/>
        <v/>
      </c>
      <c r="AL296" s="21" t="str">
        <f t="shared" si="301"/>
        <v/>
      </c>
      <c r="AM296" s="21" t="str">
        <f t="shared" si="301"/>
        <v/>
      </c>
      <c r="AN296" s="21" t="str">
        <f t="shared" si="301"/>
        <v/>
      </c>
      <c r="AO296" s="21" t="str">
        <f t="shared" si="102"/>
        <v/>
      </c>
    </row>
    <row r="297" ht="16.5" customHeight="1">
      <c r="J297" s="18"/>
      <c r="K297" s="19"/>
      <c r="L297" s="20"/>
      <c r="M297" s="20"/>
      <c r="N297" s="20"/>
      <c r="O297" s="20"/>
      <c r="P297" s="20"/>
      <c r="Q297" s="20"/>
      <c r="R297" s="20"/>
      <c r="S297" s="20"/>
      <c r="T297" s="20"/>
      <c r="AE297" s="21" t="str">
        <f t="shared" si="100"/>
        <v/>
      </c>
      <c r="AF297" s="21" t="str">
        <f t="shared" ref="AF297:AN297" si="302">if(not(isblank(L297)),", "&amp;L297,"")</f>
        <v/>
      </c>
      <c r="AG297" s="21" t="str">
        <f t="shared" si="302"/>
        <v/>
      </c>
      <c r="AH297" s="21" t="str">
        <f t="shared" si="302"/>
        <v/>
      </c>
      <c r="AI297" s="21" t="str">
        <f t="shared" si="302"/>
        <v/>
      </c>
      <c r="AJ297" s="21" t="str">
        <f t="shared" si="302"/>
        <v/>
      </c>
      <c r="AK297" s="21" t="str">
        <f t="shared" si="302"/>
        <v/>
      </c>
      <c r="AL297" s="21" t="str">
        <f t="shared" si="302"/>
        <v/>
      </c>
      <c r="AM297" s="21" t="str">
        <f t="shared" si="302"/>
        <v/>
      </c>
      <c r="AN297" s="21" t="str">
        <f t="shared" si="302"/>
        <v/>
      </c>
      <c r="AO297" s="21" t="str">
        <f t="shared" si="102"/>
        <v/>
      </c>
    </row>
    <row r="298" ht="16.5" customHeight="1">
      <c r="J298" s="18"/>
      <c r="K298" s="19"/>
      <c r="L298" s="20"/>
      <c r="M298" s="20"/>
      <c r="N298" s="20"/>
      <c r="O298" s="20"/>
      <c r="P298" s="20"/>
      <c r="Q298" s="20"/>
      <c r="R298" s="20"/>
      <c r="S298" s="20"/>
      <c r="T298" s="20"/>
      <c r="AE298" s="21" t="str">
        <f t="shared" si="100"/>
        <v/>
      </c>
      <c r="AF298" s="21" t="str">
        <f t="shared" ref="AF298:AN298" si="303">if(not(isblank(L298)),", "&amp;L298,"")</f>
        <v/>
      </c>
      <c r="AG298" s="21" t="str">
        <f t="shared" si="303"/>
        <v/>
      </c>
      <c r="AH298" s="21" t="str">
        <f t="shared" si="303"/>
        <v/>
      </c>
      <c r="AI298" s="21" t="str">
        <f t="shared" si="303"/>
        <v/>
      </c>
      <c r="AJ298" s="21" t="str">
        <f t="shared" si="303"/>
        <v/>
      </c>
      <c r="AK298" s="21" t="str">
        <f t="shared" si="303"/>
        <v/>
      </c>
      <c r="AL298" s="21" t="str">
        <f t="shared" si="303"/>
        <v/>
      </c>
      <c r="AM298" s="21" t="str">
        <f t="shared" si="303"/>
        <v/>
      </c>
      <c r="AN298" s="21" t="str">
        <f t="shared" si="303"/>
        <v/>
      </c>
      <c r="AO298" s="21" t="str">
        <f t="shared" si="102"/>
        <v/>
      </c>
    </row>
    <row r="299" ht="16.5" customHeight="1">
      <c r="J299" s="18"/>
      <c r="K299" s="19"/>
      <c r="L299" s="20"/>
      <c r="M299" s="20"/>
      <c r="N299" s="20"/>
      <c r="O299" s="20"/>
      <c r="P299" s="20"/>
      <c r="Q299" s="20"/>
      <c r="R299" s="20"/>
      <c r="S299" s="20"/>
      <c r="T299" s="20"/>
      <c r="AE299" s="21" t="str">
        <f t="shared" si="100"/>
        <v/>
      </c>
      <c r="AF299" s="21" t="str">
        <f t="shared" ref="AF299:AN299" si="304">if(not(isblank(L299)),", "&amp;L299,"")</f>
        <v/>
      </c>
      <c r="AG299" s="21" t="str">
        <f t="shared" si="304"/>
        <v/>
      </c>
      <c r="AH299" s="21" t="str">
        <f t="shared" si="304"/>
        <v/>
      </c>
      <c r="AI299" s="21" t="str">
        <f t="shared" si="304"/>
        <v/>
      </c>
      <c r="AJ299" s="21" t="str">
        <f t="shared" si="304"/>
        <v/>
      </c>
      <c r="AK299" s="21" t="str">
        <f t="shared" si="304"/>
        <v/>
      </c>
      <c r="AL299" s="21" t="str">
        <f t="shared" si="304"/>
        <v/>
      </c>
      <c r="AM299" s="21" t="str">
        <f t="shared" si="304"/>
        <v/>
      </c>
      <c r="AN299" s="21" t="str">
        <f t="shared" si="304"/>
        <v/>
      </c>
      <c r="AO299" s="21" t="str">
        <f t="shared" si="102"/>
        <v/>
      </c>
    </row>
    <row r="300" ht="16.5" customHeight="1">
      <c r="J300" s="18"/>
      <c r="K300" s="19"/>
      <c r="L300" s="20"/>
      <c r="M300" s="20"/>
      <c r="N300" s="20"/>
      <c r="O300" s="20"/>
      <c r="P300" s="20"/>
      <c r="Q300" s="20"/>
      <c r="R300" s="20"/>
      <c r="S300" s="20"/>
      <c r="T300" s="20"/>
      <c r="AE300" s="21" t="str">
        <f t="shared" si="100"/>
        <v/>
      </c>
      <c r="AF300" s="21" t="str">
        <f t="shared" ref="AF300:AN300" si="305">if(not(isblank(L300)),", "&amp;L300,"")</f>
        <v/>
      </c>
      <c r="AG300" s="21" t="str">
        <f t="shared" si="305"/>
        <v/>
      </c>
      <c r="AH300" s="21" t="str">
        <f t="shared" si="305"/>
        <v/>
      </c>
      <c r="AI300" s="21" t="str">
        <f t="shared" si="305"/>
        <v/>
      </c>
      <c r="AJ300" s="21" t="str">
        <f t="shared" si="305"/>
        <v/>
      </c>
      <c r="AK300" s="21" t="str">
        <f t="shared" si="305"/>
        <v/>
      </c>
      <c r="AL300" s="21" t="str">
        <f t="shared" si="305"/>
        <v/>
      </c>
      <c r="AM300" s="21" t="str">
        <f t="shared" si="305"/>
        <v/>
      </c>
      <c r="AN300" s="21" t="str">
        <f t="shared" si="305"/>
        <v/>
      </c>
      <c r="AO300" s="21" t="str">
        <f t="shared" si="102"/>
        <v/>
      </c>
    </row>
    <row r="301" ht="16.5" customHeight="1">
      <c r="J301" s="18"/>
      <c r="K301" s="19"/>
      <c r="L301" s="20"/>
      <c r="M301" s="20"/>
      <c r="N301" s="20"/>
      <c r="O301" s="20"/>
      <c r="P301" s="20"/>
      <c r="Q301" s="20"/>
      <c r="R301" s="20"/>
      <c r="S301" s="20"/>
      <c r="T301" s="20"/>
      <c r="AE301" s="21" t="str">
        <f t="shared" si="100"/>
        <v/>
      </c>
      <c r="AF301" s="21" t="str">
        <f t="shared" ref="AF301:AN301" si="306">if(not(isblank(L301)),", "&amp;L301,"")</f>
        <v/>
      </c>
      <c r="AG301" s="21" t="str">
        <f t="shared" si="306"/>
        <v/>
      </c>
      <c r="AH301" s="21" t="str">
        <f t="shared" si="306"/>
        <v/>
      </c>
      <c r="AI301" s="21" t="str">
        <f t="shared" si="306"/>
        <v/>
      </c>
      <c r="AJ301" s="21" t="str">
        <f t="shared" si="306"/>
        <v/>
      </c>
      <c r="AK301" s="21" t="str">
        <f t="shared" si="306"/>
        <v/>
      </c>
      <c r="AL301" s="21" t="str">
        <f t="shared" si="306"/>
        <v/>
      </c>
      <c r="AM301" s="21" t="str">
        <f t="shared" si="306"/>
        <v/>
      </c>
      <c r="AN301" s="21" t="str">
        <f t="shared" si="306"/>
        <v/>
      </c>
      <c r="AO301" s="21" t="str">
        <f t="shared" si="102"/>
        <v/>
      </c>
    </row>
    <row r="302" ht="16.5" customHeight="1">
      <c r="J302" s="18"/>
      <c r="K302" s="19"/>
      <c r="L302" s="20"/>
      <c r="M302" s="20"/>
      <c r="N302" s="20"/>
      <c r="O302" s="20"/>
      <c r="P302" s="20"/>
      <c r="Q302" s="20"/>
      <c r="R302" s="20"/>
      <c r="S302" s="20"/>
      <c r="T302" s="20"/>
      <c r="AE302" s="21" t="str">
        <f t="shared" si="100"/>
        <v/>
      </c>
      <c r="AF302" s="21" t="str">
        <f t="shared" ref="AF302:AN302" si="307">if(not(isblank(L302)),", "&amp;L302,"")</f>
        <v/>
      </c>
      <c r="AG302" s="21" t="str">
        <f t="shared" si="307"/>
        <v/>
      </c>
      <c r="AH302" s="21" t="str">
        <f t="shared" si="307"/>
        <v/>
      </c>
      <c r="AI302" s="21" t="str">
        <f t="shared" si="307"/>
        <v/>
      </c>
      <c r="AJ302" s="21" t="str">
        <f t="shared" si="307"/>
        <v/>
      </c>
      <c r="AK302" s="21" t="str">
        <f t="shared" si="307"/>
        <v/>
      </c>
      <c r="AL302" s="21" t="str">
        <f t="shared" si="307"/>
        <v/>
      </c>
      <c r="AM302" s="21" t="str">
        <f t="shared" si="307"/>
        <v/>
      </c>
      <c r="AN302" s="21" t="str">
        <f t="shared" si="307"/>
        <v/>
      </c>
      <c r="AO302" s="21" t="str">
        <f t="shared" si="102"/>
        <v/>
      </c>
    </row>
    <row r="303" ht="16.5" customHeight="1">
      <c r="J303" s="18"/>
      <c r="K303" s="19"/>
      <c r="L303" s="20"/>
      <c r="M303" s="20"/>
      <c r="N303" s="20"/>
      <c r="O303" s="20"/>
      <c r="P303" s="20"/>
      <c r="Q303" s="20"/>
      <c r="R303" s="20"/>
      <c r="S303" s="20"/>
      <c r="T303" s="20"/>
      <c r="AE303" s="21" t="str">
        <f t="shared" si="100"/>
        <v/>
      </c>
      <c r="AF303" s="21" t="str">
        <f t="shared" ref="AF303:AN303" si="308">if(not(isblank(L303)),", "&amp;L303,"")</f>
        <v/>
      </c>
      <c r="AG303" s="21" t="str">
        <f t="shared" si="308"/>
        <v/>
      </c>
      <c r="AH303" s="21" t="str">
        <f t="shared" si="308"/>
        <v/>
      </c>
      <c r="AI303" s="21" t="str">
        <f t="shared" si="308"/>
        <v/>
      </c>
      <c r="AJ303" s="21" t="str">
        <f t="shared" si="308"/>
        <v/>
      </c>
      <c r="AK303" s="21" t="str">
        <f t="shared" si="308"/>
        <v/>
      </c>
      <c r="AL303" s="21" t="str">
        <f t="shared" si="308"/>
        <v/>
      </c>
      <c r="AM303" s="21" t="str">
        <f t="shared" si="308"/>
        <v/>
      </c>
      <c r="AN303" s="21" t="str">
        <f t="shared" si="308"/>
        <v/>
      </c>
      <c r="AO303" s="21" t="str">
        <f t="shared" si="102"/>
        <v/>
      </c>
    </row>
    <row r="304" ht="16.5" customHeight="1">
      <c r="J304" s="18"/>
      <c r="K304" s="19"/>
      <c r="L304" s="20"/>
      <c r="M304" s="20"/>
      <c r="N304" s="20"/>
      <c r="O304" s="20"/>
      <c r="P304" s="20"/>
      <c r="Q304" s="20"/>
      <c r="R304" s="20"/>
      <c r="S304" s="20"/>
      <c r="T304" s="20"/>
      <c r="AE304" s="21" t="str">
        <f t="shared" si="100"/>
        <v/>
      </c>
      <c r="AF304" s="21" t="str">
        <f t="shared" ref="AF304:AN304" si="309">if(not(isblank(L304)),", "&amp;L304,"")</f>
        <v/>
      </c>
      <c r="AG304" s="21" t="str">
        <f t="shared" si="309"/>
        <v/>
      </c>
      <c r="AH304" s="21" t="str">
        <f t="shared" si="309"/>
        <v/>
      </c>
      <c r="AI304" s="21" t="str">
        <f t="shared" si="309"/>
        <v/>
      </c>
      <c r="AJ304" s="21" t="str">
        <f t="shared" si="309"/>
        <v/>
      </c>
      <c r="AK304" s="21" t="str">
        <f t="shared" si="309"/>
        <v/>
      </c>
      <c r="AL304" s="21" t="str">
        <f t="shared" si="309"/>
        <v/>
      </c>
      <c r="AM304" s="21" t="str">
        <f t="shared" si="309"/>
        <v/>
      </c>
      <c r="AN304" s="21" t="str">
        <f t="shared" si="309"/>
        <v/>
      </c>
      <c r="AO304" s="21" t="str">
        <f t="shared" si="102"/>
        <v/>
      </c>
    </row>
    <row r="305" ht="16.5" customHeight="1">
      <c r="J305" s="18"/>
      <c r="K305" s="19"/>
      <c r="L305" s="20"/>
      <c r="M305" s="20"/>
      <c r="N305" s="20"/>
      <c r="O305" s="20"/>
      <c r="P305" s="20"/>
      <c r="Q305" s="20"/>
      <c r="R305" s="20"/>
      <c r="S305" s="20"/>
      <c r="T305" s="20"/>
      <c r="AE305" s="21" t="str">
        <f t="shared" si="100"/>
        <v/>
      </c>
      <c r="AF305" s="21" t="str">
        <f t="shared" ref="AF305:AN305" si="310">if(not(isblank(L305)),", "&amp;L305,"")</f>
        <v/>
      </c>
      <c r="AG305" s="21" t="str">
        <f t="shared" si="310"/>
        <v/>
      </c>
      <c r="AH305" s="21" t="str">
        <f t="shared" si="310"/>
        <v/>
      </c>
      <c r="AI305" s="21" t="str">
        <f t="shared" si="310"/>
        <v/>
      </c>
      <c r="AJ305" s="21" t="str">
        <f t="shared" si="310"/>
        <v/>
      </c>
      <c r="AK305" s="21" t="str">
        <f t="shared" si="310"/>
        <v/>
      </c>
      <c r="AL305" s="21" t="str">
        <f t="shared" si="310"/>
        <v/>
      </c>
      <c r="AM305" s="21" t="str">
        <f t="shared" si="310"/>
        <v/>
      </c>
      <c r="AN305" s="21" t="str">
        <f t="shared" si="310"/>
        <v/>
      </c>
      <c r="AO305" s="21" t="str">
        <f t="shared" si="102"/>
        <v/>
      </c>
    </row>
    <row r="306" ht="16.5" customHeight="1">
      <c r="J306" s="18"/>
      <c r="K306" s="19"/>
      <c r="L306" s="20"/>
      <c r="M306" s="20"/>
      <c r="N306" s="20"/>
      <c r="O306" s="20"/>
      <c r="P306" s="20"/>
      <c r="Q306" s="20"/>
      <c r="R306" s="20"/>
      <c r="S306" s="20"/>
      <c r="T306" s="20"/>
      <c r="AE306" s="21" t="str">
        <f t="shared" si="100"/>
        <v/>
      </c>
      <c r="AF306" s="21" t="str">
        <f t="shared" ref="AF306:AN306" si="311">if(not(isblank(L306)),", "&amp;L306,"")</f>
        <v/>
      </c>
      <c r="AG306" s="21" t="str">
        <f t="shared" si="311"/>
        <v/>
      </c>
      <c r="AH306" s="21" t="str">
        <f t="shared" si="311"/>
        <v/>
      </c>
      <c r="AI306" s="21" t="str">
        <f t="shared" si="311"/>
        <v/>
      </c>
      <c r="AJ306" s="21" t="str">
        <f t="shared" si="311"/>
        <v/>
      </c>
      <c r="AK306" s="21" t="str">
        <f t="shared" si="311"/>
        <v/>
      </c>
      <c r="AL306" s="21" t="str">
        <f t="shared" si="311"/>
        <v/>
      </c>
      <c r="AM306" s="21" t="str">
        <f t="shared" si="311"/>
        <v/>
      </c>
      <c r="AN306" s="21" t="str">
        <f t="shared" si="311"/>
        <v/>
      </c>
      <c r="AO306" s="21" t="str">
        <f t="shared" si="102"/>
        <v/>
      </c>
    </row>
    <row r="307" ht="16.5" customHeight="1">
      <c r="J307" s="18"/>
      <c r="K307" s="19"/>
      <c r="L307" s="20"/>
      <c r="M307" s="20"/>
      <c r="N307" s="20"/>
      <c r="O307" s="20"/>
      <c r="P307" s="20"/>
      <c r="Q307" s="20"/>
      <c r="R307" s="20"/>
      <c r="S307" s="20"/>
      <c r="T307" s="20"/>
      <c r="AE307" s="21" t="str">
        <f t="shared" si="100"/>
        <v/>
      </c>
      <c r="AF307" s="21" t="str">
        <f t="shared" ref="AF307:AN307" si="312">if(not(isblank(L307)),", "&amp;L307,"")</f>
        <v/>
      </c>
      <c r="AG307" s="21" t="str">
        <f t="shared" si="312"/>
        <v/>
      </c>
      <c r="AH307" s="21" t="str">
        <f t="shared" si="312"/>
        <v/>
      </c>
      <c r="AI307" s="21" t="str">
        <f t="shared" si="312"/>
        <v/>
      </c>
      <c r="AJ307" s="21" t="str">
        <f t="shared" si="312"/>
        <v/>
      </c>
      <c r="AK307" s="21" t="str">
        <f t="shared" si="312"/>
        <v/>
      </c>
      <c r="AL307" s="21" t="str">
        <f t="shared" si="312"/>
        <v/>
      </c>
      <c r="AM307" s="21" t="str">
        <f t="shared" si="312"/>
        <v/>
      </c>
      <c r="AN307" s="21" t="str">
        <f t="shared" si="312"/>
        <v/>
      </c>
      <c r="AO307" s="21" t="str">
        <f t="shared" si="102"/>
        <v/>
      </c>
    </row>
    <row r="308" ht="16.5" customHeight="1">
      <c r="J308" s="18"/>
      <c r="K308" s="19"/>
      <c r="L308" s="20"/>
      <c r="M308" s="20"/>
      <c r="N308" s="20"/>
      <c r="O308" s="20"/>
      <c r="P308" s="20"/>
      <c r="Q308" s="20"/>
      <c r="R308" s="20"/>
      <c r="S308" s="20"/>
      <c r="T308" s="20"/>
      <c r="AE308" s="21" t="str">
        <f t="shared" si="100"/>
        <v/>
      </c>
      <c r="AF308" s="21" t="str">
        <f t="shared" ref="AF308:AN308" si="313">if(not(isblank(L308)),", "&amp;L308,"")</f>
        <v/>
      </c>
      <c r="AG308" s="21" t="str">
        <f t="shared" si="313"/>
        <v/>
      </c>
      <c r="AH308" s="21" t="str">
        <f t="shared" si="313"/>
        <v/>
      </c>
      <c r="AI308" s="21" t="str">
        <f t="shared" si="313"/>
        <v/>
      </c>
      <c r="AJ308" s="21" t="str">
        <f t="shared" si="313"/>
        <v/>
      </c>
      <c r="AK308" s="21" t="str">
        <f t="shared" si="313"/>
        <v/>
      </c>
      <c r="AL308" s="21" t="str">
        <f t="shared" si="313"/>
        <v/>
      </c>
      <c r="AM308" s="21" t="str">
        <f t="shared" si="313"/>
        <v/>
      </c>
      <c r="AN308" s="21" t="str">
        <f t="shared" si="313"/>
        <v/>
      </c>
      <c r="AO308" s="21" t="str">
        <f t="shared" si="102"/>
        <v/>
      </c>
    </row>
    <row r="309" ht="16.5" customHeight="1">
      <c r="J309" s="18"/>
      <c r="K309" s="19"/>
      <c r="L309" s="20"/>
      <c r="M309" s="20"/>
      <c r="N309" s="20"/>
      <c r="O309" s="20"/>
      <c r="P309" s="20"/>
      <c r="Q309" s="20"/>
      <c r="R309" s="20"/>
      <c r="S309" s="20"/>
      <c r="T309" s="20"/>
      <c r="AE309" s="21" t="str">
        <f t="shared" si="100"/>
        <v/>
      </c>
      <c r="AF309" s="21" t="str">
        <f t="shared" ref="AF309:AN309" si="314">if(not(isblank(L309)),", "&amp;L309,"")</f>
        <v/>
      </c>
      <c r="AG309" s="21" t="str">
        <f t="shared" si="314"/>
        <v/>
      </c>
      <c r="AH309" s="21" t="str">
        <f t="shared" si="314"/>
        <v/>
      </c>
      <c r="AI309" s="21" t="str">
        <f t="shared" si="314"/>
        <v/>
      </c>
      <c r="AJ309" s="21" t="str">
        <f t="shared" si="314"/>
        <v/>
      </c>
      <c r="AK309" s="21" t="str">
        <f t="shared" si="314"/>
        <v/>
      </c>
      <c r="AL309" s="21" t="str">
        <f t="shared" si="314"/>
        <v/>
      </c>
      <c r="AM309" s="21" t="str">
        <f t="shared" si="314"/>
        <v/>
      </c>
      <c r="AN309" s="21" t="str">
        <f t="shared" si="314"/>
        <v/>
      </c>
      <c r="AO309" s="21" t="str">
        <f t="shared" si="102"/>
        <v/>
      </c>
    </row>
    <row r="310" ht="16.5" customHeight="1">
      <c r="J310" s="18"/>
      <c r="K310" s="19"/>
      <c r="L310" s="20"/>
      <c r="M310" s="20"/>
      <c r="N310" s="20"/>
      <c r="O310" s="20"/>
      <c r="P310" s="20"/>
      <c r="Q310" s="20"/>
      <c r="R310" s="20"/>
      <c r="S310" s="20"/>
      <c r="T310" s="20"/>
      <c r="AE310" s="21" t="str">
        <f t="shared" si="100"/>
        <v/>
      </c>
      <c r="AF310" s="21" t="str">
        <f t="shared" ref="AF310:AN310" si="315">if(not(isblank(L310)),", "&amp;L310,"")</f>
        <v/>
      </c>
      <c r="AG310" s="21" t="str">
        <f t="shared" si="315"/>
        <v/>
      </c>
      <c r="AH310" s="21" t="str">
        <f t="shared" si="315"/>
        <v/>
      </c>
      <c r="AI310" s="21" t="str">
        <f t="shared" si="315"/>
        <v/>
      </c>
      <c r="AJ310" s="21" t="str">
        <f t="shared" si="315"/>
        <v/>
      </c>
      <c r="AK310" s="21" t="str">
        <f t="shared" si="315"/>
        <v/>
      </c>
      <c r="AL310" s="21" t="str">
        <f t="shared" si="315"/>
        <v/>
      </c>
      <c r="AM310" s="21" t="str">
        <f t="shared" si="315"/>
        <v/>
      </c>
      <c r="AN310" s="21" t="str">
        <f t="shared" si="315"/>
        <v/>
      </c>
      <c r="AO310" s="21" t="str">
        <f t="shared" si="102"/>
        <v/>
      </c>
    </row>
    <row r="311" ht="16.5" customHeight="1">
      <c r="J311" s="18"/>
      <c r="K311" s="19"/>
      <c r="L311" s="20"/>
      <c r="M311" s="20"/>
      <c r="N311" s="20"/>
      <c r="O311" s="20"/>
      <c r="P311" s="20"/>
      <c r="Q311" s="20"/>
      <c r="R311" s="20"/>
      <c r="S311" s="20"/>
      <c r="T311" s="20"/>
      <c r="AE311" s="21" t="str">
        <f t="shared" si="100"/>
        <v/>
      </c>
      <c r="AF311" s="21" t="str">
        <f t="shared" ref="AF311:AN311" si="316">if(not(isblank(L311)),", "&amp;L311,"")</f>
        <v/>
      </c>
      <c r="AG311" s="21" t="str">
        <f t="shared" si="316"/>
        <v/>
      </c>
      <c r="AH311" s="21" t="str">
        <f t="shared" si="316"/>
        <v/>
      </c>
      <c r="AI311" s="21" t="str">
        <f t="shared" si="316"/>
        <v/>
      </c>
      <c r="AJ311" s="21" t="str">
        <f t="shared" si="316"/>
        <v/>
      </c>
      <c r="AK311" s="21" t="str">
        <f t="shared" si="316"/>
        <v/>
      </c>
      <c r="AL311" s="21" t="str">
        <f t="shared" si="316"/>
        <v/>
      </c>
      <c r="AM311" s="21" t="str">
        <f t="shared" si="316"/>
        <v/>
      </c>
      <c r="AN311" s="21" t="str">
        <f t="shared" si="316"/>
        <v/>
      </c>
      <c r="AO311" s="21" t="str">
        <f t="shared" si="102"/>
        <v/>
      </c>
    </row>
    <row r="312" ht="16.5" customHeight="1">
      <c r="J312" s="18"/>
      <c r="K312" s="19"/>
      <c r="L312" s="20"/>
      <c r="M312" s="20"/>
      <c r="N312" s="20"/>
      <c r="O312" s="20"/>
      <c r="P312" s="20"/>
      <c r="Q312" s="20"/>
      <c r="R312" s="20"/>
      <c r="S312" s="20"/>
      <c r="T312" s="20"/>
      <c r="AE312" s="21" t="str">
        <f t="shared" si="100"/>
        <v/>
      </c>
      <c r="AF312" s="21" t="str">
        <f t="shared" ref="AF312:AN312" si="317">if(not(isblank(L312)),", "&amp;L312,"")</f>
        <v/>
      </c>
      <c r="AG312" s="21" t="str">
        <f t="shared" si="317"/>
        <v/>
      </c>
      <c r="AH312" s="21" t="str">
        <f t="shared" si="317"/>
        <v/>
      </c>
      <c r="AI312" s="21" t="str">
        <f t="shared" si="317"/>
        <v/>
      </c>
      <c r="AJ312" s="21" t="str">
        <f t="shared" si="317"/>
        <v/>
      </c>
      <c r="AK312" s="21" t="str">
        <f t="shared" si="317"/>
        <v/>
      </c>
      <c r="AL312" s="21" t="str">
        <f t="shared" si="317"/>
        <v/>
      </c>
      <c r="AM312" s="21" t="str">
        <f t="shared" si="317"/>
        <v/>
      </c>
      <c r="AN312" s="21" t="str">
        <f t="shared" si="317"/>
        <v/>
      </c>
      <c r="AO312" s="21" t="str">
        <f t="shared" si="102"/>
        <v/>
      </c>
    </row>
    <row r="313" ht="16.5" customHeight="1">
      <c r="J313" s="18"/>
      <c r="K313" s="19"/>
      <c r="L313" s="20"/>
      <c r="M313" s="20"/>
      <c r="N313" s="20"/>
      <c r="O313" s="20"/>
      <c r="P313" s="20"/>
      <c r="Q313" s="20"/>
      <c r="R313" s="20"/>
      <c r="S313" s="20"/>
      <c r="T313" s="20"/>
      <c r="AE313" s="21" t="str">
        <f t="shared" si="100"/>
        <v/>
      </c>
      <c r="AF313" s="21" t="str">
        <f t="shared" ref="AF313:AN313" si="318">if(not(isblank(L313)),", "&amp;L313,"")</f>
        <v/>
      </c>
      <c r="AG313" s="21" t="str">
        <f t="shared" si="318"/>
        <v/>
      </c>
      <c r="AH313" s="21" t="str">
        <f t="shared" si="318"/>
        <v/>
      </c>
      <c r="AI313" s="21" t="str">
        <f t="shared" si="318"/>
        <v/>
      </c>
      <c r="AJ313" s="21" t="str">
        <f t="shared" si="318"/>
        <v/>
      </c>
      <c r="AK313" s="21" t="str">
        <f t="shared" si="318"/>
        <v/>
      </c>
      <c r="AL313" s="21" t="str">
        <f t="shared" si="318"/>
        <v/>
      </c>
      <c r="AM313" s="21" t="str">
        <f t="shared" si="318"/>
        <v/>
      </c>
      <c r="AN313" s="21" t="str">
        <f t="shared" si="318"/>
        <v/>
      </c>
      <c r="AO313" s="21" t="str">
        <f t="shared" si="102"/>
        <v/>
      </c>
    </row>
    <row r="314" ht="16.5" customHeight="1">
      <c r="J314" s="18"/>
      <c r="K314" s="19"/>
      <c r="L314" s="20"/>
      <c r="M314" s="20"/>
      <c r="N314" s="20"/>
      <c r="O314" s="20"/>
      <c r="P314" s="20"/>
      <c r="Q314" s="20"/>
      <c r="R314" s="20"/>
      <c r="S314" s="20"/>
      <c r="T314" s="20"/>
      <c r="AE314" s="21" t="str">
        <f t="shared" si="100"/>
        <v/>
      </c>
      <c r="AF314" s="21" t="str">
        <f t="shared" ref="AF314:AN314" si="319">if(not(isblank(L314)),", "&amp;L314,"")</f>
        <v/>
      </c>
      <c r="AG314" s="21" t="str">
        <f t="shared" si="319"/>
        <v/>
      </c>
      <c r="AH314" s="21" t="str">
        <f t="shared" si="319"/>
        <v/>
      </c>
      <c r="AI314" s="21" t="str">
        <f t="shared" si="319"/>
        <v/>
      </c>
      <c r="AJ314" s="21" t="str">
        <f t="shared" si="319"/>
        <v/>
      </c>
      <c r="AK314" s="21" t="str">
        <f t="shared" si="319"/>
        <v/>
      </c>
      <c r="AL314" s="21" t="str">
        <f t="shared" si="319"/>
        <v/>
      </c>
      <c r="AM314" s="21" t="str">
        <f t="shared" si="319"/>
        <v/>
      </c>
      <c r="AN314" s="21" t="str">
        <f t="shared" si="319"/>
        <v/>
      </c>
      <c r="AO314" s="21" t="str">
        <f t="shared" si="102"/>
        <v/>
      </c>
    </row>
    <row r="315" ht="16.5" customHeight="1">
      <c r="J315" s="18"/>
      <c r="K315" s="19"/>
      <c r="L315" s="20"/>
      <c r="M315" s="20"/>
      <c r="N315" s="20"/>
      <c r="O315" s="20"/>
      <c r="P315" s="20"/>
      <c r="Q315" s="20"/>
      <c r="R315" s="20"/>
      <c r="S315" s="20"/>
      <c r="T315" s="20"/>
      <c r="AE315" s="21" t="str">
        <f t="shared" si="100"/>
        <v/>
      </c>
      <c r="AF315" s="21" t="str">
        <f t="shared" ref="AF315:AN315" si="320">if(not(isblank(L315)),", "&amp;L315,"")</f>
        <v/>
      </c>
      <c r="AG315" s="21" t="str">
        <f t="shared" si="320"/>
        <v/>
      </c>
      <c r="AH315" s="21" t="str">
        <f t="shared" si="320"/>
        <v/>
      </c>
      <c r="AI315" s="21" t="str">
        <f t="shared" si="320"/>
        <v/>
      </c>
      <c r="AJ315" s="21" t="str">
        <f t="shared" si="320"/>
        <v/>
      </c>
      <c r="AK315" s="21" t="str">
        <f t="shared" si="320"/>
        <v/>
      </c>
      <c r="AL315" s="21" t="str">
        <f t="shared" si="320"/>
        <v/>
      </c>
      <c r="AM315" s="21" t="str">
        <f t="shared" si="320"/>
        <v/>
      </c>
      <c r="AN315" s="21" t="str">
        <f t="shared" si="320"/>
        <v/>
      </c>
      <c r="AO315" s="21" t="str">
        <f t="shared" si="102"/>
        <v/>
      </c>
    </row>
    <row r="316" ht="16.5" customHeight="1">
      <c r="J316" s="18"/>
      <c r="K316" s="19"/>
      <c r="L316" s="20"/>
      <c r="M316" s="20"/>
      <c r="N316" s="20"/>
      <c r="O316" s="20"/>
      <c r="P316" s="20"/>
      <c r="Q316" s="20"/>
      <c r="R316" s="20"/>
      <c r="S316" s="20"/>
      <c r="T316" s="20"/>
      <c r="AE316" s="21" t="str">
        <f t="shared" si="100"/>
        <v/>
      </c>
      <c r="AF316" s="21" t="str">
        <f t="shared" ref="AF316:AN316" si="321">if(not(isblank(L316)),", "&amp;L316,"")</f>
        <v/>
      </c>
      <c r="AG316" s="21" t="str">
        <f t="shared" si="321"/>
        <v/>
      </c>
      <c r="AH316" s="21" t="str">
        <f t="shared" si="321"/>
        <v/>
      </c>
      <c r="AI316" s="21" t="str">
        <f t="shared" si="321"/>
        <v/>
      </c>
      <c r="AJ316" s="21" t="str">
        <f t="shared" si="321"/>
        <v/>
      </c>
      <c r="AK316" s="21" t="str">
        <f t="shared" si="321"/>
        <v/>
      </c>
      <c r="AL316" s="21" t="str">
        <f t="shared" si="321"/>
        <v/>
      </c>
      <c r="AM316" s="21" t="str">
        <f t="shared" si="321"/>
        <v/>
      </c>
      <c r="AN316" s="21" t="str">
        <f t="shared" si="321"/>
        <v/>
      </c>
      <c r="AO316" s="21" t="str">
        <f t="shared" si="102"/>
        <v/>
      </c>
    </row>
    <row r="317" ht="16.5" customHeight="1">
      <c r="J317" s="18"/>
      <c r="K317" s="19"/>
      <c r="L317" s="20"/>
      <c r="M317" s="20"/>
      <c r="N317" s="20"/>
      <c r="O317" s="20"/>
      <c r="P317" s="20"/>
      <c r="Q317" s="20"/>
      <c r="R317" s="20"/>
      <c r="S317" s="20"/>
      <c r="T317" s="20"/>
      <c r="AE317" s="21" t="str">
        <f t="shared" si="100"/>
        <v/>
      </c>
      <c r="AF317" s="21" t="str">
        <f t="shared" ref="AF317:AN317" si="322">if(not(isblank(L317)),", "&amp;L317,"")</f>
        <v/>
      </c>
      <c r="AG317" s="21" t="str">
        <f t="shared" si="322"/>
        <v/>
      </c>
      <c r="AH317" s="21" t="str">
        <f t="shared" si="322"/>
        <v/>
      </c>
      <c r="AI317" s="21" t="str">
        <f t="shared" si="322"/>
        <v/>
      </c>
      <c r="AJ317" s="21" t="str">
        <f t="shared" si="322"/>
        <v/>
      </c>
      <c r="AK317" s="21" t="str">
        <f t="shared" si="322"/>
        <v/>
      </c>
      <c r="AL317" s="21" t="str">
        <f t="shared" si="322"/>
        <v/>
      </c>
      <c r="AM317" s="21" t="str">
        <f t="shared" si="322"/>
        <v/>
      </c>
      <c r="AN317" s="21" t="str">
        <f t="shared" si="322"/>
        <v/>
      </c>
      <c r="AO317" s="21" t="str">
        <f t="shared" si="102"/>
        <v/>
      </c>
    </row>
    <row r="318" ht="16.5" customHeight="1">
      <c r="J318" s="18"/>
      <c r="K318" s="19"/>
      <c r="L318" s="20"/>
      <c r="M318" s="20"/>
      <c r="N318" s="20"/>
      <c r="O318" s="20"/>
      <c r="P318" s="20"/>
      <c r="Q318" s="20"/>
      <c r="R318" s="20"/>
      <c r="S318" s="20"/>
      <c r="T318" s="20"/>
      <c r="AE318" s="21" t="str">
        <f t="shared" si="100"/>
        <v/>
      </c>
      <c r="AF318" s="21" t="str">
        <f t="shared" ref="AF318:AN318" si="323">if(not(isblank(L318)),", "&amp;L318,"")</f>
        <v/>
      </c>
      <c r="AG318" s="21" t="str">
        <f t="shared" si="323"/>
        <v/>
      </c>
      <c r="AH318" s="21" t="str">
        <f t="shared" si="323"/>
        <v/>
      </c>
      <c r="AI318" s="21" t="str">
        <f t="shared" si="323"/>
        <v/>
      </c>
      <c r="AJ318" s="21" t="str">
        <f t="shared" si="323"/>
        <v/>
      </c>
      <c r="AK318" s="21" t="str">
        <f t="shared" si="323"/>
        <v/>
      </c>
      <c r="AL318" s="21" t="str">
        <f t="shared" si="323"/>
        <v/>
      </c>
      <c r="AM318" s="21" t="str">
        <f t="shared" si="323"/>
        <v/>
      </c>
      <c r="AN318" s="21" t="str">
        <f t="shared" si="323"/>
        <v/>
      </c>
      <c r="AO318" s="21" t="str">
        <f t="shared" si="102"/>
        <v/>
      </c>
    </row>
    <row r="319" ht="16.5" customHeight="1">
      <c r="J319" s="18"/>
      <c r="K319" s="19"/>
      <c r="L319" s="20"/>
      <c r="M319" s="20"/>
      <c r="N319" s="20"/>
      <c r="O319" s="20"/>
      <c r="P319" s="20"/>
      <c r="Q319" s="20"/>
      <c r="R319" s="20"/>
      <c r="S319" s="20"/>
      <c r="T319" s="20"/>
      <c r="AE319" s="21" t="str">
        <f t="shared" si="100"/>
        <v/>
      </c>
      <c r="AF319" s="21" t="str">
        <f t="shared" ref="AF319:AN319" si="324">if(not(isblank(L319)),", "&amp;L319,"")</f>
        <v/>
      </c>
      <c r="AG319" s="21" t="str">
        <f t="shared" si="324"/>
        <v/>
      </c>
      <c r="AH319" s="21" t="str">
        <f t="shared" si="324"/>
        <v/>
      </c>
      <c r="AI319" s="21" t="str">
        <f t="shared" si="324"/>
        <v/>
      </c>
      <c r="AJ319" s="21" t="str">
        <f t="shared" si="324"/>
        <v/>
      </c>
      <c r="AK319" s="21" t="str">
        <f t="shared" si="324"/>
        <v/>
      </c>
      <c r="AL319" s="21" t="str">
        <f t="shared" si="324"/>
        <v/>
      </c>
      <c r="AM319" s="21" t="str">
        <f t="shared" si="324"/>
        <v/>
      </c>
      <c r="AN319" s="21" t="str">
        <f t="shared" si="324"/>
        <v/>
      </c>
      <c r="AO319" s="21" t="str">
        <f t="shared" si="102"/>
        <v/>
      </c>
    </row>
    <row r="320" ht="16.5" customHeight="1">
      <c r="J320" s="18"/>
      <c r="K320" s="19"/>
      <c r="L320" s="20"/>
      <c r="M320" s="20"/>
      <c r="N320" s="20"/>
      <c r="O320" s="20"/>
      <c r="P320" s="20"/>
      <c r="Q320" s="20"/>
      <c r="R320" s="20"/>
      <c r="S320" s="20"/>
      <c r="T320" s="20"/>
      <c r="AE320" s="21" t="str">
        <f t="shared" si="100"/>
        <v/>
      </c>
      <c r="AF320" s="21" t="str">
        <f t="shared" ref="AF320:AN320" si="325">if(not(isblank(L320)),", "&amp;L320,"")</f>
        <v/>
      </c>
      <c r="AG320" s="21" t="str">
        <f t="shared" si="325"/>
        <v/>
      </c>
      <c r="AH320" s="21" t="str">
        <f t="shared" si="325"/>
        <v/>
      </c>
      <c r="AI320" s="21" t="str">
        <f t="shared" si="325"/>
        <v/>
      </c>
      <c r="AJ320" s="21" t="str">
        <f t="shared" si="325"/>
        <v/>
      </c>
      <c r="AK320" s="21" t="str">
        <f t="shared" si="325"/>
        <v/>
      </c>
      <c r="AL320" s="21" t="str">
        <f t="shared" si="325"/>
        <v/>
      </c>
      <c r="AM320" s="21" t="str">
        <f t="shared" si="325"/>
        <v/>
      </c>
      <c r="AN320" s="21" t="str">
        <f t="shared" si="325"/>
        <v/>
      </c>
      <c r="AO320" s="21" t="str">
        <f t="shared" si="102"/>
        <v/>
      </c>
    </row>
    <row r="321" ht="16.5" customHeight="1">
      <c r="J321" s="18"/>
      <c r="K321" s="19"/>
      <c r="L321" s="20"/>
      <c r="M321" s="20"/>
      <c r="N321" s="20"/>
      <c r="O321" s="20"/>
      <c r="P321" s="20"/>
      <c r="Q321" s="20"/>
      <c r="R321" s="20"/>
      <c r="S321" s="20"/>
      <c r="T321" s="20"/>
      <c r="AE321" s="21" t="str">
        <f t="shared" si="100"/>
        <v/>
      </c>
      <c r="AF321" s="21" t="str">
        <f t="shared" ref="AF321:AN321" si="326">if(not(isblank(L321)),", "&amp;L321,"")</f>
        <v/>
      </c>
      <c r="AG321" s="21" t="str">
        <f t="shared" si="326"/>
        <v/>
      </c>
      <c r="AH321" s="21" t="str">
        <f t="shared" si="326"/>
        <v/>
      </c>
      <c r="AI321" s="21" t="str">
        <f t="shared" si="326"/>
        <v/>
      </c>
      <c r="AJ321" s="21" t="str">
        <f t="shared" si="326"/>
        <v/>
      </c>
      <c r="AK321" s="21" t="str">
        <f t="shared" si="326"/>
        <v/>
      </c>
      <c r="AL321" s="21" t="str">
        <f t="shared" si="326"/>
        <v/>
      </c>
      <c r="AM321" s="21" t="str">
        <f t="shared" si="326"/>
        <v/>
      </c>
      <c r="AN321" s="21" t="str">
        <f t="shared" si="326"/>
        <v/>
      </c>
      <c r="AO321" s="21" t="str">
        <f t="shared" si="102"/>
        <v/>
      </c>
    </row>
    <row r="322" ht="16.5" customHeight="1">
      <c r="J322" s="18"/>
      <c r="K322" s="19"/>
      <c r="L322" s="20"/>
      <c r="M322" s="20"/>
      <c r="N322" s="20"/>
      <c r="O322" s="20"/>
      <c r="P322" s="20"/>
      <c r="Q322" s="20"/>
      <c r="R322" s="20"/>
      <c r="S322" s="20"/>
      <c r="T322" s="20"/>
      <c r="AE322" s="21" t="str">
        <f t="shared" si="100"/>
        <v/>
      </c>
      <c r="AF322" s="21" t="str">
        <f t="shared" ref="AF322:AN322" si="327">if(not(isblank(L322)),", "&amp;L322,"")</f>
        <v/>
      </c>
      <c r="AG322" s="21" t="str">
        <f t="shared" si="327"/>
        <v/>
      </c>
      <c r="AH322" s="21" t="str">
        <f t="shared" si="327"/>
        <v/>
      </c>
      <c r="AI322" s="21" t="str">
        <f t="shared" si="327"/>
        <v/>
      </c>
      <c r="AJ322" s="21" t="str">
        <f t="shared" si="327"/>
        <v/>
      </c>
      <c r="AK322" s="21" t="str">
        <f t="shared" si="327"/>
        <v/>
      </c>
      <c r="AL322" s="21" t="str">
        <f t="shared" si="327"/>
        <v/>
      </c>
      <c r="AM322" s="21" t="str">
        <f t="shared" si="327"/>
        <v/>
      </c>
      <c r="AN322" s="21" t="str">
        <f t="shared" si="327"/>
        <v/>
      </c>
      <c r="AO322" s="21" t="str">
        <f t="shared" si="102"/>
        <v/>
      </c>
    </row>
    <row r="323" ht="16.5" customHeight="1">
      <c r="J323" s="18"/>
      <c r="K323" s="19"/>
      <c r="L323" s="20"/>
      <c r="M323" s="20"/>
      <c r="N323" s="20"/>
      <c r="O323" s="20"/>
      <c r="P323" s="20"/>
      <c r="Q323" s="20"/>
      <c r="R323" s="20"/>
      <c r="S323" s="20"/>
      <c r="T323" s="20"/>
      <c r="AE323" s="21" t="str">
        <f t="shared" si="100"/>
        <v/>
      </c>
      <c r="AF323" s="21" t="str">
        <f t="shared" ref="AF323:AN323" si="328">if(not(isblank(L323)),", "&amp;L323,"")</f>
        <v/>
      </c>
      <c r="AG323" s="21" t="str">
        <f t="shared" si="328"/>
        <v/>
      </c>
      <c r="AH323" s="21" t="str">
        <f t="shared" si="328"/>
        <v/>
      </c>
      <c r="AI323" s="21" t="str">
        <f t="shared" si="328"/>
        <v/>
      </c>
      <c r="AJ323" s="21" t="str">
        <f t="shared" si="328"/>
        <v/>
      </c>
      <c r="AK323" s="21" t="str">
        <f t="shared" si="328"/>
        <v/>
      </c>
      <c r="AL323" s="21" t="str">
        <f t="shared" si="328"/>
        <v/>
      </c>
      <c r="AM323" s="21" t="str">
        <f t="shared" si="328"/>
        <v/>
      </c>
      <c r="AN323" s="21" t="str">
        <f t="shared" si="328"/>
        <v/>
      </c>
      <c r="AO323" s="21" t="str">
        <f t="shared" si="102"/>
        <v/>
      </c>
    </row>
    <row r="324" ht="16.5" customHeight="1">
      <c r="J324" s="18"/>
      <c r="K324" s="19"/>
      <c r="L324" s="20"/>
      <c r="M324" s="20"/>
      <c r="N324" s="20"/>
      <c r="O324" s="20"/>
      <c r="P324" s="20"/>
      <c r="Q324" s="20"/>
      <c r="R324" s="20"/>
      <c r="S324" s="20"/>
      <c r="T324" s="20"/>
      <c r="AE324" s="21" t="str">
        <f t="shared" si="100"/>
        <v/>
      </c>
      <c r="AF324" s="21" t="str">
        <f t="shared" ref="AF324:AN324" si="329">if(not(isblank(L324)),", "&amp;L324,"")</f>
        <v/>
      </c>
      <c r="AG324" s="21" t="str">
        <f t="shared" si="329"/>
        <v/>
      </c>
      <c r="AH324" s="21" t="str">
        <f t="shared" si="329"/>
        <v/>
      </c>
      <c r="AI324" s="21" t="str">
        <f t="shared" si="329"/>
        <v/>
      </c>
      <c r="AJ324" s="21" t="str">
        <f t="shared" si="329"/>
        <v/>
      </c>
      <c r="AK324" s="21" t="str">
        <f t="shared" si="329"/>
        <v/>
      </c>
      <c r="AL324" s="21" t="str">
        <f t="shared" si="329"/>
        <v/>
      </c>
      <c r="AM324" s="21" t="str">
        <f t="shared" si="329"/>
        <v/>
      </c>
      <c r="AN324" s="21" t="str">
        <f t="shared" si="329"/>
        <v/>
      </c>
      <c r="AO324" s="21" t="str">
        <f t="shared" si="102"/>
        <v/>
      </c>
    </row>
    <row r="325" ht="16.5" customHeight="1">
      <c r="J325" s="18"/>
      <c r="K325" s="19"/>
      <c r="L325" s="20"/>
      <c r="M325" s="20"/>
      <c r="N325" s="20"/>
      <c r="O325" s="20"/>
      <c r="P325" s="20"/>
      <c r="Q325" s="20"/>
      <c r="R325" s="20"/>
      <c r="S325" s="20"/>
      <c r="T325" s="20"/>
      <c r="AE325" s="21" t="str">
        <f t="shared" si="100"/>
        <v/>
      </c>
      <c r="AF325" s="21" t="str">
        <f t="shared" ref="AF325:AN325" si="330">if(not(isblank(L325)),", "&amp;L325,"")</f>
        <v/>
      </c>
      <c r="AG325" s="21" t="str">
        <f t="shared" si="330"/>
        <v/>
      </c>
      <c r="AH325" s="21" t="str">
        <f t="shared" si="330"/>
        <v/>
      </c>
      <c r="AI325" s="21" t="str">
        <f t="shared" si="330"/>
        <v/>
      </c>
      <c r="AJ325" s="21" t="str">
        <f t="shared" si="330"/>
        <v/>
      </c>
      <c r="AK325" s="21" t="str">
        <f t="shared" si="330"/>
        <v/>
      </c>
      <c r="AL325" s="21" t="str">
        <f t="shared" si="330"/>
        <v/>
      </c>
      <c r="AM325" s="21" t="str">
        <f t="shared" si="330"/>
        <v/>
      </c>
      <c r="AN325" s="21" t="str">
        <f t="shared" si="330"/>
        <v/>
      </c>
      <c r="AO325" s="21" t="str">
        <f t="shared" si="102"/>
        <v/>
      </c>
    </row>
    <row r="326" ht="16.5" customHeight="1">
      <c r="J326" s="18"/>
      <c r="K326" s="19"/>
      <c r="L326" s="20"/>
      <c r="M326" s="20"/>
      <c r="N326" s="20"/>
      <c r="O326" s="20"/>
      <c r="P326" s="20"/>
      <c r="Q326" s="20"/>
      <c r="R326" s="20"/>
      <c r="S326" s="20"/>
      <c r="T326" s="20"/>
      <c r="AE326" s="21" t="str">
        <f t="shared" si="100"/>
        <v/>
      </c>
      <c r="AF326" s="21" t="str">
        <f t="shared" ref="AF326:AN326" si="331">if(not(isblank(L326)),", "&amp;L326,"")</f>
        <v/>
      </c>
      <c r="AG326" s="21" t="str">
        <f t="shared" si="331"/>
        <v/>
      </c>
      <c r="AH326" s="21" t="str">
        <f t="shared" si="331"/>
        <v/>
      </c>
      <c r="AI326" s="21" t="str">
        <f t="shared" si="331"/>
        <v/>
      </c>
      <c r="AJ326" s="21" t="str">
        <f t="shared" si="331"/>
        <v/>
      </c>
      <c r="AK326" s="21" t="str">
        <f t="shared" si="331"/>
        <v/>
      </c>
      <c r="AL326" s="21" t="str">
        <f t="shared" si="331"/>
        <v/>
      </c>
      <c r="AM326" s="21" t="str">
        <f t="shared" si="331"/>
        <v/>
      </c>
      <c r="AN326" s="21" t="str">
        <f t="shared" si="331"/>
        <v/>
      </c>
      <c r="AO326" s="21" t="str">
        <f t="shared" si="102"/>
        <v/>
      </c>
    </row>
    <row r="327" ht="16.5" customHeight="1">
      <c r="J327" s="18"/>
      <c r="K327" s="19"/>
      <c r="L327" s="20"/>
      <c r="M327" s="20"/>
      <c r="N327" s="20"/>
      <c r="O327" s="20"/>
      <c r="P327" s="20"/>
      <c r="Q327" s="20"/>
      <c r="R327" s="20"/>
      <c r="S327" s="20"/>
      <c r="T327" s="20"/>
      <c r="AE327" s="21" t="str">
        <f t="shared" si="100"/>
        <v/>
      </c>
      <c r="AF327" s="21" t="str">
        <f t="shared" ref="AF327:AN327" si="332">if(not(isblank(L327)),", "&amp;L327,"")</f>
        <v/>
      </c>
      <c r="AG327" s="21" t="str">
        <f t="shared" si="332"/>
        <v/>
      </c>
      <c r="AH327" s="21" t="str">
        <f t="shared" si="332"/>
        <v/>
      </c>
      <c r="AI327" s="21" t="str">
        <f t="shared" si="332"/>
        <v/>
      </c>
      <c r="AJ327" s="21" t="str">
        <f t="shared" si="332"/>
        <v/>
      </c>
      <c r="AK327" s="21" t="str">
        <f t="shared" si="332"/>
        <v/>
      </c>
      <c r="AL327" s="21" t="str">
        <f t="shared" si="332"/>
        <v/>
      </c>
      <c r="AM327" s="21" t="str">
        <f t="shared" si="332"/>
        <v/>
      </c>
      <c r="AN327" s="21" t="str">
        <f t="shared" si="332"/>
        <v/>
      </c>
      <c r="AO327" s="21" t="str">
        <f t="shared" si="102"/>
        <v/>
      </c>
    </row>
    <row r="328" ht="16.5" customHeight="1">
      <c r="J328" s="18"/>
      <c r="K328" s="19"/>
      <c r="L328" s="20"/>
      <c r="M328" s="20"/>
      <c r="N328" s="20"/>
      <c r="O328" s="20"/>
      <c r="P328" s="20"/>
      <c r="Q328" s="20"/>
      <c r="R328" s="20"/>
      <c r="S328" s="20"/>
      <c r="T328" s="20"/>
      <c r="AE328" s="21" t="str">
        <f t="shared" si="100"/>
        <v/>
      </c>
      <c r="AF328" s="21" t="str">
        <f t="shared" ref="AF328:AN328" si="333">if(not(isblank(L328)),", "&amp;L328,"")</f>
        <v/>
      </c>
      <c r="AG328" s="21" t="str">
        <f t="shared" si="333"/>
        <v/>
      </c>
      <c r="AH328" s="21" t="str">
        <f t="shared" si="333"/>
        <v/>
      </c>
      <c r="AI328" s="21" t="str">
        <f t="shared" si="333"/>
        <v/>
      </c>
      <c r="AJ328" s="21" t="str">
        <f t="shared" si="333"/>
        <v/>
      </c>
      <c r="AK328" s="21" t="str">
        <f t="shared" si="333"/>
        <v/>
      </c>
      <c r="AL328" s="21" t="str">
        <f t="shared" si="333"/>
        <v/>
      </c>
      <c r="AM328" s="21" t="str">
        <f t="shared" si="333"/>
        <v/>
      </c>
      <c r="AN328" s="21" t="str">
        <f t="shared" si="333"/>
        <v/>
      </c>
      <c r="AO328" s="21" t="str">
        <f t="shared" si="102"/>
        <v/>
      </c>
    </row>
    <row r="329" ht="16.5" customHeight="1">
      <c r="J329" s="18"/>
      <c r="K329" s="19"/>
      <c r="L329" s="20"/>
      <c r="M329" s="20"/>
      <c r="N329" s="20"/>
      <c r="O329" s="20"/>
      <c r="P329" s="20"/>
      <c r="Q329" s="20"/>
      <c r="R329" s="20"/>
      <c r="S329" s="20"/>
      <c r="T329" s="20"/>
      <c r="AE329" s="21" t="str">
        <f t="shared" si="100"/>
        <v/>
      </c>
      <c r="AF329" s="21" t="str">
        <f t="shared" ref="AF329:AN329" si="334">if(not(isblank(L329)),", "&amp;L329,"")</f>
        <v/>
      </c>
      <c r="AG329" s="21" t="str">
        <f t="shared" si="334"/>
        <v/>
      </c>
      <c r="AH329" s="21" t="str">
        <f t="shared" si="334"/>
        <v/>
      </c>
      <c r="AI329" s="21" t="str">
        <f t="shared" si="334"/>
        <v/>
      </c>
      <c r="AJ329" s="21" t="str">
        <f t="shared" si="334"/>
        <v/>
      </c>
      <c r="AK329" s="21" t="str">
        <f t="shared" si="334"/>
        <v/>
      </c>
      <c r="AL329" s="21" t="str">
        <f t="shared" si="334"/>
        <v/>
      </c>
      <c r="AM329" s="21" t="str">
        <f t="shared" si="334"/>
        <v/>
      </c>
      <c r="AN329" s="21" t="str">
        <f t="shared" si="334"/>
        <v/>
      </c>
      <c r="AO329" s="21" t="str">
        <f t="shared" si="102"/>
        <v/>
      </c>
    </row>
    <row r="330" ht="16.5" customHeight="1">
      <c r="J330" s="18"/>
      <c r="K330" s="19"/>
      <c r="L330" s="20"/>
      <c r="M330" s="20"/>
      <c r="N330" s="20"/>
      <c r="O330" s="20"/>
      <c r="P330" s="20"/>
      <c r="Q330" s="20"/>
      <c r="R330" s="20"/>
      <c r="S330" s="20"/>
      <c r="T330" s="20"/>
      <c r="AE330" s="21" t="str">
        <f t="shared" si="100"/>
        <v/>
      </c>
      <c r="AF330" s="21" t="str">
        <f t="shared" ref="AF330:AN330" si="335">if(not(isblank(L330)),", "&amp;L330,"")</f>
        <v/>
      </c>
      <c r="AG330" s="21" t="str">
        <f t="shared" si="335"/>
        <v/>
      </c>
      <c r="AH330" s="21" t="str">
        <f t="shared" si="335"/>
        <v/>
      </c>
      <c r="AI330" s="21" t="str">
        <f t="shared" si="335"/>
        <v/>
      </c>
      <c r="AJ330" s="21" t="str">
        <f t="shared" si="335"/>
        <v/>
      </c>
      <c r="AK330" s="21" t="str">
        <f t="shared" si="335"/>
        <v/>
      </c>
      <c r="AL330" s="21" t="str">
        <f t="shared" si="335"/>
        <v/>
      </c>
      <c r="AM330" s="21" t="str">
        <f t="shared" si="335"/>
        <v/>
      </c>
      <c r="AN330" s="21" t="str">
        <f t="shared" si="335"/>
        <v/>
      </c>
      <c r="AO330" s="21" t="str">
        <f t="shared" si="102"/>
        <v/>
      </c>
    </row>
    <row r="331" ht="16.5" customHeight="1">
      <c r="J331" s="18"/>
      <c r="K331" s="19"/>
      <c r="L331" s="20"/>
      <c r="M331" s="20"/>
      <c r="N331" s="20"/>
      <c r="O331" s="20"/>
      <c r="P331" s="20"/>
      <c r="Q331" s="20"/>
      <c r="R331" s="20"/>
      <c r="S331" s="20"/>
      <c r="T331" s="20"/>
      <c r="AE331" s="21" t="str">
        <f t="shared" si="100"/>
        <v/>
      </c>
      <c r="AF331" s="21" t="str">
        <f t="shared" ref="AF331:AN331" si="336">if(not(isblank(L331)),", "&amp;L331,"")</f>
        <v/>
      </c>
      <c r="AG331" s="21" t="str">
        <f t="shared" si="336"/>
        <v/>
      </c>
      <c r="AH331" s="21" t="str">
        <f t="shared" si="336"/>
        <v/>
      </c>
      <c r="AI331" s="21" t="str">
        <f t="shared" si="336"/>
        <v/>
      </c>
      <c r="AJ331" s="21" t="str">
        <f t="shared" si="336"/>
        <v/>
      </c>
      <c r="AK331" s="21" t="str">
        <f t="shared" si="336"/>
        <v/>
      </c>
      <c r="AL331" s="21" t="str">
        <f t="shared" si="336"/>
        <v/>
      </c>
      <c r="AM331" s="21" t="str">
        <f t="shared" si="336"/>
        <v/>
      </c>
      <c r="AN331" s="21" t="str">
        <f t="shared" si="336"/>
        <v/>
      </c>
      <c r="AO331" s="21" t="str">
        <f t="shared" si="102"/>
        <v/>
      </c>
    </row>
    <row r="332" ht="16.5" customHeight="1">
      <c r="J332" s="18"/>
      <c r="K332" s="19"/>
      <c r="L332" s="20"/>
      <c r="M332" s="20"/>
      <c r="N332" s="20"/>
      <c r="O332" s="20"/>
      <c r="P332" s="20"/>
      <c r="Q332" s="20"/>
      <c r="R332" s="20"/>
      <c r="S332" s="20"/>
      <c r="T332" s="20"/>
      <c r="AE332" s="21" t="str">
        <f t="shared" si="100"/>
        <v/>
      </c>
      <c r="AF332" s="21" t="str">
        <f t="shared" ref="AF332:AN332" si="337">if(not(isblank(L332)),", "&amp;L332,"")</f>
        <v/>
      </c>
      <c r="AG332" s="21" t="str">
        <f t="shared" si="337"/>
        <v/>
      </c>
      <c r="AH332" s="21" t="str">
        <f t="shared" si="337"/>
        <v/>
      </c>
      <c r="AI332" s="21" t="str">
        <f t="shared" si="337"/>
        <v/>
      </c>
      <c r="AJ332" s="21" t="str">
        <f t="shared" si="337"/>
        <v/>
      </c>
      <c r="AK332" s="21" t="str">
        <f t="shared" si="337"/>
        <v/>
      </c>
      <c r="AL332" s="21" t="str">
        <f t="shared" si="337"/>
        <v/>
      </c>
      <c r="AM332" s="21" t="str">
        <f t="shared" si="337"/>
        <v/>
      </c>
      <c r="AN332" s="21" t="str">
        <f t="shared" si="337"/>
        <v/>
      </c>
      <c r="AO332" s="21" t="str">
        <f t="shared" si="102"/>
        <v/>
      </c>
    </row>
    <row r="333" ht="16.5" customHeight="1">
      <c r="J333" s="18"/>
      <c r="K333" s="19"/>
      <c r="L333" s="20"/>
      <c r="M333" s="20"/>
      <c r="N333" s="20"/>
      <c r="O333" s="20"/>
      <c r="P333" s="20"/>
      <c r="Q333" s="20"/>
      <c r="R333" s="20"/>
      <c r="S333" s="20"/>
      <c r="T333" s="20"/>
      <c r="AE333" s="21" t="str">
        <f t="shared" si="100"/>
        <v/>
      </c>
      <c r="AF333" s="21" t="str">
        <f t="shared" ref="AF333:AN333" si="338">if(not(isblank(L333)),", "&amp;L333,"")</f>
        <v/>
      </c>
      <c r="AG333" s="21" t="str">
        <f t="shared" si="338"/>
        <v/>
      </c>
      <c r="AH333" s="21" t="str">
        <f t="shared" si="338"/>
        <v/>
      </c>
      <c r="AI333" s="21" t="str">
        <f t="shared" si="338"/>
        <v/>
      </c>
      <c r="AJ333" s="21" t="str">
        <f t="shared" si="338"/>
        <v/>
      </c>
      <c r="AK333" s="21" t="str">
        <f t="shared" si="338"/>
        <v/>
      </c>
      <c r="AL333" s="21" t="str">
        <f t="shared" si="338"/>
        <v/>
      </c>
      <c r="AM333" s="21" t="str">
        <f t="shared" si="338"/>
        <v/>
      </c>
      <c r="AN333" s="21" t="str">
        <f t="shared" si="338"/>
        <v/>
      </c>
      <c r="AO333" s="21" t="str">
        <f t="shared" si="102"/>
        <v/>
      </c>
    </row>
    <row r="334" ht="16.5" customHeight="1">
      <c r="J334" s="18"/>
      <c r="K334" s="19"/>
      <c r="L334" s="20"/>
      <c r="M334" s="20"/>
      <c r="N334" s="20"/>
      <c r="O334" s="20"/>
      <c r="P334" s="20"/>
      <c r="Q334" s="20"/>
      <c r="R334" s="20"/>
      <c r="S334" s="20"/>
      <c r="T334" s="20"/>
      <c r="AE334" s="21" t="str">
        <f t="shared" si="100"/>
        <v/>
      </c>
      <c r="AF334" s="21" t="str">
        <f t="shared" ref="AF334:AN334" si="339">if(not(isblank(L334)),", "&amp;L334,"")</f>
        <v/>
      </c>
      <c r="AG334" s="21" t="str">
        <f t="shared" si="339"/>
        <v/>
      </c>
      <c r="AH334" s="21" t="str">
        <f t="shared" si="339"/>
        <v/>
      </c>
      <c r="AI334" s="21" t="str">
        <f t="shared" si="339"/>
        <v/>
      </c>
      <c r="AJ334" s="21" t="str">
        <f t="shared" si="339"/>
        <v/>
      </c>
      <c r="AK334" s="21" t="str">
        <f t="shared" si="339"/>
        <v/>
      </c>
      <c r="AL334" s="21" t="str">
        <f t="shared" si="339"/>
        <v/>
      </c>
      <c r="AM334" s="21" t="str">
        <f t="shared" si="339"/>
        <v/>
      </c>
      <c r="AN334" s="21" t="str">
        <f t="shared" si="339"/>
        <v/>
      </c>
      <c r="AO334" s="21" t="str">
        <f t="shared" si="102"/>
        <v/>
      </c>
    </row>
    <row r="335" ht="16.5" customHeight="1">
      <c r="J335" s="18"/>
      <c r="K335" s="19"/>
      <c r="L335" s="20"/>
      <c r="M335" s="20"/>
      <c r="N335" s="20"/>
      <c r="O335" s="20"/>
      <c r="P335" s="20"/>
      <c r="Q335" s="20"/>
      <c r="R335" s="20"/>
      <c r="S335" s="20"/>
      <c r="T335" s="20"/>
      <c r="AE335" s="21" t="str">
        <f t="shared" si="100"/>
        <v/>
      </c>
      <c r="AF335" s="21" t="str">
        <f t="shared" ref="AF335:AN335" si="340">if(not(isblank(L335)),", "&amp;L335,"")</f>
        <v/>
      </c>
      <c r="AG335" s="21" t="str">
        <f t="shared" si="340"/>
        <v/>
      </c>
      <c r="AH335" s="21" t="str">
        <f t="shared" si="340"/>
        <v/>
      </c>
      <c r="AI335" s="21" t="str">
        <f t="shared" si="340"/>
        <v/>
      </c>
      <c r="AJ335" s="21" t="str">
        <f t="shared" si="340"/>
        <v/>
      </c>
      <c r="AK335" s="21" t="str">
        <f t="shared" si="340"/>
        <v/>
      </c>
      <c r="AL335" s="21" t="str">
        <f t="shared" si="340"/>
        <v/>
      </c>
      <c r="AM335" s="21" t="str">
        <f t="shared" si="340"/>
        <v/>
      </c>
      <c r="AN335" s="21" t="str">
        <f t="shared" si="340"/>
        <v/>
      </c>
      <c r="AO335" s="21" t="str">
        <f t="shared" si="102"/>
        <v/>
      </c>
    </row>
    <row r="336" ht="16.5" customHeight="1">
      <c r="J336" s="18"/>
      <c r="K336" s="19"/>
      <c r="L336" s="20"/>
      <c r="M336" s="20"/>
      <c r="N336" s="20"/>
      <c r="O336" s="20"/>
      <c r="P336" s="20"/>
      <c r="Q336" s="20"/>
      <c r="R336" s="20"/>
      <c r="S336" s="20"/>
      <c r="T336" s="20"/>
      <c r="AE336" s="21" t="str">
        <f t="shared" si="100"/>
        <v/>
      </c>
      <c r="AF336" s="21" t="str">
        <f t="shared" ref="AF336:AN336" si="341">if(not(isblank(L336)),", "&amp;L336,"")</f>
        <v/>
      </c>
      <c r="AG336" s="21" t="str">
        <f t="shared" si="341"/>
        <v/>
      </c>
      <c r="AH336" s="21" t="str">
        <f t="shared" si="341"/>
        <v/>
      </c>
      <c r="AI336" s="21" t="str">
        <f t="shared" si="341"/>
        <v/>
      </c>
      <c r="AJ336" s="21" t="str">
        <f t="shared" si="341"/>
        <v/>
      </c>
      <c r="AK336" s="21" t="str">
        <f t="shared" si="341"/>
        <v/>
      </c>
      <c r="AL336" s="21" t="str">
        <f t="shared" si="341"/>
        <v/>
      </c>
      <c r="AM336" s="21" t="str">
        <f t="shared" si="341"/>
        <v/>
      </c>
      <c r="AN336" s="21" t="str">
        <f t="shared" si="341"/>
        <v/>
      </c>
      <c r="AO336" s="21" t="str">
        <f t="shared" si="102"/>
        <v/>
      </c>
    </row>
    <row r="337" ht="16.5" customHeight="1">
      <c r="J337" s="18"/>
      <c r="K337" s="19"/>
      <c r="L337" s="20"/>
      <c r="M337" s="20"/>
      <c r="N337" s="20"/>
      <c r="O337" s="20"/>
      <c r="P337" s="20"/>
      <c r="Q337" s="20"/>
      <c r="R337" s="20"/>
      <c r="S337" s="20"/>
      <c r="T337" s="20"/>
      <c r="AE337" s="21" t="str">
        <f t="shared" si="100"/>
        <v/>
      </c>
      <c r="AF337" s="21" t="str">
        <f t="shared" ref="AF337:AN337" si="342">if(not(isblank(L337)),", "&amp;L337,"")</f>
        <v/>
      </c>
      <c r="AG337" s="21" t="str">
        <f t="shared" si="342"/>
        <v/>
      </c>
      <c r="AH337" s="21" t="str">
        <f t="shared" si="342"/>
        <v/>
      </c>
      <c r="AI337" s="21" t="str">
        <f t="shared" si="342"/>
        <v/>
      </c>
      <c r="AJ337" s="21" t="str">
        <f t="shared" si="342"/>
        <v/>
      </c>
      <c r="AK337" s="21" t="str">
        <f t="shared" si="342"/>
        <v/>
      </c>
      <c r="AL337" s="21" t="str">
        <f t="shared" si="342"/>
        <v/>
      </c>
      <c r="AM337" s="21" t="str">
        <f t="shared" si="342"/>
        <v/>
      </c>
      <c r="AN337" s="21" t="str">
        <f t="shared" si="342"/>
        <v/>
      </c>
      <c r="AO337" s="21" t="str">
        <f t="shared" si="102"/>
        <v/>
      </c>
    </row>
    <row r="338" ht="16.5" customHeight="1">
      <c r="J338" s="18"/>
      <c r="K338" s="19"/>
      <c r="L338" s="20"/>
      <c r="M338" s="20"/>
      <c r="N338" s="20"/>
      <c r="O338" s="20"/>
      <c r="P338" s="20"/>
      <c r="Q338" s="20"/>
      <c r="R338" s="20"/>
      <c r="S338" s="20"/>
      <c r="T338" s="20"/>
      <c r="AE338" s="21" t="str">
        <f t="shared" si="100"/>
        <v/>
      </c>
      <c r="AF338" s="21" t="str">
        <f t="shared" ref="AF338:AN338" si="343">if(not(isblank(L338)),", "&amp;L338,"")</f>
        <v/>
      </c>
      <c r="AG338" s="21" t="str">
        <f t="shared" si="343"/>
        <v/>
      </c>
      <c r="AH338" s="21" t="str">
        <f t="shared" si="343"/>
        <v/>
      </c>
      <c r="AI338" s="21" t="str">
        <f t="shared" si="343"/>
        <v/>
      </c>
      <c r="AJ338" s="21" t="str">
        <f t="shared" si="343"/>
        <v/>
      </c>
      <c r="AK338" s="21" t="str">
        <f t="shared" si="343"/>
        <v/>
      </c>
      <c r="AL338" s="21" t="str">
        <f t="shared" si="343"/>
        <v/>
      </c>
      <c r="AM338" s="21" t="str">
        <f t="shared" si="343"/>
        <v/>
      </c>
      <c r="AN338" s="21" t="str">
        <f t="shared" si="343"/>
        <v/>
      </c>
      <c r="AO338" s="21" t="str">
        <f t="shared" si="102"/>
        <v/>
      </c>
    </row>
    <row r="339" ht="16.5" customHeight="1">
      <c r="J339" s="18"/>
      <c r="K339" s="19"/>
      <c r="L339" s="20"/>
      <c r="M339" s="20"/>
      <c r="N339" s="20"/>
      <c r="O339" s="20"/>
      <c r="P339" s="20"/>
      <c r="Q339" s="20"/>
      <c r="R339" s="20"/>
      <c r="S339" s="20"/>
      <c r="T339" s="20"/>
      <c r="AE339" s="21" t="str">
        <f t="shared" si="100"/>
        <v/>
      </c>
      <c r="AF339" s="21" t="str">
        <f t="shared" ref="AF339:AN339" si="344">if(not(isblank(L339)),", "&amp;L339,"")</f>
        <v/>
      </c>
      <c r="AG339" s="21" t="str">
        <f t="shared" si="344"/>
        <v/>
      </c>
      <c r="AH339" s="21" t="str">
        <f t="shared" si="344"/>
        <v/>
      </c>
      <c r="AI339" s="21" t="str">
        <f t="shared" si="344"/>
        <v/>
      </c>
      <c r="AJ339" s="21" t="str">
        <f t="shared" si="344"/>
        <v/>
      </c>
      <c r="AK339" s="21" t="str">
        <f t="shared" si="344"/>
        <v/>
      </c>
      <c r="AL339" s="21" t="str">
        <f t="shared" si="344"/>
        <v/>
      </c>
      <c r="AM339" s="21" t="str">
        <f t="shared" si="344"/>
        <v/>
      </c>
      <c r="AN339" s="21" t="str">
        <f t="shared" si="344"/>
        <v/>
      </c>
      <c r="AO339" s="21" t="str">
        <f t="shared" si="102"/>
        <v/>
      </c>
    </row>
    <row r="340" ht="16.5" customHeight="1">
      <c r="J340" s="18"/>
      <c r="K340" s="19"/>
      <c r="L340" s="20"/>
      <c r="M340" s="20"/>
      <c r="N340" s="20"/>
      <c r="O340" s="20"/>
      <c r="P340" s="20"/>
      <c r="Q340" s="20"/>
      <c r="R340" s="20"/>
      <c r="S340" s="20"/>
      <c r="T340" s="20"/>
      <c r="AE340" s="21" t="str">
        <f t="shared" si="100"/>
        <v/>
      </c>
      <c r="AF340" s="21" t="str">
        <f t="shared" ref="AF340:AN340" si="345">if(not(isblank(L340)),", "&amp;L340,"")</f>
        <v/>
      </c>
      <c r="AG340" s="21" t="str">
        <f t="shared" si="345"/>
        <v/>
      </c>
      <c r="AH340" s="21" t="str">
        <f t="shared" si="345"/>
        <v/>
      </c>
      <c r="AI340" s="21" t="str">
        <f t="shared" si="345"/>
        <v/>
      </c>
      <c r="AJ340" s="21" t="str">
        <f t="shared" si="345"/>
        <v/>
      </c>
      <c r="AK340" s="21" t="str">
        <f t="shared" si="345"/>
        <v/>
      </c>
      <c r="AL340" s="21" t="str">
        <f t="shared" si="345"/>
        <v/>
      </c>
      <c r="AM340" s="21" t="str">
        <f t="shared" si="345"/>
        <v/>
      </c>
      <c r="AN340" s="21" t="str">
        <f t="shared" si="345"/>
        <v/>
      </c>
      <c r="AO340" s="21" t="str">
        <f t="shared" si="102"/>
        <v/>
      </c>
    </row>
    <row r="341" ht="16.5" customHeight="1">
      <c r="J341" s="18"/>
      <c r="K341" s="19"/>
      <c r="L341" s="20"/>
      <c r="M341" s="20"/>
      <c r="N341" s="20"/>
      <c r="O341" s="20"/>
      <c r="P341" s="20"/>
      <c r="Q341" s="20"/>
      <c r="R341" s="20"/>
      <c r="S341" s="20"/>
      <c r="T341" s="20"/>
      <c r="AE341" s="21" t="str">
        <f t="shared" si="100"/>
        <v/>
      </c>
      <c r="AF341" s="21" t="str">
        <f t="shared" ref="AF341:AN341" si="346">if(not(isblank(L341)),", "&amp;L341,"")</f>
        <v/>
      </c>
      <c r="AG341" s="21" t="str">
        <f t="shared" si="346"/>
        <v/>
      </c>
      <c r="AH341" s="21" t="str">
        <f t="shared" si="346"/>
        <v/>
      </c>
      <c r="AI341" s="21" t="str">
        <f t="shared" si="346"/>
        <v/>
      </c>
      <c r="AJ341" s="21" t="str">
        <f t="shared" si="346"/>
        <v/>
      </c>
      <c r="AK341" s="21" t="str">
        <f t="shared" si="346"/>
        <v/>
      </c>
      <c r="AL341" s="21" t="str">
        <f t="shared" si="346"/>
        <v/>
      </c>
      <c r="AM341" s="21" t="str">
        <f t="shared" si="346"/>
        <v/>
      </c>
      <c r="AN341" s="21" t="str">
        <f t="shared" si="346"/>
        <v/>
      </c>
      <c r="AO341" s="21" t="str">
        <f t="shared" si="102"/>
        <v/>
      </c>
    </row>
    <row r="342" ht="16.5" customHeight="1">
      <c r="J342" s="18"/>
      <c r="K342" s="19"/>
      <c r="L342" s="20"/>
      <c r="M342" s="20"/>
      <c r="N342" s="20"/>
      <c r="O342" s="20"/>
      <c r="P342" s="20"/>
      <c r="Q342" s="20"/>
      <c r="R342" s="20"/>
      <c r="S342" s="20"/>
      <c r="T342" s="20"/>
      <c r="AE342" s="21" t="str">
        <f t="shared" si="100"/>
        <v/>
      </c>
      <c r="AF342" s="21" t="str">
        <f t="shared" ref="AF342:AN342" si="347">if(not(isblank(L342)),", "&amp;L342,"")</f>
        <v/>
      </c>
      <c r="AG342" s="21" t="str">
        <f t="shared" si="347"/>
        <v/>
      </c>
      <c r="AH342" s="21" t="str">
        <f t="shared" si="347"/>
        <v/>
      </c>
      <c r="AI342" s="21" t="str">
        <f t="shared" si="347"/>
        <v/>
      </c>
      <c r="AJ342" s="21" t="str">
        <f t="shared" si="347"/>
        <v/>
      </c>
      <c r="AK342" s="21" t="str">
        <f t="shared" si="347"/>
        <v/>
      </c>
      <c r="AL342" s="21" t="str">
        <f t="shared" si="347"/>
        <v/>
      </c>
      <c r="AM342" s="21" t="str">
        <f t="shared" si="347"/>
        <v/>
      </c>
      <c r="AN342" s="21" t="str">
        <f t="shared" si="347"/>
        <v/>
      </c>
      <c r="AO342" s="21" t="str">
        <f t="shared" si="102"/>
        <v/>
      </c>
    </row>
    <row r="343" ht="16.5" customHeight="1">
      <c r="J343" s="18"/>
      <c r="K343" s="19"/>
      <c r="L343" s="20"/>
      <c r="M343" s="20"/>
      <c r="N343" s="20"/>
      <c r="O343" s="20"/>
      <c r="P343" s="20"/>
      <c r="Q343" s="20"/>
      <c r="R343" s="20"/>
      <c r="S343" s="20"/>
      <c r="T343" s="20"/>
      <c r="AE343" s="21" t="str">
        <f t="shared" si="100"/>
        <v/>
      </c>
      <c r="AF343" s="21" t="str">
        <f t="shared" ref="AF343:AN343" si="348">if(not(isblank(L343)),", "&amp;L343,"")</f>
        <v/>
      </c>
      <c r="AG343" s="21" t="str">
        <f t="shared" si="348"/>
        <v/>
      </c>
      <c r="AH343" s="21" t="str">
        <f t="shared" si="348"/>
        <v/>
      </c>
      <c r="AI343" s="21" t="str">
        <f t="shared" si="348"/>
        <v/>
      </c>
      <c r="AJ343" s="21" t="str">
        <f t="shared" si="348"/>
        <v/>
      </c>
      <c r="AK343" s="21" t="str">
        <f t="shared" si="348"/>
        <v/>
      </c>
      <c r="AL343" s="21" t="str">
        <f t="shared" si="348"/>
        <v/>
      </c>
      <c r="AM343" s="21" t="str">
        <f t="shared" si="348"/>
        <v/>
      </c>
      <c r="AN343" s="21" t="str">
        <f t="shared" si="348"/>
        <v/>
      </c>
      <c r="AO343" s="21" t="str">
        <f t="shared" si="102"/>
        <v/>
      </c>
    </row>
    <row r="344" ht="16.5" customHeight="1">
      <c r="J344" s="18"/>
      <c r="K344" s="19"/>
      <c r="L344" s="20"/>
      <c r="M344" s="20"/>
      <c r="N344" s="20"/>
      <c r="O344" s="20"/>
      <c r="P344" s="20"/>
      <c r="Q344" s="20"/>
      <c r="R344" s="20"/>
      <c r="S344" s="20"/>
      <c r="T344" s="20"/>
      <c r="AE344" s="21" t="str">
        <f t="shared" si="100"/>
        <v/>
      </c>
      <c r="AF344" s="21" t="str">
        <f t="shared" ref="AF344:AN344" si="349">if(not(isblank(L344)),", "&amp;L344,"")</f>
        <v/>
      </c>
      <c r="AG344" s="21" t="str">
        <f t="shared" si="349"/>
        <v/>
      </c>
      <c r="AH344" s="21" t="str">
        <f t="shared" si="349"/>
        <v/>
      </c>
      <c r="AI344" s="21" t="str">
        <f t="shared" si="349"/>
        <v/>
      </c>
      <c r="AJ344" s="21" t="str">
        <f t="shared" si="349"/>
        <v/>
      </c>
      <c r="AK344" s="21" t="str">
        <f t="shared" si="349"/>
        <v/>
      </c>
      <c r="AL344" s="21" t="str">
        <f t="shared" si="349"/>
        <v/>
      </c>
      <c r="AM344" s="21" t="str">
        <f t="shared" si="349"/>
        <v/>
      </c>
      <c r="AN344" s="21" t="str">
        <f t="shared" si="349"/>
        <v/>
      </c>
      <c r="AO344" s="21" t="str">
        <f t="shared" si="102"/>
        <v/>
      </c>
    </row>
    <row r="345" ht="16.5" customHeight="1">
      <c r="J345" s="18"/>
      <c r="K345" s="19"/>
      <c r="L345" s="20"/>
      <c r="M345" s="20"/>
      <c r="N345" s="20"/>
      <c r="O345" s="20"/>
      <c r="P345" s="20"/>
      <c r="Q345" s="20"/>
      <c r="R345" s="20"/>
      <c r="S345" s="20"/>
      <c r="T345" s="20"/>
      <c r="AE345" s="21" t="str">
        <f t="shared" si="100"/>
        <v/>
      </c>
      <c r="AF345" s="21" t="str">
        <f t="shared" ref="AF345:AN345" si="350">if(not(isblank(L345)),", "&amp;L345,"")</f>
        <v/>
      </c>
      <c r="AG345" s="21" t="str">
        <f t="shared" si="350"/>
        <v/>
      </c>
      <c r="AH345" s="21" t="str">
        <f t="shared" si="350"/>
        <v/>
      </c>
      <c r="AI345" s="21" t="str">
        <f t="shared" si="350"/>
        <v/>
      </c>
      <c r="AJ345" s="21" t="str">
        <f t="shared" si="350"/>
        <v/>
      </c>
      <c r="AK345" s="21" t="str">
        <f t="shared" si="350"/>
        <v/>
      </c>
      <c r="AL345" s="21" t="str">
        <f t="shared" si="350"/>
        <v/>
      </c>
      <c r="AM345" s="21" t="str">
        <f t="shared" si="350"/>
        <v/>
      </c>
      <c r="AN345" s="21" t="str">
        <f t="shared" si="350"/>
        <v/>
      </c>
      <c r="AO345" s="21" t="str">
        <f t="shared" si="102"/>
        <v/>
      </c>
    </row>
    <row r="346" ht="16.5" customHeight="1">
      <c r="J346" s="18"/>
      <c r="K346" s="19"/>
      <c r="L346" s="20"/>
      <c r="M346" s="20"/>
      <c r="N346" s="20"/>
      <c r="O346" s="20"/>
      <c r="P346" s="20"/>
      <c r="Q346" s="20"/>
      <c r="R346" s="20"/>
      <c r="S346" s="20"/>
      <c r="T346" s="20"/>
      <c r="AE346" s="21" t="str">
        <f t="shared" si="100"/>
        <v/>
      </c>
      <c r="AF346" s="21" t="str">
        <f t="shared" ref="AF346:AN346" si="351">if(not(isblank(L346)),", "&amp;L346,"")</f>
        <v/>
      </c>
      <c r="AG346" s="21" t="str">
        <f t="shared" si="351"/>
        <v/>
      </c>
      <c r="AH346" s="21" t="str">
        <f t="shared" si="351"/>
        <v/>
      </c>
      <c r="AI346" s="21" t="str">
        <f t="shared" si="351"/>
        <v/>
      </c>
      <c r="AJ346" s="21" t="str">
        <f t="shared" si="351"/>
        <v/>
      </c>
      <c r="AK346" s="21" t="str">
        <f t="shared" si="351"/>
        <v/>
      </c>
      <c r="AL346" s="21" t="str">
        <f t="shared" si="351"/>
        <v/>
      </c>
      <c r="AM346" s="21" t="str">
        <f t="shared" si="351"/>
        <v/>
      </c>
      <c r="AN346" s="21" t="str">
        <f t="shared" si="351"/>
        <v/>
      </c>
      <c r="AO346" s="21" t="str">
        <f t="shared" si="102"/>
        <v/>
      </c>
    </row>
    <row r="347" ht="16.5" customHeight="1">
      <c r="J347" s="18"/>
      <c r="K347" s="19"/>
      <c r="L347" s="20"/>
      <c r="M347" s="20"/>
      <c r="N347" s="20"/>
      <c r="O347" s="20"/>
      <c r="P347" s="20"/>
      <c r="Q347" s="20"/>
      <c r="R347" s="20"/>
      <c r="S347" s="20"/>
      <c r="T347" s="20"/>
      <c r="AE347" s="21" t="str">
        <f t="shared" si="100"/>
        <v/>
      </c>
      <c r="AF347" s="21" t="str">
        <f t="shared" ref="AF347:AN347" si="352">if(not(isblank(L347)),", "&amp;L347,"")</f>
        <v/>
      </c>
      <c r="AG347" s="21" t="str">
        <f t="shared" si="352"/>
        <v/>
      </c>
      <c r="AH347" s="21" t="str">
        <f t="shared" si="352"/>
        <v/>
      </c>
      <c r="AI347" s="21" t="str">
        <f t="shared" si="352"/>
        <v/>
      </c>
      <c r="AJ347" s="21" t="str">
        <f t="shared" si="352"/>
        <v/>
      </c>
      <c r="AK347" s="21" t="str">
        <f t="shared" si="352"/>
        <v/>
      </c>
      <c r="AL347" s="21" t="str">
        <f t="shared" si="352"/>
        <v/>
      </c>
      <c r="AM347" s="21" t="str">
        <f t="shared" si="352"/>
        <v/>
      </c>
      <c r="AN347" s="21" t="str">
        <f t="shared" si="352"/>
        <v/>
      </c>
      <c r="AO347" s="21" t="str">
        <f t="shared" si="102"/>
        <v/>
      </c>
    </row>
    <row r="348" ht="16.5" customHeight="1">
      <c r="J348" s="18"/>
      <c r="K348" s="19"/>
      <c r="L348" s="20"/>
      <c r="M348" s="20"/>
      <c r="N348" s="20"/>
      <c r="O348" s="20"/>
      <c r="P348" s="20"/>
      <c r="Q348" s="20"/>
      <c r="R348" s="20"/>
      <c r="S348" s="20"/>
      <c r="T348" s="20"/>
      <c r="AE348" s="21" t="str">
        <f t="shared" si="100"/>
        <v/>
      </c>
      <c r="AF348" s="21" t="str">
        <f t="shared" ref="AF348:AN348" si="353">if(not(isblank(L348)),", "&amp;L348,"")</f>
        <v/>
      </c>
      <c r="AG348" s="21" t="str">
        <f t="shared" si="353"/>
        <v/>
      </c>
      <c r="AH348" s="21" t="str">
        <f t="shared" si="353"/>
        <v/>
      </c>
      <c r="AI348" s="21" t="str">
        <f t="shared" si="353"/>
        <v/>
      </c>
      <c r="AJ348" s="21" t="str">
        <f t="shared" si="353"/>
        <v/>
      </c>
      <c r="AK348" s="21" t="str">
        <f t="shared" si="353"/>
        <v/>
      </c>
      <c r="AL348" s="21" t="str">
        <f t="shared" si="353"/>
        <v/>
      </c>
      <c r="AM348" s="21" t="str">
        <f t="shared" si="353"/>
        <v/>
      </c>
      <c r="AN348" s="21" t="str">
        <f t="shared" si="353"/>
        <v/>
      </c>
      <c r="AO348" s="21" t="str">
        <f t="shared" si="102"/>
        <v/>
      </c>
    </row>
    <row r="349" ht="16.5" customHeight="1">
      <c r="J349" s="18"/>
      <c r="K349" s="19"/>
      <c r="L349" s="20"/>
      <c r="M349" s="20"/>
      <c r="N349" s="20"/>
      <c r="O349" s="20"/>
      <c r="P349" s="20"/>
      <c r="Q349" s="20"/>
      <c r="R349" s="20"/>
      <c r="S349" s="20"/>
      <c r="T349" s="20"/>
      <c r="AE349" s="21" t="str">
        <f t="shared" si="100"/>
        <v/>
      </c>
      <c r="AF349" s="21" t="str">
        <f t="shared" ref="AF349:AN349" si="354">if(not(isblank(L349)),", "&amp;L349,"")</f>
        <v/>
      </c>
      <c r="AG349" s="21" t="str">
        <f t="shared" si="354"/>
        <v/>
      </c>
      <c r="AH349" s="21" t="str">
        <f t="shared" si="354"/>
        <v/>
      </c>
      <c r="AI349" s="21" t="str">
        <f t="shared" si="354"/>
        <v/>
      </c>
      <c r="AJ349" s="21" t="str">
        <f t="shared" si="354"/>
        <v/>
      </c>
      <c r="AK349" s="21" t="str">
        <f t="shared" si="354"/>
        <v/>
      </c>
      <c r="AL349" s="21" t="str">
        <f t="shared" si="354"/>
        <v/>
      </c>
      <c r="AM349" s="21" t="str">
        <f t="shared" si="354"/>
        <v/>
      </c>
      <c r="AN349" s="21" t="str">
        <f t="shared" si="354"/>
        <v/>
      </c>
      <c r="AO349" s="21" t="str">
        <f t="shared" si="102"/>
        <v/>
      </c>
    </row>
    <row r="350" ht="16.5" customHeight="1">
      <c r="J350" s="18"/>
      <c r="K350" s="19"/>
      <c r="L350" s="20"/>
      <c r="M350" s="20"/>
      <c r="N350" s="20"/>
      <c r="O350" s="20"/>
      <c r="P350" s="20"/>
      <c r="Q350" s="20"/>
      <c r="R350" s="20"/>
      <c r="S350" s="20"/>
      <c r="T350" s="20"/>
      <c r="AE350" s="21" t="str">
        <f t="shared" si="100"/>
        <v/>
      </c>
      <c r="AF350" s="21" t="str">
        <f t="shared" ref="AF350:AN350" si="355">if(not(isblank(L350)),", "&amp;L350,"")</f>
        <v/>
      </c>
      <c r="AG350" s="21" t="str">
        <f t="shared" si="355"/>
        <v/>
      </c>
      <c r="AH350" s="21" t="str">
        <f t="shared" si="355"/>
        <v/>
      </c>
      <c r="AI350" s="21" t="str">
        <f t="shared" si="355"/>
        <v/>
      </c>
      <c r="AJ350" s="21" t="str">
        <f t="shared" si="355"/>
        <v/>
      </c>
      <c r="AK350" s="21" t="str">
        <f t="shared" si="355"/>
        <v/>
      </c>
      <c r="AL350" s="21" t="str">
        <f t="shared" si="355"/>
        <v/>
      </c>
      <c r="AM350" s="21" t="str">
        <f t="shared" si="355"/>
        <v/>
      </c>
      <c r="AN350" s="21" t="str">
        <f t="shared" si="355"/>
        <v/>
      </c>
      <c r="AO350" s="21" t="str">
        <f t="shared" si="102"/>
        <v/>
      </c>
    </row>
    <row r="351" ht="16.5" customHeight="1">
      <c r="J351" s="18"/>
      <c r="K351" s="19"/>
      <c r="L351" s="20"/>
      <c r="M351" s="20"/>
      <c r="N351" s="20"/>
      <c r="O351" s="20"/>
      <c r="P351" s="20"/>
      <c r="Q351" s="20"/>
      <c r="R351" s="20"/>
      <c r="S351" s="20"/>
      <c r="T351" s="20"/>
      <c r="AE351" s="21" t="str">
        <f t="shared" si="100"/>
        <v/>
      </c>
      <c r="AF351" s="21" t="str">
        <f t="shared" ref="AF351:AN351" si="356">if(not(isblank(L351)),", "&amp;L351,"")</f>
        <v/>
      </c>
      <c r="AG351" s="21" t="str">
        <f t="shared" si="356"/>
        <v/>
      </c>
      <c r="AH351" s="21" t="str">
        <f t="shared" si="356"/>
        <v/>
      </c>
      <c r="AI351" s="21" t="str">
        <f t="shared" si="356"/>
        <v/>
      </c>
      <c r="AJ351" s="21" t="str">
        <f t="shared" si="356"/>
        <v/>
      </c>
      <c r="AK351" s="21" t="str">
        <f t="shared" si="356"/>
        <v/>
      </c>
      <c r="AL351" s="21" t="str">
        <f t="shared" si="356"/>
        <v/>
      </c>
      <c r="AM351" s="21" t="str">
        <f t="shared" si="356"/>
        <v/>
      </c>
      <c r="AN351" s="21" t="str">
        <f t="shared" si="356"/>
        <v/>
      </c>
      <c r="AO351" s="21" t="str">
        <f t="shared" si="102"/>
        <v/>
      </c>
    </row>
    <row r="352" ht="16.5" customHeight="1">
      <c r="J352" s="18"/>
      <c r="K352" s="19"/>
      <c r="L352" s="20"/>
      <c r="M352" s="20"/>
      <c r="N352" s="20"/>
      <c r="O352" s="20"/>
      <c r="P352" s="20"/>
      <c r="Q352" s="20"/>
      <c r="R352" s="20"/>
      <c r="S352" s="20"/>
      <c r="T352" s="20"/>
      <c r="AE352" s="21" t="str">
        <f t="shared" si="100"/>
        <v/>
      </c>
      <c r="AF352" s="21" t="str">
        <f t="shared" ref="AF352:AN352" si="357">if(not(isblank(L352)),", "&amp;L352,"")</f>
        <v/>
      </c>
      <c r="AG352" s="21" t="str">
        <f t="shared" si="357"/>
        <v/>
      </c>
      <c r="AH352" s="21" t="str">
        <f t="shared" si="357"/>
        <v/>
      </c>
      <c r="AI352" s="21" t="str">
        <f t="shared" si="357"/>
        <v/>
      </c>
      <c r="AJ352" s="21" t="str">
        <f t="shared" si="357"/>
        <v/>
      </c>
      <c r="AK352" s="21" t="str">
        <f t="shared" si="357"/>
        <v/>
      </c>
      <c r="AL352" s="21" t="str">
        <f t="shared" si="357"/>
        <v/>
      </c>
      <c r="AM352" s="21" t="str">
        <f t="shared" si="357"/>
        <v/>
      </c>
      <c r="AN352" s="21" t="str">
        <f t="shared" si="357"/>
        <v/>
      </c>
      <c r="AO352" s="21" t="str">
        <f t="shared" si="102"/>
        <v/>
      </c>
    </row>
    <row r="353" ht="16.5" customHeight="1">
      <c r="J353" s="18"/>
      <c r="K353" s="19"/>
      <c r="L353" s="20"/>
      <c r="M353" s="20"/>
      <c r="N353" s="20"/>
      <c r="O353" s="20"/>
      <c r="P353" s="20"/>
      <c r="Q353" s="20"/>
      <c r="R353" s="20"/>
      <c r="S353" s="20"/>
      <c r="T353" s="20"/>
      <c r="AE353" s="21" t="str">
        <f t="shared" si="100"/>
        <v/>
      </c>
      <c r="AF353" s="21" t="str">
        <f t="shared" ref="AF353:AN353" si="358">if(not(isblank(L353)),", "&amp;L353,"")</f>
        <v/>
      </c>
      <c r="AG353" s="21" t="str">
        <f t="shared" si="358"/>
        <v/>
      </c>
      <c r="AH353" s="21" t="str">
        <f t="shared" si="358"/>
        <v/>
      </c>
      <c r="AI353" s="21" t="str">
        <f t="shared" si="358"/>
        <v/>
      </c>
      <c r="AJ353" s="21" t="str">
        <f t="shared" si="358"/>
        <v/>
      </c>
      <c r="AK353" s="21" t="str">
        <f t="shared" si="358"/>
        <v/>
      </c>
      <c r="AL353" s="21" t="str">
        <f t="shared" si="358"/>
        <v/>
      </c>
      <c r="AM353" s="21" t="str">
        <f t="shared" si="358"/>
        <v/>
      </c>
      <c r="AN353" s="21" t="str">
        <f t="shared" si="358"/>
        <v/>
      </c>
      <c r="AO353" s="21" t="str">
        <f t="shared" si="102"/>
        <v/>
      </c>
    </row>
    <row r="354" ht="16.5" customHeight="1">
      <c r="J354" s="18"/>
      <c r="K354" s="19"/>
      <c r="L354" s="20"/>
      <c r="M354" s="20"/>
      <c r="N354" s="20"/>
      <c r="O354" s="20"/>
      <c r="P354" s="20"/>
      <c r="Q354" s="20"/>
      <c r="R354" s="20"/>
      <c r="S354" s="20"/>
      <c r="T354" s="20"/>
      <c r="AE354" s="21" t="str">
        <f t="shared" si="100"/>
        <v/>
      </c>
      <c r="AF354" s="21" t="str">
        <f t="shared" ref="AF354:AN354" si="359">if(not(isblank(L354)),", "&amp;L354,"")</f>
        <v/>
      </c>
      <c r="AG354" s="21" t="str">
        <f t="shared" si="359"/>
        <v/>
      </c>
      <c r="AH354" s="21" t="str">
        <f t="shared" si="359"/>
        <v/>
      </c>
      <c r="AI354" s="21" t="str">
        <f t="shared" si="359"/>
        <v/>
      </c>
      <c r="AJ354" s="21" t="str">
        <f t="shared" si="359"/>
        <v/>
      </c>
      <c r="AK354" s="21" t="str">
        <f t="shared" si="359"/>
        <v/>
      </c>
      <c r="AL354" s="21" t="str">
        <f t="shared" si="359"/>
        <v/>
      </c>
      <c r="AM354" s="21" t="str">
        <f t="shared" si="359"/>
        <v/>
      </c>
      <c r="AN354" s="21" t="str">
        <f t="shared" si="359"/>
        <v/>
      </c>
      <c r="AO354" s="21" t="str">
        <f t="shared" si="102"/>
        <v/>
      </c>
    </row>
    <row r="355" ht="16.5" customHeight="1">
      <c r="J355" s="18"/>
      <c r="K355" s="19"/>
      <c r="L355" s="20"/>
      <c r="M355" s="20"/>
      <c r="N355" s="20"/>
      <c r="O355" s="20"/>
      <c r="P355" s="20"/>
      <c r="Q355" s="20"/>
      <c r="R355" s="20"/>
      <c r="S355" s="20"/>
      <c r="T355" s="20"/>
      <c r="AE355" s="21" t="str">
        <f t="shared" si="100"/>
        <v/>
      </c>
      <c r="AF355" s="21" t="str">
        <f t="shared" ref="AF355:AN355" si="360">if(not(isblank(L355)),", "&amp;L355,"")</f>
        <v/>
      </c>
      <c r="AG355" s="21" t="str">
        <f t="shared" si="360"/>
        <v/>
      </c>
      <c r="AH355" s="21" t="str">
        <f t="shared" si="360"/>
        <v/>
      </c>
      <c r="AI355" s="21" t="str">
        <f t="shared" si="360"/>
        <v/>
      </c>
      <c r="AJ355" s="21" t="str">
        <f t="shared" si="360"/>
        <v/>
      </c>
      <c r="AK355" s="21" t="str">
        <f t="shared" si="360"/>
        <v/>
      </c>
      <c r="AL355" s="21" t="str">
        <f t="shared" si="360"/>
        <v/>
      </c>
      <c r="AM355" s="21" t="str">
        <f t="shared" si="360"/>
        <v/>
      </c>
      <c r="AN355" s="21" t="str">
        <f t="shared" si="360"/>
        <v/>
      </c>
      <c r="AO355" s="21" t="str">
        <f t="shared" si="102"/>
        <v/>
      </c>
    </row>
    <row r="356" ht="16.5" customHeight="1">
      <c r="J356" s="18"/>
      <c r="K356" s="19"/>
      <c r="L356" s="20"/>
      <c r="M356" s="20"/>
      <c r="N356" s="20"/>
      <c r="O356" s="20"/>
      <c r="P356" s="20"/>
      <c r="Q356" s="20"/>
      <c r="R356" s="20"/>
      <c r="S356" s="20"/>
      <c r="T356" s="20"/>
      <c r="AE356" s="21" t="str">
        <f t="shared" si="100"/>
        <v/>
      </c>
      <c r="AF356" s="21" t="str">
        <f t="shared" ref="AF356:AN356" si="361">if(not(isblank(L356)),", "&amp;L356,"")</f>
        <v/>
      </c>
      <c r="AG356" s="21" t="str">
        <f t="shared" si="361"/>
        <v/>
      </c>
      <c r="AH356" s="21" t="str">
        <f t="shared" si="361"/>
        <v/>
      </c>
      <c r="AI356" s="21" t="str">
        <f t="shared" si="361"/>
        <v/>
      </c>
      <c r="AJ356" s="21" t="str">
        <f t="shared" si="361"/>
        <v/>
      </c>
      <c r="AK356" s="21" t="str">
        <f t="shared" si="361"/>
        <v/>
      </c>
      <c r="AL356" s="21" t="str">
        <f t="shared" si="361"/>
        <v/>
      </c>
      <c r="AM356" s="21" t="str">
        <f t="shared" si="361"/>
        <v/>
      </c>
      <c r="AN356" s="21" t="str">
        <f t="shared" si="361"/>
        <v/>
      </c>
      <c r="AO356" s="21" t="str">
        <f t="shared" si="102"/>
        <v/>
      </c>
    </row>
    <row r="357" ht="16.5" customHeight="1">
      <c r="J357" s="18"/>
      <c r="K357" s="19"/>
      <c r="L357" s="20"/>
      <c r="M357" s="20"/>
      <c r="N357" s="20"/>
      <c r="O357" s="20"/>
      <c r="P357" s="20"/>
      <c r="Q357" s="20"/>
      <c r="R357" s="20"/>
      <c r="S357" s="20"/>
      <c r="T357" s="20"/>
      <c r="AE357" s="21" t="str">
        <f t="shared" si="100"/>
        <v/>
      </c>
      <c r="AF357" s="21" t="str">
        <f t="shared" ref="AF357:AN357" si="362">if(not(isblank(L357)),", "&amp;L357,"")</f>
        <v/>
      </c>
      <c r="AG357" s="21" t="str">
        <f t="shared" si="362"/>
        <v/>
      </c>
      <c r="AH357" s="21" t="str">
        <f t="shared" si="362"/>
        <v/>
      </c>
      <c r="AI357" s="21" t="str">
        <f t="shared" si="362"/>
        <v/>
      </c>
      <c r="AJ357" s="21" t="str">
        <f t="shared" si="362"/>
        <v/>
      </c>
      <c r="AK357" s="21" t="str">
        <f t="shared" si="362"/>
        <v/>
      </c>
      <c r="AL357" s="21" t="str">
        <f t="shared" si="362"/>
        <v/>
      </c>
      <c r="AM357" s="21" t="str">
        <f t="shared" si="362"/>
        <v/>
      </c>
      <c r="AN357" s="21" t="str">
        <f t="shared" si="362"/>
        <v/>
      </c>
      <c r="AO357" s="21" t="str">
        <f t="shared" si="102"/>
        <v/>
      </c>
    </row>
    <row r="358" ht="16.5" customHeight="1">
      <c r="J358" s="18"/>
      <c r="K358" s="19"/>
      <c r="L358" s="20"/>
      <c r="M358" s="20"/>
      <c r="N358" s="20"/>
      <c r="O358" s="20"/>
      <c r="P358" s="20"/>
      <c r="Q358" s="20"/>
      <c r="R358" s="20"/>
      <c r="S358" s="20"/>
      <c r="T358" s="20"/>
      <c r="AE358" s="21" t="str">
        <f t="shared" si="100"/>
        <v/>
      </c>
      <c r="AF358" s="21" t="str">
        <f t="shared" ref="AF358:AN358" si="363">if(not(isblank(L358)),", "&amp;L358,"")</f>
        <v/>
      </c>
      <c r="AG358" s="21" t="str">
        <f t="shared" si="363"/>
        <v/>
      </c>
      <c r="AH358" s="21" t="str">
        <f t="shared" si="363"/>
        <v/>
      </c>
      <c r="AI358" s="21" t="str">
        <f t="shared" si="363"/>
        <v/>
      </c>
      <c r="AJ358" s="21" t="str">
        <f t="shared" si="363"/>
        <v/>
      </c>
      <c r="AK358" s="21" t="str">
        <f t="shared" si="363"/>
        <v/>
      </c>
      <c r="AL358" s="21" t="str">
        <f t="shared" si="363"/>
        <v/>
      </c>
      <c r="AM358" s="21" t="str">
        <f t="shared" si="363"/>
        <v/>
      </c>
      <c r="AN358" s="21" t="str">
        <f t="shared" si="363"/>
        <v/>
      </c>
      <c r="AO358" s="21" t="str">
        <f t="shared" si="102"/>
        <v/>
      </c>
    </row>
    <row r="359" ht="16.5" customHeight="1">
      <c r="J359" s="18"/>
      <c r="K359" s="19"/>
      <c r="L359" s="20"/>
      <c r="M359" s="20"/>
      <c r="N359" s="20"/>
      <c r="O359" s="20"/>
      <c r="P359" s="20"/>
      <c r="Q359" s="20"/>
      <c r="R359" s="20"/>
      <c r="S359" s="20"/>
      <c r="T359" s="20"/>
      <c r="AE359" s="21" t="str">
        <f t="shared" si="100"/>
        <v/>
      </c>
      <c r="AF359" s="21" t="str">
        <f t="shared" ref="AF359:AN359" si="364">if(not(isblank(L359)),", "&amp;L359,"")</f>
        <v/>
      </c>
      <c r="AG359" s="21" t="str">
        <f t="shared" si="364"/>
        <v/>
      </c>
      <c r="AH359" s="21" t="str">
        <f t="shared" si="364"/>
        <v/>
      </c>
      <c r="AI359" s="21" t="str">
        <f t="shared" si="364"/>
        <v/>
      </c>
      <c r="AJ359" s="21" t="str">
        <f t="shared" si="364"/>
        <v/>
      </c>
      <c r="AK359" s="21" t="str">
        <f t="shared" si="364"/>
        <v/>
      </c>
      <c r="AL359" s="21" t="str">
        <f t="shared" si="364"/>
        <v/>
      </c>
      <c r="AM359" s="21" t="str">
        <f t="shared" si="364"/>
        <v/>
      </c>
      <c r="AN359" s="21" t="str">
        <f t="shared" si="364"/>
        <v/>
      </c>
      <c r="AO359" s="21" t="str">
        <f t="shared" si="102"/>
        <v/>
      </c>
    </row>
    <row r="360" ht="16.5" customHeight="1">
      <c r="J360" s="18"/>
      <c r="K360" s="19"/>
      <c r="L360" s="20"/>
      <c r="M360" s="20"/>
      <c r="N360" s="20"/>
      <c r="O360" s="20"/>
      <c r="P360" s="20"/>
      <c r="Q360" s="20"/>
      <c r="R360" s="20"/>
      <c r="S360" s="20"/>
      <c r="T360" s="20"/>
      <c r="AE360" s="21" t="str">
        <f t="shared" si="100"/>
        <v/>
      </c>
      <c r="AF360" s="21" t="str">
        <f t="shared" ref="AF360:AN360" si="365">if(not(isblank(L360)),", "&amp;L360,"")</f>
        <v/>
      </c>
      <c r="AG360" s="21" t="str">
        <f t="shared" si="365"/>
        <v/>
      </c>
      <c r="AH360" s="21" t="str">
        <f t="shared" si="365"/>
        <v/>
      </c>
      <c r="AI360" s="21" t="str">
        <f t="shared" si="365"/>
        <v/>
      </c>
      <c r="AJ360" s="21" t="str">
        <f t="shared" si="365"/>
        <v/>
      </c>
      <c r="AK360" s="21" t="str">
        <f t="shared" si="365"/>
        <v/>
      </c>
      <c r="AL360" s="21" t="str">
        <f t="shared" si="365"/>
        <v/>
      </c>
      <c r="AM360" s="21" t="str">
        <f t="shared" si="365"/>
        <v/>
      </c>
      <c r="AN360" s="21" t="str">
        <f t="shared" si="365"/>
        <v/>
      </c>
      <c r="AO360" s="21" t="str">
        <f t="shared" si="102"/>
        <v/>
      </c>
    </row>
    <row r="361" ht="16.5" customHeight="1">
      <c r="J361" s="18"/>
      <c r="K361" s="19"/>
      <c r="L361" s="20"/>
      <c r="M361" s="20"/>
      <c r="N361" s="20"/>
      <c r="O361" s="20"/>
      <c r="P361" s="20"/>
      <c r="Q361" s="20"/>
      <c r="R361" s="20"/>
      <c r="S361" s="20"/>
      <c r="T361" s="20"/>
      <c r="AE361" s="21" t="str">
        <f t="shared" si="100"/>
        <v/>
      </c>
      <c r="AF361" s="21" t="str">
        <f t="shared" ref="AF361:AN361" si="366">if(not(isblank(L361)),", "&amp;L361,"")</f>
        <v/>
      </c>
      <c r="AG361" s="21" t="str">
        <f t="shared" si="366"/>
        <v/>
      </c>
      <c r="AH361" s="21" t="str">
        <f t="shared" si="366"/>
        <v/>
      </c>
      <c r="AI361" s="21" t="str">
        <f t="shared" si="366"/>
        <v/>
      </c>
      <c r="AJ361" s="21" t="str">
        <f t="shared" si="366"/>
        <v/>
      </c>
      <c r="AK361" s="21" t="str">
        <f t="shared" si="366"/>
        <v/>
      </c>
      <c r="AL361" s="21" t="str">
        <f t="shared" si="366"/>
        <v/>
      </c>
      <c r="AM361" s="21" t="str">
        <f t="shared" si="366"/>
        <v/>
      </c>
      <c r="AN361" s="21" t="str">
        <f t="shared" si="366"/>
        <v/>
      </c>
      <c r="AO361" s="21" t="str">
        <f t="shared" si="102"/>
        <v/>
      </c>
    </row>
    <row r="362" ht="16.5" customHeight="1">
      <c r="J362" s="18"/>
      <c r="K362" s="19"/>
      <c r="L362" s="20"/>
      <c r="M362" s="20"/>
      <c r="N362" s="20"/>
      <c r="O362" s="20"/>
      <c r="P362" s="20"/>
      <c r="Q362" s="20"/>
      <c r="R362" s="20"/>
      <c r="S362" s="20"/>
      <c r="T362" s="20"/>
      <c r="AE362" s="21" t="str">
        <f t="shared" si="100"/>
        <v/>
      </c>
      <c r="AF362" s="21" t="str">
        <f t="shared" ref="AF362:AN362" si="367">if(not(isblank(L362)),", "&amp;L362,"")</f>
        <v/>
      </c>
      <c r="AG362" s="21" t="str">
        <f t="shared" si="367"/>
        <v/>
      </c>
      <c r="AH362" s="21" t="str">
        <f t="shared" si="367"/>
        <v/>
      </c>
      <c r="AI362" s="21" t="str">
        <f t="shared" si="367"/>
        <v/>
      </c>
      <c r="AJ362" s="21" t="str">
        <f t="shared" si="367"/>
        <v/>
      </c>
      <c r="AK362" s="21" t="str">
        <f t="shared" si="367"/>
        <v/>
      </c>
      <c r="AL362" s="21" t="str">
        <f t="shared" si="367"/>
        <v/>
      </c>
      <c r="AM362" s="21" t="str">
        <f t="shared" si="367"/>
        <v/>
      </c>
      <c r="AN362" s="21" t="str">
        <f t="shared" si="367"/>
        <v/>
      </c>
      <c r="AO362" s="21" t="str">
        <f t="shared" si="102"/>
        <v/>
      </c>
    </row>
    <row r="363" ht="16.5" customHeight="1">
      <c r="J363" s="18"/>
      <c r="K363" s="19"/>
      <c r="L363" s="20"/>
      <c r="M363" s="20"/>
      <c r="N363" s="20"/>
      <c r="O363" s="20"/>
      <c r="P363" s="20"/>
      <c r="Q363" s="20"/>
      <c r="R363" s="20"/>
      <c r="S363" s="20"/>
      <c r="T363" s="20"/>
      <c r="AE363" s="21" t="str">
        <f t="shared" si="100"/>
        <v/>
      </c>
      <c r="AF363" s="21" t="str">
        <f t="shared" ref="AF363:AN363" si="368">if(not(isblank(L363)),", "&amp;L363,"")</f>
        <v/>
      </c>
      <c r="AG363" s="21" t="str">
        <f t="shared" si="368"/>
        <v/>
      </c>
      <c r="AH363" s="21" t="str">
        <f t="shared" si="368"/>
        <v/>
      </c>
      <c r="AI363" s="21" t="str">
        <f t="shared" si="368"/>
        <v/>
      </c>
      <c r="AJ363" s="21" t="str">
        <f t="shared" si="368"/>
        <v/>
      </c>
      <c r="AK363" s="21" t="str">
        <f t="shared" si="368"/>
        <v/>
      </c>
      <c r="AL363" s="21" t="str">
        <f t="shared" si="368"/>
        <v/>
      </c>
      <c r="AM363" s="21" t="str">
        <f t="shared" si="368"/>
        <v/>
      </c>
      <c r="AN363" s="21" t="str">
        <f t="shared" si="368"/>
        <v/>
      </c>
      <c r="AO363" s="21" t="str">
        <f t="shared" si="102"/>
        <v/>
      </c>
    </row>
    <row r="364" ht="16.5" customHeight="1">
      <c r="J364" s="18"/>
      <c r="K364" s="19"/>
      <c r="L364" s="20"/>
      <c r="M364" s="20"/>
      <c r="N364" s="20"/>
      <c r="O364" s="20"/>
      <c r="P364" s="20"/>
      <c r="Q364" s="20"/>
      <c r="R364" s="20"/>
      <c r="S364" s="20"/>
      <c r="T364" s="20"/>
      <c r="AE364" s="21" t="str">
        <f t="shared" si="100"/>
        <v/>
      </c>
      <c r="AF364" s="21" t="str">
        <f t="shared" ref="AF364:AN364" si="369">if(not(isblank(L364)),", "&amp;L364,"")</f>
        <v/>
      </c>
      <c r="AG364" s="21" t="str">
        <f t="shared" si="369"/>
        <v/>
      </c>
      <c r="AH364" s="21" t="str">
        <f t="shared" si="369"/>
        <v/>
      </c>
      <c r="AI364" s="21" t="str">
        <f t="shared" si="369"/>
        <v/>
      </c>
      <c r="AJ364" s="21" t="str">
        <f t="shared" si="369"/>
        <v/>
      </c>
      <c r="AK364" s="21" t="str">
        <f t="shared" si="369"/>
        <v/>
      </c>
      <c r="AL364" s="21" t="str">
        <f t="shared" si="369"/>
        <v/>
      </c>
      <c r="AM364" s="21" t="str">
        <f t="shared" si="369"/>
        <v/>
      </c>
      <c r="AN364" s="21" t="str">
        <f t="shared" si="369"/>
        <v/>
      </c>
      <c r="AO364" s="21" t="str">
        <f t="shared" si="102"/>
        <v/>
      </c>
    </row>
    <row r="365" ht="16.5" customHeight="1">
      <c r="J365" s="18"/>
      <c r="K365" s="19"/>
      <c r="L365" s="20"/>
      <c r="M365" s="20"/>
      <c r="N365" s="20"/>
      <c r="O365" s="20"/>
      <c r="P365" s="20"/>
      <c r="Q365" s="20"/>
      <c r="R365" s="20"/>
      <c r="S365" s="20"/>
      <c r="T365" s="20"/>
      <c r="AE365" s="21" t="str">
        <f t="shared" si="100"/>
        <v/>
      </c>
      <c r="AF365" s="21" t="str">
        <f t="shared" ref="AF365:AN365" si="370">if(not(isblank(L365)),", "&amp;L365,"")</f>
        <v/>
      </c>
      <c r="AG365" s="21" t="str">
        <f t="shared" si="370"/>
        <v/>
      </c>
      <c r="AH365" s="21" t="str">
        <f t="shared" si="370"/>
        <v/>
      </c>
      <c r="AI365" s="21" t="str">
        <f t="shared" si="370"/>
        <v/>
      </c>
      <c r="AJ365" s="21" t="str">
        <f t="shared" si="370"/>
        <v/>
      </c>
      <c r="AK365" s="21" t="str">
        <f t="shared" si="370"/>
        <v/>
      </c>
      <c r="AL365" s="21" t="str">
        <f t="shared" si="370"/>
        <v/>
      </c>
      <c r="AM365" s="21" t="str">
        <f t="shared" si="370"/>
        <v/>
      </c>
      <c r="AN365" s="21" t="str">
        <f t="shared" si="370"/>
        <v/>
      </c>
      <c r="AO365" s="21" t="str">
        <f t="shared" si="102"/>
        <v/>
      </c>
    </row>
    <row r="366" ht="16.5" customHeight="1">
      <c r="J366" s="18"/>
      <c r="K366" s="19"/>
      <c r="L366" s="20"/>
      <c r="M366" s="20"/>
      <c r="N366" s="20"/>
      <c r="O366" s="20"/>
      <c r="P366" s="20"/>
      <c r="Q366" s="20"/>
      <c r="R366" s="20"/>
      <c r="S366" s="20"/>
      <c r="T366" s="20"/>
      <c r="AE366" s="21" t="str">
        <f t="shared" si="100"/>
        <v/>
      </c>
      <c r="AF366" s="21" t="str">
        <f t="shared" ref="AF366:AN366" si="371">if(not(isblank(L366)),", "&amp;L366,"")</f>
        <v/>
      </c>
      <c r="AG366" s="21" t="str">
        <f t="shared" si="371"/>
        <v/>
      </c>
      <c r="AH366" s="21" t="str">
        <f t="shared" si="371"/>
        <v/>
      </c>
      <c r="AI366" s="21" t="str">
        <f t="shared" si="371"/>
        <v/>
      </c>
      <c r="AJ366" s="21" t="str">
        <f t="shared" si="371"/>
        <v/>
      </c>
      <c r="AK366" s="21" t="str">
        <f t="shared" si="371"/>
        <v/>
      </c>
      <c r="AL366" s="21" t="str">
        <f t="shared" si="371"/>
        <v/>
      </c>
      <c r="AM366" s="21" t="str">
        <f t="shared" si="371"/>
        <v/>
      </c>
      <c r="AN366" s="21" t="str">
        <f t="shared" si="371"/>
        <v/>
      </c>
      <c r="AO366" s="21" t="str">
        <f t="shared" si="102"/>
        <v/>
      </c>
    </row>
    <row r="367" ht="16.5" customHeight="1">
      <c r="J367" s="18"/>
      <c r="K367" s="19"/>
      <c r="L367" s="20"/>
      <c r="M367" s="20"/>
      <c r="N367" s="20"/>
      <c r="O367" s="20"/>
      <c r="P367" s="20"/>
      <c r="Q367" s="20"/>
      <c r="R367" s="20"/>
      <c r="S367" s="20"/>
      <c r="T367" s="20"/>
      <c r="AE367" s="21" t="str">
        <f t="shared" si="100"/>
        <v/>
      </c>
      <c r="AF367" s="21" t="str">
        <f t="shared" ref="AF367:AN367" si="372">if(not(isblank(L367)),", "&amp;L367,"")</f>
        <v/>
      </c>
      <c r="AG367" s="21" t="str">
        <f t="shared" si="372"/>
        <v/>
      </c>
      <c r="AH367" s="21" t="str">
        <f t="shared" si="372"/>
        <v/>
      </c>
      <c r="AI367" s="21" t="str">
        <f t="shared" si="372"/>
        <v/>
      </c>
      <c r="AJ367" s="21" t="str">
        <f t="shared" si="372"/>
        <v/>
      </c>
      <c r="AK367" s="21" t="str">
        <f t="shared" si="372"/>
        <v/>
      </c>
      <c r="AL367" s="21" t="str">
        <f t="shared" si="372"/>
        <v/>
      </c>
      <c r="AM367" s="21" t="str">
        <f t="shared" si="372"/>
        <v/>
      </c>
      <c r="AN367" s="21" t="str">
        <f t="shared" si="372"/>
        <v/>
      </c>
      <c r="AO367" s="21" t="str">
        <f t="shared" si="102"/>
        <v/>
      </c>
    </row>
    <row r="368" ht="16.5" customHeight="1">
      <c r="J368" s="18"/>
      <c r="K368" s="19"/>
      <c r="L368" s="20"/>
      <c r="M368" s="20"/>
      <c r="N368" s="20"/>
      <c r="O368" s="20"/>
      <c r="P368" s="20"/>
      <c r="Q368" s="20"/>
      <c r="R368" s="20"/>
      <c r="S368" s="20"/>
      <c r="T368" s="20"/>
      <c r="AE368" s="21" t="str">
        <f t="shared" si="100"/>
        <v/>
      </c>
      <c r="AF368" s="21" t="str">
        <f t="shared" ref="AF368:AN368" si="373">if(not(isblank(L368)),", "&amp;L368,"")</f>
        <v/>
      </c>
      <c r="AG368" s="21" t="str">
        <f t="shared" si="373"/>
        <v/>
      </c>
      <c r="AH368" s="21" t="str">
        <f t="shared" si="373"/>
        <v/>
      </c>
      <c r="AI368" s="21" t="str">
        <f t="shared" si="373"/>
        <v/>
      </c>
      <c r="AJ368" s="21" t="str">
        <f t="shared" si="373"/>
        <v/>
      </c>
      <c r="AK368" s="21" t="str">
        <f t="shared" si="373"/>
        <v/>
      </c>
      <c r="AL368" s="21" t="str">
        <f t="shared" si="373"/>
        <v/>
      </c>
      <c r="AM368" s="21" t="str">
        <f t="shared" si="373"/>
        <v/>
      </c>
      <c r="AN368" s="21" t="str">
        <f t="shared" si="373"/>
        <v/>
      </c>
      <c r="AO368" s="21" t="str">
        <f t="shared" si="102"/>
        <v/>
      </c>
    </row>
    <row r="369" ht="16.5" customHeight="1">
      <c r="J369" s="18"/>
      <c r="K369" s="19"/>
      <c r="L369" s="20"/>
      <c r="M369" s="20"/>
      <c r="N369" s="20"/>
      <c r="O369" s="20"/>
      <c r="P369" s="20"/>
      <c r="Q369" s="20"/>
      <c r="R369" s="20"/>
      <c r="S369" s="20"/>
      <c r="T369" s="20"/>
      <c r="AE369" s="21" t="str">
        <f t="shared" si="100"/>
        <v/>
      </c>
      <c r="AF369" s="21" t="str">
        <f t="shared" ref="AF369:AN369" si="374">if(not(isblank(L369)),", "&amp;L369,"")</f>
        <v/>
      </c>
      <c r="AG369" s="21" t="str">
        <f t="shared" si="374"/>
        <v/>
      </c>
      <c r="AH369" s="21" t="str">
        <f t="shared" si="374"/>
        <v/>
      </c>
      <c r="AI369" s="21" t="str">
        <f t="shared" si="374"/>
        <v/>
      </c>
      <c r="AJ369" s="21" t="str">
        <f t="shared" si="374"/>
        <v/>
      </c>
      <c r="AK369" s="21" t="str">
        <f t="shared" si="374"/>
        <v/>
      </c>
      <c r="AL369" s="21" t="str">
        <f t="shared" si="374"/>
        <v/>
      </c>
      <c r="AM369" s="21" t="str">
        <f t="shared" si="374"/>
        <v/>
      </c>
      <c r="AN369" s="21" t="str">
        <f t="shared" si="374"/>
        <v/>
      </c>
      <c r="AO369" s="21" t="str">
        <f t="shared" si="102"/>
        <v/>
      </c>
    </row>
    <row r="370" ht="16.5" customHeight="1">
      <c r="J370" s="18"/>
      <c r="K370" s="19"/>
      <c r="L370" s="20"/>
      <c r="M370" s="20"/>
      <c r="N370" s="20"/>
      <c r="O370" s="20"/>
      <c r="P370" s="20"/>
      <c r="Q370" s="20"/>
      <c r="R370" s="20"/>
      <c r="S370" s="20"/>
      <c r="T370" s="20"/>
      <c r="AE370" s="21" t="str">
        <f t="shared" si="100"/>
        <v/>
      </c>
      <c r="AF370" s="21" t="str">
        <f t="shared" ref="AF370:AN370" si="375">if(not(isblank(L370)),", "&amp;L370,"")</f>
        <v/>
      </c>
      <c r="AG370" s="21" t="str">
        <f t="shared" si="375"/>
        <v/>
      </c>
      <c r="AH370" s="21" t="str">
        <f t="shared" si="375"/>
        <v/>
      </c>
      <c r="AI370" s="21" t="str">
        <f t="shared" si="375"/>
        <v/>
      </c>
      <c r="AJ370" s="21" t="str">
        <f t="shared" si="375"/>
        <v/>
      </c>
      <c r="AK370" s="21" t="str">
        <f t="shared" si="375"/>
        <v/>
      </c>
      <c r="AL370" s="21" t="str">
        <f t="shared" si="375"/>
        <v/>
      </c>
      <c r="AM370" s="21" t="str">
        <f t="shared" si="375"/>
        <v/>
      </c>
      <c r="AN370" s="21" t="str">
        <f t="shared" si="375"/>
        <v/>
      </c>
      <c r="AO370" s="21" t="str">
        <f t="shared" si="102"/>
        <v/>
      </c>
    </row>
    <row r="371" ht="16.5" customHeight="1">
      <c r="J371" s="18"/>
      <c r="K371" s="19"/>
      <c r="L371" s="20"/>
      <c r="M371" s="20"/>
      <c r="N371" s="20"/>
      <c r="O371" s="20"/>
      <c r="P371" s="20"/>
      <c r="Q371" s="20"/>
      <c r="R371" s="20"/>
      <c r="S371" s="20"/>
      <c r="T371" s="20"/>
      <c r="AE371" s="21" t="str">
        <f t="shared" si="100"/>
        <v/>
      </c>
      <c r="AF371" s="21" t="str">
        <f t="shared" ref="AF371:AN371" si="376">if(not(isblank(L371)),", "&amp;L371,"")</f>
        <v/>
      </c>
      <c r="AG371" s="21" t="str">
        <f t="shared" si="376"/>
        <v/>
      </c>
      <c r="AH371" s="21" t="str">
        <f t="shared" si="376"/>
        <v/>
      </c>
      <c r="AI371" s="21" t="str">
        <f t="shared" si="376"/>
        <v/>
      </c>
      <c r="AJ371" s="21" t="str">
        <f t="shared" si="376"/>
        <v/>
      </c>
      <c r="AK371" s="21" t="str">
        <f t="shared" si="376"/>
        <v/>
      </c>
      <c r="AL371" s="21" t="str">
        <f t="shared" si="376"/>
        <v/>
      </c>
      <c r="AM371" s="21" t="str">
        <f t="shared" si="376"/>
        <v/>
      </c>
      <c r="AN371" s="21" t="str">
        <f t="shared" si="376"/>
        <v/>
      </c>
      <c r="AO371" s="21" t="str">
        <f t="shared" si="102"/>
        <v/>
      </c>
    </row>
    <row r="372" ht="16.5" customHeight="1">
      <c r="J372" s="18"/>
      <c r="K372" s="19"/>
      <c r="L372" s="20"/>
      <c r="M372" s="20"/>
      <c r="N372" s="20"/>
      <c r="O372" s="20"/>
      <c r="P372" s="20"/>
      <c r="Q372" s="20"/>
      <c r="R372" s="20"/>
      <c r="S372" s="20"/>
      <c r="T372" s="20"/>
      <c r="AE372" s="21" t="str">
        <f t="shared" si="100"/>
        <v/>
      </c>
      <c r="AF372" s="21" t="str">
        <f t="shared" ref="AF372:AN372" si="377">if(not(isblank(L372)),", "&amp;L372,"")</f>
        <v/>
      </c>
      <c r="AG372" s="21" t="str">
        <f t="shared" si="377"/>
        <v/>
      </c>
      <c r="AH372" s="21" t="str">
        <f t="shared" si="377"/>
        <v/>
      </c>
      <c r="AI372" s="21" t="str">
        <f t="shared" si="377"/>
        <v/>
      </c>
      <c r="AJ372" s="21" t="str">
        <f t="shared" si="377"/>
        <v/>
      </c>
      <c r="AK372" s="21" t="str">
        <f t="shared" si="377"/>
        <v/>
      </c>
      <c r="AL372" s="21" t="str">
        <f t="shared" si="377"/>
        <v/>
      </c>
      <c r="AM372" s="21" t="str">
        <f t="shared" si="377"/>
        <v/>
      </c>
      <c r="AN372" s="21" t="str">
        <f t="shared" si="377"/>
        <v/>
      </c>
      <c r="AO372" s="21" t="str">
        <f t="shared" si="102"/>
        <v/>
      </c>
    </row>
    <row r="373" ht="16.5" customHeight="1">
      <c r="J373" s="18"/>
      <c r="K373" s="19"/>
      <c r="L373" s="20"/>
      <c r="M373" s="20"/>
      <c r="N373" s="20"/>
      <c r="O373" s="20"/>
      <c r="P373" s="20"/>
      <c r="Q373" s="20"/>
      <c r="R373" s="20"/>
      <c r="S373" s="20"/>
      <c r="T373" s="20"/>
      <c r="AE373" s="21" t="str">
        <f t="shared" si="100"/>
        <v/>
      </c>
      <c r="AF373" s="21" t="str">
        <f t="shared" ref="AF373:AN373" si="378">if(not(isblank(L373)),", "&amp;L373,"")</f>
        <v/>
      </c>
      <c r="AG373" s="21" t="str">
        <f t="shared" si="378"/>
        <v/>
      </c>
      <c r="AH373" s="21" t="str">
        <f t="shared" si="378"/>
        <v/>
      </c>
      <c r="AI373" s="21" t="str">
        <f t="shared" si="378"/>
        <v/>
      </c>
      <c r="AJ373" s="21" t="str">
        <f t="shared" si="378"/>
        <v/>
      </c>
      <c r="AK373" s="21" t="str">
        <f t="shared" si="378"/>
        <v/>
      </c>
      <c r="AL373" s="21" t="str">
        <f t="shared" si="378"/>
        <v/>
      </c>
      <c r="AM373" s="21" t="str">
        <f t="shared" si="378"/>
        <v/>
      </c>
      <c r="AN373" s="21" t="str">
        <f t="shared" si="378"/>
        <v/>
      </c>
      <c r="AO373" s="21" t="str">
        <f t="shared" si="102"/>
        <v/>
      </c>
    </row>
    <row r="374" ht="16.5" customHeight="1">
      <c r="J374" s="18"/>
      <c r="K374" s="19"/>
      <c r="L374" s="20"/>
      <c r="M374" s="20"/>
      <c r="N374" s="20"/>
      <c r="O374" s="20"/>
      <c r="P374" s="20"/>
      <c r="Q374" s="20"/>
      <c r="R374" s="20"/>
      <c r="S374" s="20"/>
      <c r="T374" s="20"/>
      <c r="AE374" s="21" t="str">
        <f t="shared" si="100"/>
        <v/>
      </c>
      <c r="AF374" s="21" t="str">
        <f t="shared" ref="AF374:AN374" si="379">if(not(isblank(L374)),", "&amp;L374,"")</f>
        <v/>
      </c>
      <c r="AG374" s="21" t="str">
        <f t="shared" si="379"/>
        <v/>
      </c>
      <c r="AH374" s="21" t="str">
        <f t="shared" si="379"/>
        <v/>
      </c>
      <c r="AI374" s="21" t="str">
        <f t="shared" si="379"/>
        <v/>
      </c>
      <c r="AJ374" s="21" t="str">
        <f t="shared" si="379"/>
        <v/>
      </c>
      <c r="AK374" s="21" t="str">
        <f t="shared" si="379"/>
        <v/>
      </c>
      <c r="AL374" s="21" t="str">
        <f t="shared" si="379"/>
        <v/>
      </c>
      <c r="AM374" s="21" t="str">
        <f t="shared" si="379"/>
        <v/>
      </c>
      <c r="AN374" s="21" t="str">
        <f t="shared" si="379"/>
        <v/>
      </c>
      <c r="AO374" s="21" t="str">
        <f t="shared" si="102"/>
        <v/>
      </c>
    </row>
    <row r="375" ht="16.5" customHeight="1">
      <c r="J375" s="18"/>
      <c r="K375" s="19"/>
      <c r="L375" s="20"/>
      <c r="M375" s="20"/>
      <c r="N375" s="20"/>
      <c r="O375" s="20"/>
      <c r="P375" s="20"/>
      <c r="Q375" s="20"/>
      <c r="R375" s="20"/>
      <c r="S375" s="20"/>
      <c r="T375" s="20"/>
      <c r="AE375" s="21" t="str">
        <f t="shared" si="100"/>
        <v/>
      </c>
      <c r="AF375" s="21" t="str">
        <f t="shared" ref="AF375:AN375" si="380">if(not(isblank(L375)),", "&amp;L375,"")</f>
        <v/>
      </c>
      <c r="AG375" s="21" t="str">
        <f t="shared" si="380"/>
        <v/>
      </c>
      <c r="AH375" s="21" t="str">
        <f t="shared" si="380"/>
        <v/>
      </c>
      <c r="AI375" s="21" t="str">
        <f t="shared" si="380"/>
        <v/>
      </c>
      <c r="AJ375" s="21" t="str">
        <f t="shared" si="380"/>
        <v/>
      </c>
      <c r="AK375" s="21" t="str">
        <f t="shared" si="380"/>
        <v/>
      </c>
      <c r="AL375" s="21" t="str">
        <f t="shared" si="380"/>
        <v/>
      </c>
      <c r="AM375" s="21" t="str">
        <f t="shared" si="380"/>
        <v/>
      </c>
      <c r="AN375" s="21" t="str">
        <f t="shared" si="380"/>
        <v/>
      </c>
      <c r="AO375" s="21" t="str">
        <f t="shared" si="102"/>
        <v/>
      </c>
    </row>
    <row r="376" ht="16.5" customHeight="1">
      <c r="J376" s="18"/>
      <c r="K376" s="19"/>
      <c r="L376" s="20"/>
      <c r="M376" s="20"/>
      <c r="N376" s="20"/>
      <c r="O376" s="20"/>
      <c r="P376" s="20"/>
      <c r="Q376" s="20"/>
      <c r="R376" s="20"/>
      <c r="S376" s="20"/>
      <c r="T376" s="20"/>
      <c r="AE376" s="21" t="str">
        <f t="shared" si="100"/>
        <v/>
      </c>
      <c r="AF376" s="21" t="str">
        <f t="shared" ref="AF376:AN376" si="381">if(not(isblank(L376)),", "&amp;L376,"")</f>
        <v/>
      </c>
      <c r="AG376" s="21" t="str">
        <f t="shared" si="381"/>
        <v/>
      </c>
      <c r="AH376" s="21" t="str">
        <f t="shared" si="381"/>
        <v/>
      </c>
      <c r="AI376" s="21" t="str">
        <f t="shared" si="381"/>
        <v/>
      </c>
      <c r="AJ376" s="21" t="str">
        <f t="shared" si="381"/>
        <v/>
      </c>
      <c r="AK376" s="21" t="str">
        <f t="shared" si="381"/>
        <v/>
      </c>
      <c r="AL376" s="21" t="str">
        <f t="shared" si="381"/>
        <v/>
      </c>
      <c r="AM376" s="21" t="str">
        <f t="shared" si="381"/>
        <v/>
      </c>
      <c r="AN376" s="21" t="str">
        <f t="shared" si="381"/>
        <v/>
      </c>
      <c r="AO376" s="21" t="str">
        <f t="shared" si="102"/>
        <v/>
      </c>
    </row>
    <row r="377" ht="16.5" customHeight="1">
      <c r="J377" s="18"/>
      <c r="K377" s="19"/>
      <c r="L377" s="20"/>
      <c r="M377" s="20"/>
      <c r="N377" s="20"/>
      <c r="O377" s="20"/>
      <c r="P377" s="20"/>
      <c r="Q377" s="20"/>
      <c r="R377" s="20"/>
      <c r="S377" s="20"/>
      <c r="T377" s="20"/>
      <c r="AE377" s="21" t="str">
        <f t="shared" si="100"/>
        <v/>
      </c>
      <c r="AF377" s="21" t="str">
        <f t="shared" ref="AF377:AN377" si="382">if(not(isblank(L377)),", "&amp;L377,"")</f>
        <v/>
      </c>
      <c r="AG377" s="21" t="str">
        <f t="shared" si="382"/>
        <v/>
      </c>
      <c r="AH377" s="21" t="str">
        <f t="shared" si="382"/>
        <v/>
      </c>
      <c r="AI377" s="21" t="str">
        <f t="shared" si="382"/>
        <v/>
      </c>
      <c r="AJ377" s="21" t="str">
        <f t="shared" si="382"/>
        <v/>
      </c>
      <c r="AK377" s="21" t="str">
        <f t="shared" si="382"/>
        <v/>
      </c>
      <c r="AL377" s="21" t="str">
        <f t="shared" si="382"/>
        <v/>
      </c>
      <c r="AM377" s="21" t="str">
        <f t="shared" si="382"/>
        <v/>
      </c>
      <c r="AN377" s="21" t="str">
        <f t="shared" si="382"/>
        <v/>
      </c>
      <c r="AO377" s="21" t="str">
        <f t="shared" si="102"/>
        <v/>
      </c>
    </row>
    <row r="378" ht="16.5" customHeight="1">
      <c r="J378" s="18"/>
      <c r="K378" s="19"/>
      <c r="L378" s="20"/>
      <c r="M378" s="20"/>
      <c r="N378" s="20"/>
      <c r="O378" s="20"/>
      <c r="P378" s="20"/>
      <c r="Q378" s="20"/>
      <c r="R378" s="20"/>
      <c r="S378" s="20"/>
      <c r="T378" s="20"/>
      <c r="AE378" s="21" t="str">
        <f t="shared" si="100"/>
        <v/>
      </c>
      <c r="AF378" s="21" t="str">
        <f t="shared" ref="AF378:AN378" si="383">if(not(isblank(L378)),", "&amp;L378,"")</f>
        <v/>
      </c>
      <c r="AG378" s="21" t="str">
        <f t="shared" si="383"/>
        <v/>
      </c>
      <c r="AH378" s="21" t="str">
        <f t="shared" si="383"/>
        <v/>
      </c>
      <c r="AI378" s="21" t="str">
        <f t="shared" si="383"/>
        <v/>
      </c>
      <c r="AJ378" s="21" t="str">
        <f t="shared" si="383"/>
        <v/>
      </c>
      <c r="AK378" s="21" t="str">
        <f t="shared" si="383"/>
        <v/>
      </c>
      <c r="AL378" s="21" t="str">
        <f t="shared" si="383"/>
        <v/>
      </c>
      <c r="AM378" s="21" t="str">
        <f t="shared" si="383"/>
        <v/>
      </c>
      <c r="AN378" s="21" t="str">
        <f t="shared" si="383"/>
        <v/>
      </c>
      <c r="AO378" s="21" t="str">
        <f t="shared" si="102"/>
        <v/>
      </c>
    </row>
    <row r="379" ht="16.5" customHeight="1">
      <c r="J379" s="18"/>
      <c r="K379" s="19"/>
      <c r="L379" s="20"/>
      <c r="M379" s="20"/>
      <c r="N379" s="20"/>
      <c r="O379" s="20"/>
      <c r="P379" s="20"/>
      <c r="Q379" s="20"/>
      <c r="R379" s="20"/>
      <c r="S379" s="20"/>
      <c r="T379" s="20"/>
      <c r="AE379" s="21" t="str">
        <f t="shared" si="100"/>
        <v/>
      </c>
      <c r="AF379" s="21" t="str">
        <f t="shared" ref="AF379:AN379" si="384">if(not(isblank(L379)),", "&amp;L379,"")</f>
        <v/>
      </c>
      <c r="AG379" s="21" t="str">
        <f t="shared" si="384"/>
        <v/>
      </c>
      <c r="AH379" s="21" t="str">
        <f t="shared" si="384"/>
        <v/>
      </c>
      <c r="AI379" s="21" t="str">
        <f t="shared" si="384"/>
        <v/>
      </c>
      <c r="AJ379" s="21" t="str">
        <f t="shared" si="384"/>
        <v/>
      </c>
      <c r="AK379" s="21" t="str">
        <f t="shared" si="384"/>
        <v/>
      </c>
      <c r="AL379" s="21" t="str">
        <f t="shared" si="384"/>
        <v/>
      </c>
      <c r="AM379" s="21" t="str">
        <f t="shared" si="384"/>
        <v/>
      </c>
      <c r="AN379" s="21" t="str">
        <f t="shared" si="384"/>
        <v/>
      </c>
      <c r="AO379" s="21" t="str">
        <f t="shared" si="102"/>
        <v/>
      </c>
    </row>
    <row r="380" ht="16.5" customHeight="1">
      <c r="J380" s="18"/>
      <c r="K380" s="19"/>
      <c r="L380" s="20"/>
      <c r="M380" s="20"/>
      <c r="N380" s="20"/>
      <c r="O380" s="20"/>
      <c r="P380" s="20"/>
      <c r="Q380" s="20"/>
      <c r="R380" s="20"/>
      <c r="S380" s="20"/>
      <c r="T380" s="20"/>
      <c r="AE380" s="21" t="str">
        <f t="shared" si="100"/>
        <v/>
      </c>
      <c r="AF380" s="21" t="str">
        <f t="shared" ref="AF380:AN380" si="385">if(not(isblank(L380)),", "&amp;L380,"")</f>
        <v/>
      </c>
      <c r="AG380" s="21" t="str">
        <f t="shared" si="385"/>
        <v/>
      </c>
      <c r="AH380" s="21" t="str">
        <f t="shared" si="385"/>
        <v/>
      </c>
      <c r="AI380" s="21" t="str">
        <f t="shared" si="385"/>
        <v/>
      </c>
      <c r="AJ380" s="21" t="str">
        <f t="shared" si="385"/>
        <v/>
      </c>
      <c r="AK380" s="21" t="str">
        <f t="shared" si="385"/>
        <v/>
      </c>
      <c r="AL380" s="21" t="str">
        <f t="shared" si="385"/>
        <v/>
      </c>
      <c r="AM380" s="21" t="str">
        <f t="shared" si="385"/>
        <v/>
      </c>
      <c r="AN380" s="21" t="str">
        <f t="shared" si="385"/>
        <v/>
      </c>
      <c r="AO380" s="21" t="str">
        <f t="shared" si="102"/>
        <v/>
      </c>
    </row>
    <row r="381" ht="16.5" customHeight="1">
      <c r="J381" s="18"/>
      <c r="K381" s="19"/>
      <c r="L381" s="20"/>
      <c r="M381" s="20"/>
      <c r="N381" s="20"/>
      <c r="O381" s="20"/>
      <c r="P381" s="20"/>
      <c r="Q381" s="20"/>
      <c r="R381" s="20"/>
      <c r="S381" s="20"/>
      <c r="T381" s="20"/>
      <c r="AE381" s="21" t="str">
        <f t="shared" si="100"/>
        <v/>
      </c>
      <c r="AF381" s="21" t="str">
        <f t="shared" ref="AF381:AN381" si="386">if(not(isblank(L381)),", "&amp;L381,"")</f>
        <v/>
      </c>
      <c r="AG381" s="21" t="str">
        <f t="shared" si="386"/>
        <v/>
      </c>
      <c r="AH381" s="21" t="str">
        <f t="shared" si="386"/>
        <v/>
      </c>
      <c r="AI381" s="21" t="str">
        <f t="shared" si="386"/>
        <v/>
      </c>
      <c r="AJ381" s="21" t="str">
        <f t="shared" si="386"/>
        <v/>
      </c>
      <c r="AK381" s="21" t="str">
        <f t="shared" si="386"/>
        <v/>
      </c>
      <c r="AL381" s="21" t="str">
        <f t="shared" si="386"/>
        <v/>
      </c>
      <c r="AM381" s="21" t="str">
        <f t="shared" si="386"/>
        <v/>
      </c>
      <c r="AN381" s="21" t="str">
        <f t="shared" si="386"/>
        <v/>
      </c>
      <c r="AO381" s="21" t="str">
        <f t="shared" si="102"/>
        <v/>
      </c>
    </row>
    <row r="382" ht="16.5" customHeight="1">
      <c r="J382" s="18"/>
      <c r="K382" s="19"/>
      <c r="L382" s="20"/>
      <c r="M382" s="20"/>
      <c r="N382" s="20"/>
      <c r="O382" s="20"/>
      <c r="P382" s="20"/>
      <c r="Q382" s="20"/>
      <c r="R382" s="20"/>
      <c r="S382" s="20"/>
      <c r="T382" s="20"/>
      <c r="AE382" s="21" t="str">
        <f t="shared" si="100"/>
        <v/>
      </c>
      <c r="AF382" s="21" t="str">
        <f t="shared" ref="AF382:AN382" si="387">if(not(isblank(L382)),", "&amp;L382,"")</f>
        <v/>
      </c>
      <c r="AG382" s="21" t="str">
        <f t="shared" si="387"/>
        <v/>
      </c>
      <c r="AH382" s="21" t="str">
        <f t="shared" si="387"/>
        <v/>
      </c>
      <c r="AI382" s="21" t="str">
        <f t="shared" si="387"/>
        <v/>
      </c>
      <c r="AJ382" s="21" t="str">
        <f t="shared" si="387"/>
        <v/>
      </c>
      <c r="AK382" s="21" t="str">
        <f t="shared" si="387"/>
        <v/>
      </c>
      <c r="AL382" s="21" t="str">
        <f t="shared" si="387"/>
        <v/>
      </c>
      <c r="AM382" s="21" t="str">
        <f t="shared" si="387"/>
        <v/>
      </c>
      <c r="AN382" s="21" t="str">
        <f t="shared" si="387"/>
        <v/>
      </c>
      <c r="AO382" s="21" t="str">
        <f t="shared" si="102"/>
        <v/>
      </c>
    </row>
    <row r="383" ht="16.5" customHeight="1">
      <c r="J383" s="18"/>
      <c r="K383" s="19"/>
      <c r="L383" s="20"/>
      <c r="M383" s="20"/>
      <c r="N383" s="20"/>
      <c r="O383" s="20"/>
      <c r="P383" s="20"/>
      <c r="Q383" s="20"/>
      <c r="R383" s="20"/>
      <c r="S383" s="20"/>
      <c r="T383" s="20"/>
      <c r="AE383" s="21" t="str">
        <f t="shared" si="100"/>
        <v/>
      </c>
      <c r="AF383" s="21" t="str">
        <f t="shared" ref="AF383:AN383" si="388">if(not(isblank(L383)),", "&amp;L383,"")</f>
        <v/>
      </c>
      <c r="AG383" s="21" t="str">
        <f t="shared" si="388"/>
        <v/>
      </c>
      <c r="AH383" s="21" t="str">
        <f t="shared" si="388"/>
        <v/>
      </c>
      <c r="AI383" s="21" t="str">
        <f t="shared" si="388"/>
        <v/>
      </c>
      <c r="AJ383" s="21" t="str">
        <f t="shared" si="388"/>
        <v/>
      </c>
      <c r="AK383" s="21" t="str">
        <f t="shared" si="388"/>
        <v/>
      </c>
      <c r="AL383" s="21" t="str">
        <f t="shared" si="388"/>
        <v/>
      </c>
      <c r="AM383" s="21" t="str">
        <f t="shared" si="388"/>
        <v/>
      </c>
      <c r="AN383" s="21" t="str">
        <f t="shared" si="388"/>
        <v/>
      </c>
      <c r="AO383" s="21" t="str">
        <f t="shared" si="102"/>
        <v/>
      </c>
    </row>
    <row r="384" ht="16.5" customHeight="1">
      <c r="J384" s="18"/>
      <c r="K384" s="19"/>
      <c r="L384" s="20"/>
      <c r="M384" s="20"/>
      <c r="N384" s="20"/>
      <c r="O384" s="20"/>
      <c r="P384" s="20"/>
      <c r="Q384" s="20"/>
      <c r="R384" s="20"/>
      <c r="S384" s="20"/>
      <c r="T384" s="20"/>
      <c r="AE384" s="21" t="str">
        <f t="shared" si="100"/>
        <v/>
      </c>
      <c r="AF384" s="21" t="str">
        <f t="shared" ref="AF384:AN384" si="389">if(not(isblank(L384)),", "&amp;L384,"")</f>
        <v/>
      </c>
      <c r="AG384" s="21" t="str">
        <f t="shared" si="389"/>
        <v/>
      </c>
      <c r="AH384" s="21" t="str">
        <f t="shared" si="389"/>
        <v/>
      </c>
      <c r="AI384" s="21" t="str">
        <f t="shared" si="389"/>
        <v/>
      </c>
      <c r="AJ384" s="21" t="str">
        <f t="shared" si="389"/>
        <v/>
      </c>
      <c r="AK384" s="21" t="str">
        <f t="shared" si="389"/>
        <v/>
      </c>
      <c r="AL384" s="21" t="str">
        <f t="shared" si="389"/>
        <v/>
      </c>
      <c r="AM384" s="21" t="str">
        <f t="shared" si="389"/>
        <v/>
      </c>
      <c r="AN384" s="21" t="str">
        <f t="shared" si="389"/>
        <v/>
      </c>
      <c r="AO384" s="21" t="str">
        <f t="shared" si="102"/>
        <v/>
      </c>
    </row>
    <row r="385" ht="16.5" customHeight="1">
      <c r="J385" s="18"/>
      <c r="K385" s="19"/>
      <c r="L385" s="20"/>
      <c r="M385" s="20"/>
      <c r="N385" s="20"/>
      <c r="O385" s="20"/>
      <c r="P385" s="20"/>
      <c r="Q385" s="20"/>
      <c r="R385" s="20"/>
      <c r="S385" s="20"/>
      <c r="T385" s="20"/>
      <c r="AE385" s="21" t="str">
        <f t="shared" si="100"/>
        <v/>
      </c>
      <c r="AF385" s="21" t="str">
        <f t="shared" ref="AF385:AN385" si="390">if(not(isblank(L385)),", "&amp;L385,"")</f>
        <v/>
      </c>
      <c r="AG385" s="21" t="str">
        <f t="shared" si="390"/>
        <v/>
      </c>
      <c r="AH385" s="21" t="str">
        <f t="shared" si="390"/>
        <v/>
      </c>
      <c r="AI385" s="21" t="str">
        <f t="shared" si="390"/>
        <v/>
      </c>
      <c r="AJ385" s="21" t="str">
        <f t="shared" si="390"/>
        <v/>
      </c>
      <c r="AK385" s="21" t="str">
        <f t="shared" si="390"/>
        <v/>
      </c>
      <c r="AL385" s="21" t="str">
        <f t="shared" si="390"/>
        <v/>
      </c>
      <c r="AM385" s="21" t="str">
        <f t="shared" si="390"/>
        <v/>
      </c>
      <c r="AN385" s="21" t="str">
        <f t="shared" si="390"/>
        <v/>
      </c>
      <c r="AO385" s="21" t="str">
        <f t="shared" si="102"/>
        <v/>
      </c>
    </row>
    <row r="386" ht="16.5" customHeight="1">
      <c r="J386" s="18"/>
      <c r="K386" s="19"/>
      <c r="L386" s="20"/>
      <c r="M386" s="20"/>
      <c r="N386" s="20"/>
      <c r="O386" s="20"/>
      <c r="P386" s="20"/>
      <c r="Q386" s="20"/>
      <c r="R386" s="20"/>
      <c r="S386" s="20"/>
      <c r="T386" s="20"/>
      <c r="AE386" s="21" t="str">
        <f t="shared" si="100"/>
        <v/>
      </c>
      <c r="AF386" s="21" t="str">
        <f t="shared" ref="AF386:AN386" si="391">if(not(isblank(L386)),", "&amp;L386,"")</f>
        <v/>
      </c>
      <c r="AG386" s="21" t="str">
        <f t="shared" si="391"/>
        <v/>
      </c>
      <c r="AH386" s="21" t="str">
        <f t="shared" si="391"/>
        <v/>
      </c>
      <c r="AI386" s="21" t="str">
        <f t="shared" si="391"/>
        <v/>
      </c>
      <c r="AJ386" s="21" t="str">
        <f t="shared" si="391"/>
        <v/>
      </c>
      <c r="AK386" s="21" t="str">
        <f t="shared" si="391"/>
        <v/>
      </c>
      <c r="AL386" s="21" t="str">
        <f t="shared" si="391"/>
        <v/>
      </c>
      <c r="AM386" s="21" t="str">
        <f t="shared" si="391"/>
        <v/>
      </c>
      <c r="AN386" s="21" t="str">
        <f t="shared" si="391"/>
        <v/>
      </c>
      <c r="AO386" s="21" t="str">
        <f t="shared" si="102"/>
        <v/>
      </c>
    </row>
    <row r="387" ht="16.5" customHeight="1">
      <c r="J387" s="18"/>
      <c r="K387" s="19"/>
      <c r="L387" s="20"/>
      <c r="M387" s="20"/>
      <c r="N387" s="20"/>
      <c r="O387" s="20"/>
      <c r="P387" s="20"/>
      <c r="Q387" s="20"/>
      <c r="R387" s="20"/>
      <c r="S387" s="20"/>
      <c r="T387" s="20"/>
      <c r="AE387" s="21" t="str">
        <f t="shared" si="100"/>
        <v/>
      </c>
      <c r="AF387" s="21" t="str">
        <f t="shared" ref="AF387:AN387" si="392">if(not(isblank(L387)),", "&amp;L387,"")</f>
        <v/>
      </c>
      <c r="AG387" s="21" t="str">
        <f t="shared" si="392"/>
        <v/>
      </c>
      <c r="AH387" s="21" t="str">
        <f t="shared" si="392"/>
        <v/>
      </c>
      <c r="AI387" s="21" t="str">
        <f t="shared" si="392"/>
        <v/>
      </c>
      <c r="AJ387" s="21" t="str">
        <f t="shared" si="392"/>
        <v/>
      </c>
      <c r="AK387" s="21" t="str">
        <f t="shared" si="392"/>
        <v/>
      </c>
      <c r="AL387" s="21" t="str">
        <f t="shared" si="392"/>
        <v/>
      </c>
      <c r="AM387" s="21" t="str">
        <f t="shared" si="392"/>
        <v/>
      </c>
      <c r="AN387" s="21" t="str">
        <f t="shared" si="392"/>
        <v/>
      </c>
      <c r="AO387" s="21" t="str">
        <f t="shared" si="102"/>
        <v/>
      </c>
    </row>
    <row r="388" ht="16.5" customHeight="1">
      <c r="J388" s="18"/>
      <c r="K388" s="19"/>
      <c r="L388" s="20"/>
      <c r="M388" s="20"/>
      <c r="N388" s="20"/>
      <c r="O388" s="20"/>
      <c r="P388" s="20"/>
      <c r="Q388" s="20"/>
      <c r="R388" s="20"/>
      <c r="S388" s="20"/>
      <c r="T388" s="20"/>
      <c r="AE388" s="21" t="str">
        <f t="shared" si="100"/>
        <v/>
      </c>
      <c r="AF388" s="21" t="str">
        <f t="shared" ref="AF388:AN388" si="393">if(not(isblank(L388)),", "&amp;L388,"")</f>
        <v/>
      </c>
      <c r="AG388" s="21" t="str">
        <f t="shared" si="393"/>
        <v/>
      </c>
      <c r="AH388" s="21" t="str">
        <f t="shared" si="393"/>
        <v/>
      </c>
      <c r="AI388" s="21" t="str">
        <f t="shared" si="393"/>
        <v/>
      </c>
      <c r="AJ388" s="21" t="str">
        <f t="shared" si="393"/>
        <v/>
      </c>
      <c r="AK388" s="21" t="str">
        <f t="shared" si="393"/>
        <v/>
      </c>
      <c r="AL388" s="21" t="str">
        <f t="shared" si="393"/>
        <v/>
      </c>
      <c r="AM388" s="21" t="str">
        <f t="shared" si="393"/>
        <v/>
      </c>
      <c r="AN388" s="21" t="str">
        <f t="shared" si="393"/>
        <v/>
      </c>
      <c r="AO388" s="21" t="str">
        <f t="shared" si="102"/>
        <v/>
      </c>
    </row>
    <row r="389" ht="16.5" customHeight="1">
      <c r="J389" s="18"/>
      <c r="K389" s="19"/>
      <c r="L389" s="20"/>
      <c r="M389" s="20"/>
      <c r="N389" s="20"/>
      <c r="O389" s="20"/>
      <c r="P389" s="20"/>
      <c r="Q389" s="20"/>
      <c r="R389" s="20"/>
      <c r="S389" s="20"/>
      <c r="T389" s="20"/>
      <c r="AE389" s="21" t="str">
        <f t="shared" si="100"/>
        <v/>
      </c>
      <c r="AF389" s="21" t="str">
        <f t="shared" ref="AF389:AN389" si="394">if(not(isblank(L389)),", "&amp;L389,"")</f>
        <v/>
      </c>
      <c r="AG389" s="21" t="str">
        <f t="shared" si="394"/>
        <v/>
      </c>
      <c r="AH389" s="21" t="str">
        <f t="shared" si="394"/>
        <v/>
      </c>
      <c r="AI389" s="21" t="str">
        <f t="shared" si="394"/>
        <v/>
      </c>
      <c r="AJ389" s="21" t="str">
        <f t="shared" si="394"/>
        <v/>
      </c>
      <c r="AK389" s="21" t="str">
        <f t="shared" si="394"/>
        <v/>
      </c>
      <c r="AL389" s="21" t="str">
        <f t="shared" si="394"/>
        <v/>
      </c>
      <c r="AM389" s="21" t="str">
        <f t="shared" si="394"/>
        <v/>
      </c>
      <c r="AN389" s="21" t="str">
        <f t="shared" si="394"/>
        <v/>
      </c>
      <c r="AO389" s="21" t="str">
        <f t="shared" si="102"/>
        <v/>
      </c>
    </row>
    <row r="390" ht="16.5" customHeight="1">
      <c r="J390" s="18"/>
      <c r="K390" s="19"/>
      <c r="L390" s="20"/>
      <c r="M390" s="20"/>
      <c r="N390" s="20"/>
      <c r="O390" s="20"/>
      <c r="P390" s="20"/>
      <c r="Q390" s="20"/>
      <c r="R390" s="20"/>
      <c r="S390" s="20"/>
      <c r="T390" s="20"/>
      <c r="AE390" s="21" t="str">
        <f t="shared" si="100"/>
        <v/>
      </c>
      <c r="AF390" s="21" t="str">
        <f t="shared" ref="AF390:AN390" si="395">if(not(isblank(L390)),", "&amp;L390,"")</f>
        <v/>
      </c>
      <c r="AG390" s="21" t="str">
        <f t="shared" si="395"/>
        <v/>
      </c>
      <c r="AH390" s="21" t="str">
        <f t="shared" si="395"/>
        <v/>
      </c>
      <c r="AI390" s="21" t="str">
        <f t="shared" si="395"/>
        <v/>
      </c>
      <c r="AJ390" s="21" t="str">
        <f t="shared" si="395"/>
        <v/>
      </c>
      <c r="AK390" s="21" t="str">
        <f t="shared" si="395"/>
        <v/>
      </c>
      <c r="AL390" s="21" t="str">
        <f t="shared" si="395"/>
        <v/>
      </c>
      <c r="AM390" s="21" t="str">
        <f t="shared" si="395"/>
        <v/>
      </c>
      <c r="AN390" s="21" t="str">
        <f t="shared" si="395"/>
        <v/>
      </c>
      <c r="AO390" s="21" t="str">
        <f t="shared" si="102"/>
        <v/>
      </c>
    </row>
    <row r="391" ht="16.5" customHeight="1">
      <c r="J391" s="18"/>
      <c r="K391" s="19"/>
      <c r="L391" s="20"/>
      <c r="M391" s="20"/>
      <c r="N391" s="20"/>
      <c r="O391" s="20"/>
      <c r="P391" s="20"/>
      <c r="Q391" s="20"/>
      <c r="R391" s="20"/>
      <c r="S391" s="20"/>
      <c r="T391" s="20"/>
      <c r="AE391" s="21" t="str">
        <f t="shared" si="100"/>
        <v/>
      </c>
      <c r="AF391" s="21" t="str">
        <f t="shared" ref="AF391:AN391" si="396">if(not(isblank(L391)),", "&amp;L391,"")</f>
        <v/>
      </c>
      <c r="AG391" s="21" t="str">
        <f t="shared" si="396"/>
        <v/>
      </c>
      <c r="AH391" s="21" t="str">
        <f t="shared" si="396"/>
        <v/>
      </c>
      <c r="AI391" s="21" t="str">
        <f t="shared" si="396"/>
        <v/>
      </c>
      <c r="AJ391" s="21" t="str">
        <f t="shared" si="396"/>
        <v/>
      </c>
      <c r="AK391" s="21" t="str">
        <f t="shared" si="396"/>
        <v/>
      </c>
      <c r="AL391" s="21" t="str">
        <f t="shared" si="396"/>
        <v/>
      </c>
      <c r="AM391" s="21" t="str">
        <f t="shared" si="396"/>
        <v/>
      </c>
      <c r="AN391" s="21" t="str">
        <f t="shared" si="396"/>
        <v/>
      </c>
      <c r="AO391" s="21" t="str">
        <f t="shared" si="102"/>
        <v/>
      </c>
    </row>
    <row r="392" ht="16.5" customHeight="1">
      <c r="J392" s="18"/>
      <c r="K392" s="19"/>
      <c r="L392" s="20"/>
      <c r="M392" s="20"/>
      <c r="N392" s="20"/>
      <c r="O392" s="20"/>
      <c r="P392" s="20"/>
      <c r="Q392" s="20"/>
      <c r="R392" s="20"/>
      <c r="S392" s="20"/>
      <c r="T392" s="20"/>
      <c r="AE392" s="21" t="str">
        <f t="shared" si="100"/>
        <v/>
      </c>
      <c r="AF392" s="21" t="str">
        <f t="shared" ref="AF392:AN392" si="397">if(not(isblank(L392)),", "&amp;L392,"")</f>
        <v/>
      </c>
      <c r="AG392" s="21" t="str">
        <f t="shared" si="397"/>
        <v/>
      </c>
      <c r="AH392" s="21" t="str">
        <f t="shared" si="397"/>
        <v/>
      </c>
      <c r="AI392" s="21" t="str">
        <f t="shared" si="397"/>
        <v/>
      </c>
      <c r="AJ392" s="21" t="str">
        <f t="shared" si="397"/>
        <v/>
      </c>
      <c r="AK392" s="21" t="str">
        <f t="shared" si="397"/>
        <v/>
      </c>
      <c r="AL392" s="21" t="str">
        <f t="shared" si="397"/>
        <v/>
      </c>
      <c r="AM392" s="21" t="str">
        <f t="shared" si="397"/>
        <v/>
      </c>
      <c r="AN392" s="21" t="str">
        <f t="shared" si="397"/>
        <v/>
      </c>
      <c r="AO392" s="21" t="str">
        <f t="shared" si="102"/>
        <v/>
      </c>
    </row>
    <row r="393" ht="16.5" customHeight="1">
      <c r="J393" s="18"/>
      <c r="K393" s="19"/>
      <c r="L393" s="20"/>
      <c r="M393" s="20"/>
      <c r="N393" s="20"/>
      <c r="O393" s="20"/>
      <c r="P393" s="20"/>
      <c r="Q393" s="20"/>
      <c r="R393" s="20"/>
      <c r="S393" s="20"/>
      <c r="T393" s="20"/>
      <c r="AE393" s="21" t="str">
        <f t="shared" si="100"/>
        <v/>
      </c>
      <c r="AF393" s="21" t="str">
        <f t="shared" ref="AF393:AN393" si="398">if(not(isblank(L393)),", "&amp;L393,"")</f>
        <v/>
      </c>
      <c r="AG393" s="21" t="str">
        <f t="shared" si="398"/>
        <v/>
      </c>
      <c r="AH393" s="21" t="str">
        <f t="shared" si="398"/>
        <v/>
      </c>
      <c r="AI393" s="21" t="str">
        <f t="shared" si="398"/>
        <v/>
      </c>
      <c r="AJ393" s="21" t="str">
        <f t="shared" si="398"/>
        <v/>
      </c>
      <c r="AK393" s="21" t="str">
        <f t="shared" si="398"/>
        <v/>
      </c>
      <c r="AL393" s="21" t="str">
        <f t="shared" si="398"/>
        <v/>
      </c>
      <c r="AM393" s="21" t="str">
        <f t="shared" si="398"/>
        <v/>
      </c>
      <c r="AN393" s="21" t="str">
        <f t="shared" si="398"/>
        <v/>
      </c>
      <c r="AO393" s="21" t="str">
        <f t="shared" si="102"/>
        <v/>
      </c>
    </row>
    <row r="394" ht="16.5" customHeight="1">
      <c r="J394" s="18"/>
      <c r="K394" s="19"/>
      <c r="L394" s="20"/>
      <c r="M394" s="20"/>
      <c r="N394" s="20"/>
      <c r="O394" s="20"/>
      <c r="P394" s="20"/>
      <c r="Q394" s="20"/>
      <c r="R394" s="20"/>
      <c r="S394" s="20"/>
      <c r="T394" s="20"/>
      <c r="AE394" s="21" t="str">
        <f t="shared" si="100"/>
        <v/>
      </c>
      <c r="AF394" s="21" t="str">
        <f t="shared" ref="AF394:AN394" si="399">if(not(isblank(L394)),", "&amp;L394,"")</f>
        <v/>
      </c>
      <c r="AG394" s="21" t="str">
        <f t="shared" si="399"/>
        <v/>
      </c>
      <c r="AH394" s="21" t="str">
        <f t="shared" si="399"/>
        <v/>
      </c>
      <c r="AI394" s="21" t="str">
        <f t="shared" si="399"/>
        <v/>
      </c>
      <c r="AJ394" s="21" t="str">
        <f t="shared" si="399"/>
        <v/>
      </c>
      <c r="AK394" s="21" t="str">
        <f t="shared" si="399"/>
        <v/>
      </c>
      <c r="AL394" s="21" t="str">
        <f t="shared" si="399"/>
        <v/>
      </c>
      <c r="AM394" s="21" t="str">
        <f t="shared" si="399"/>
        <v/>
      </c>
      <c r="AN394" s="21" t="str">
        <f t="shared" si="399"/>
        <v/>
      </c>
      <c r="AO394" s="21" t="str">
        <f t="shared" si="102"/>
        <v/>
      </c>
    </row>
    <row r="395" ht="16.5" customHeight="1">
      <c r="J395" s="18"/>
      <c r="K395" s="19"/>
      <c r="L395" s="20"/>
      <c r="M395" s="20"/>
      <c r="N395" s="20"/>
      <c r="O395" s="20"/>
      <c r="P395" s="20"/>
      <c r="Q395" s="20"/>
      <c r="R395" s="20"/>
      <c r="S395" s="20"/>
      <c r="T395" s="20"/>
      <c r="AE395" s="21" t="str">
        <f t="shared" si="100"/>
        <v/>
      </c>
      <c r="AF395" s="21" t="str">
        <f t="shared" ref="AF395:AN395" si="400">if(not(isblank(L395)),", "&amp;L395,"")</f>
        <v/>
      </c>
      <c r="AG395" s="21" t="str">
        <f t="shared" si="400"/>
        <v/>
      </c>
      <c r="AH395" s="21" t="str">
        <f t="shared" si="400"/>
        <v/>
      </c>
      <c r="AI395" s="21" t="str">
        <f t="shared" si="400"/>
        <v/>
      </c>
      <c r="AJ395" s="21" t="str">
        <f t="shared" si="400"/>
        <v/>
      </c>
      <c r="AK395" s="21" t="str">
        <f t="shared" si="400"/>
        <v/>
      </c>
      <c r="AL395" s="21" t="str">
        <f t="shared" si="400"/>
        <v/>
      </c>
      <c r="AM395" s="21" t="str">
        <f t="shared" si="400"/>
        <v/>
      </c>
      <c r="AN395" s="21" t="str">
        <f t="shared" si="400"/>
        <v/>
      </c>
      <c r="AO395" s="21" t="str">
        <f t="shared" si="102"/>
        <v/>
      </c>
    </row>
    <row r="396" ht="16.5" customHeight="1">
      <c r="J396" s="18"/>
      <c r="K396" s="19"/>
      <c r="L396" s="20"/>
      <c r="M396" s="20"/>
      <c r="N396" s="20"/>
      <c r="O396" s="20"/>
      <c r="P396" s="20"/>
      <c r="Q396" s="20"/>
      <c r="R396" s="20"/>
      <c r="S396" s="20"/>
      <c r="T396" s="20"/>
      <c r="AE396" s="21" t="str">
        <f t="shared" si="100"/>
        <v/>
      </c>
      <c r="AF396" s="21" t="str">
        <f t="shared" ref="AF396:AN396" si="401">if(not(isblank(L396)),", "&amp;L396,"")</f>
        <v/>
      </c>
      <c r="AG396" s="21" t="str">
        <f t="shared" si="401"/>
        <v/>
      </c>
      <c r="AH396" s="21" t="str">
        <f t="shared" si="401"/>
        <v/>
      </c>
      <c r="AI396" s="21" t="str">
        <f t="shared" si="401"/>
        <v/>
      </c>
      <c r="AJ396" s="21" t="str">
        <f t="shared" si="401"/>
        <v/>
      </c>
      <c r="AK396" s="21" t="str">
        <f t="shared" si="401"/>
        <v/>
      </c>
      <c r="AL396" s="21" t="str">
        <f t="shared" si="401"/>
        <v/>
      </c>
      <c r="AM396" s="21" t="str">
        <f t="shared" si="401"/>
        <v/>
      </c>
      <c r="AN396" s="21" t="str">
        <f t="shared" si="401"/>
        <v/>
      </c>
      <c r="AO396" s="21" t="str">
        <f t="shared" si="102"/>
        <v/>
      </c>
    </row>
    <row r="397" ht="16.5" customHeight="1">
      <c r="J397" s="18"/>
      <c r="K397" s="19"/>
      <c r="L397" s="20"/>
      <c r="M397" s="20"/>
      <c r="N397" s="20"/>
      <c r="O397" s="20"/>
      <c r="P397" s="20"/>
      <c r="Q397" s="20"/>
      <c r="R397" s="20"/>
      <c r="S397" s="20"/>
      <c r="T397" s="20"/>
      <c r="AE397" s="21" t="str">
        <f t="shared" si="100"/>
        <v/>
      </c>
      <c r="AF397" s="21" t="str">
        <f t="shared" ref="AF397:AN397" si="402">if(not(isblank(L397)),", "&amp;L397,"")</f>
        <v/>
      </c>
      <c r="AG397" s="21" t="str">
        <f t="shared" si="402"/>
        <v/>
      </c>
      <c r="AH397" s="21" t="str">
        <f t="shared" si="402"/>
        <v/>
      </c>
      <c r="AI397" s="21" t="str">
        <f t="shared" si="402"/>
        <v/>
      </c>
      <c r="AJ397" s="21" t="str">
        <f t="shared" si="402"/>
        <v/>
      </c>
      <c r="AK397" s="21" t="str">
        <f t="shared" si="402"/>
        <v/>
      </c>
      <c r="AL397" s="21" t="str">
        <f t="shared" si="402"/>
        <v/>
      </c>
      <c r="AM397" s="21" t="str">
        <f t="shared" si="402"/>
        <v/>
      </c>
      <c r="AN397" s="21" t="str">
        <f t="shared" si="402"/>
        <v/>
      </c>
      <c r="AO397" s="21" t="str">
        <f t="shared" si="102"/>
        <v/>
      </c>
    </row>
    <row r="398" ht="16.5" customHeight="1">
      <c r="J398" s="18"/>
      <c r="K398" s="19"/>
      <c r="L398" s="20"/>
      <c r="M398" s="20"/>
      <c r="N398" s="20"/>
      <c r="O398" s="20"/>
      <c r="P398" s="20"/>
      <c r="Q398" s="20"/>
      <c r="R398" s="20"/>
      <c r="S398" s="20"/>
      <c r="T398" s="20"/>
      <c r="AE398" s="21" t="str">
        <f t="shared" si="100"/>
        <v/>
      </c>
      <c r="AF398" s="21" t="str">
        <f t="shared" ref="AF398:AN398" si="403">if(not(isblank(L398)),", "&amp;L398,"")</f>
        <v/>
      </c>
      <c r="AG398" s="21" t="str">
        <f t="shared" si="403"/>
        <v/>
      </c>
      <c r="AH398" s="21" t="str">
        <f t="shared" si="403"/>
        <v/>
      </c>
      <c r="AI398" s="21" t="str">
        <f t="shared" si="403"/>
        <v/>
      </c>
      <c r="AJ398" s="21" t="str">
        <f t="shared" si="403"/>
        <v/>
      </c>
      <c r="AK398" s="21" t="str">
        <f t="shared" si="403"/>
        <v/>
      </c>
      <c r="AL398" s="21" t="str">
        <f t="shared" si="403"/>
        <v/>
      </c>
      <c r="AM398" s="21" t="str">
        <f t="shared" si="403"/>
        <v/>
      </c>
      <c r="AN398" s="21" t="str">
        <f t="shared" si="403"/>
        <v/>
      </c>
      <c r="AO398" s="21" t="str">
        <f t="shared" si="102"/>
        <v/>
      </c>
    </row>
    <row r="399" ht="16.5" customHeight="1">
      <c r="J399" s="18"/>
      <c r="K399" s="19"/>
      <c r="L399" s="20"/>
      <c r="M399" s="20"/>
      <c r="N399" s="20"/>
      <c r="O399" s="20"/>
      <c r="P399" s="20"/>
      <c r="Q399" s="20"/>
      <c r="R399" s="20"/>
      <c r="S399" s="20"/>
      <c r="T399" s="20"/>
      <c r="AE399" s="21" t="str">
        <f t="shared" si="100"/>
        <v/>
      </c>
      <c r="AF399" s="21" t="str">
        <f t="shared" ref="AF399:AN399" si="404">if(not(isblank(L399)),", "&amp;L399,"")</f>
        <v/>
      </c>
      <c r="AG399" s="21" t="str">
        <f t="shared" si="404"/>
        <v/>
      </c>
      <c r="AH399" s="21" t="str">
        <f t="shared" si="404"/>
        <v/>
      </c>
      <c r="AI399" s="21" t="str">
        <f t="shared" si="404"/>
        <v/>
      </c>
      <c r="AJ399" s="21" t="str">
        <f t="shared" si="404"/>
        <v/>
      </c>
      <c r="AK399" s="21" t="str">
        <f t="shared" si="404"/>
        <v/>
      </c>
      <c r="AL399" s="21" t="str">
        <f t="shared" si="404"/>
        <v/>
      </c>
      <c r="AM399" s="21" t="str">
        <f t="shared" si="404"/>
        <v/>
      </c>
      <c r="AN399" s="21" t="str">
        <f t="shared" si="404"/>
        <v/>
      </c>
      <c r="AO399" s="21" t="str">
        <f t="shared" si="102"/>
        <v/>
      </c>
    </row>
    <row r="400" ht="16.5" customHeight="1">
      <c r="J400" s="18"/>
      <c r="K400" s="19"/>
      <c r="L400" s="20"/>
      <c r="M400" s="20"/>
      <c r="N400" s="20"/>
      <c r="O400" s="20"/>
      <c r="P400" s="20"/>
      <c r="Q400" s="20"/>
      <c r="R400" s="20"/>
      <c r="S400" s="20"/>
      <c r="T400" s="20"/>
      <c r="AE400" s="21" t="str">
        <f t="shared" si="100"/>
        <v/>
      </c>
      <c r="AF400" s="21" t="str">
        <f t="shared" ref="AF400:AN400" si="405">if(not(isblank(L400)),", "&amp;L400,"")</f>
        <v/>
      </c>
      <c r="AG400" s="21" t="str">
        <f t="shared" si="405"/>
        <v/>
      </c>
      <c r="AH400" s="21" t="str">
        <f t="shared" si="405"/>
        <v/>
      </c>
      <c r="AI400" s="21" t="str">
        <f t="shared" si="405"/>
        <v/>
      </c>
      <c r="AJ400" s="21" t="str">
        <f t="shared" si="405"/>
        <v/>
      </c>
      <c r="AK400" s="21" t="str">
        <f t="shared" si="405"/>
        <v/>
      </c>
      <c r="AL400" s="21" t="str">
        <f t="shared" si="405"/>
        <v/>
      </c>
      <c r="AM400" s="21" t="str">
        <f t="shared" si="405"/>
        <v/>
      </c>
      <c r="AN400" s="21" t="str">
        <f t="shared" si="405"/>
        <v/>
      </c>
      <c r="AO400" s="21" t="str">
        <f t="shared" si="102"/>
        <v/>
      </c>
    </row>
    <row r="401" ht="16.5" customHeight="1">
      <c r="J401" s="18"/>
      <c r="K401" s="19"/>
      <c r="L401" s="20"/>
      <c r="M401" s="20"/>
      <c r="N401" s="20"/>
      <c r="O401" s="20"/>
      <c r="P401" s="20"/>
      <c r="Q401" s="20"/>
      <c r="R401" s="20"/>
      <c r="S401" s="20"/>
      <c r="T401" s="20"/>
      <c r="AE401" s="21" t="str">
        <f t="shared" si="100"/>
        <v/>
      </c>
      <c r="AF401" s="21" t="str">
        <f t="shared" ref="AF401:AN401" si="406">if(not(isblank(L401)),", "&amp;L401,"")</f>
        <v/>
      </c>
      <c r="AG401" s="21" t="str">
        <f t="shared" si="406"/>
        <v/>
      </c>
      <c r="AH401" s="21" t="str">
        <f t="shared" si="406"/>
        <v/>
      </c>
      <c r="AI401" s="21" t="str">
        <f t="shared" si="406"/>
        <v/>
      </c>
      <c r="AJ401" s="21" t="str">
        <f t="shared" si="406"/>
        <v/>
      </c>
      <c r="AK401" s="21" t="str">
        <f t="shared" si="406"/>
        <v/>
      </c>
      <c r="AL401" s="21" t="str">
        <f t="shared" si="406"/>
        <v/>
      </c>
      <c r="AM401" s="21" t="str">
        <f t="shared" si="406"/>
        <v/>
      </c>
      <c r="AN401" s="21" t="str">
        <f t="shared" si="406"/>
        <v/>
      </c>
      <c r="AO401" s="21" t="str">
        <f t="shared" si="102"/>
        <v/>
      </c>
    </row>
    <row r="402" ht="16.5" customHeight="1">
      <c r="J402" s="18"/>
      <c r="K402" s="19"/>
      <c r="L402" s="20"/>
      <c r="M402" s="20"/>
      <c r="N402" s="20"/>
      <c r="O402" s="20"/>
      <c r="P402" s="20"/>
      <c r="Q402" s="20"/>
      <c r="R402" s="20"/>
      <c r="S402" s="20"/>
      <c r="T402" s="20"/>
      <c r="AE402" s="21" t="str">
        <f t="shared" si="100"/>
        <v/>
      </c>
      <c r="AF402" s="21" t="str">
        <f t="shared" ref="AF402:AN402" si="407">if(not(isblank(L402)),", "&amp;L402,"")</f>
        <v/>
      </c>
      <c r="AG402" s="21" t="str">
        <f t="shared" si="407"/>
        <v/>
      </c>
      <c r="AH402" s="21" t="str">
        <f t="shared" si="407"/>
        <v/>
      </c>
      <c r="AI402" s="21" t="str">
        <f t="shared" si="407"/>
        <v/>
      </c>
      <c r="AJ402" s="21" t="str">
        <f t="shared" si="407"/>
        <v/>
      </c>
      <c r="AK402" s="21" t="str">
        <f t="shared" si="407"/>
        <v/>
      </c>
      <c r="AL402" s="21" t="str">
        <f t="shared" si="407"/>
        <v/>
      </c>
      <c r="AM402" s="21" t="str">
        <f t="shared" si="407"/>
        <v/>
      </c>
      <c r="AN402" s="21" t="str">
        <f t="shared" si="407"/>
        <v/>
      </c>
      <c r="AO402" s="21" t="str">
        <f t="shared" si="102"/>
        <v/>
      </c>
    </row>
    <row r="403" ht="16.5" customHeight="1">
      <c r="J403" s="18"/>
      <c r="K403" s="19"/>
      <c r="L403" s="20"/>
      <c r="M403" s="20"/>
      <c r="N403" s="20"/>
      <c r="O403" s="20"/>
      <c r="P403" s="20"/>
      <c r="Q403" s="20"/>
      <c r="R403" s="20"/>
      <c r="S403" s="20"/>
      <c r="T403" s="20"/>
      <c r="AE403" s="21" t="str">
        <f t="shared" si="100"/>
        <v/>
      </c>
      <c r="AF403" s="21" t="str">
        <f t="shared" ref="AF403:AN403" si="408">if(not(isblank(L403)),", "&amp;L403,"")</f>
        <v/>
      </c>
      <c r="AG403" s="21" t="str">
        <f t="shared" si="408"/>
        <v/>
      </c>
      <c r="AH403" s="21" t="str">
        <f t="shared" si="408"/>
        <v/>
      </c>
      <c r="AI403" s="21" t="str">
        <f t="shared" si="408"/>
        <v/>
      </c>
      <c r="AJ403" s="21" t="str">
        <f t="shared" si="408"/>
        <v/>
      </c>
      <c r="AK403" s="21" t="str">
        <f t="shared" si="408"/>
        <v/>
      </c>
      <c r="AL403" s="21" t="str">
        <f t="shared" si="408"/>
        <v/>
      </c>
      <c r="AM403" s="21" t="str">
        <f t="shared" si="408"/>
        <v/>
      </c>
      <c r="AN403" s="21" t="str">
        <f t="shared" si="408"/>
        <v/>
      </c>
      <c r="AO403" s="21" t="str">
        <f t="shared" si="102"/>
        <v/>
      </c>
    </row>
    <row r="404" ht="16.5" customHeight="1">
      <c r="J404" s="18"/>
      <c r="K404" s="19"/>
      <c r="L404" s="20"/>
      <c r="M404" s="20"/>
      <c r="N404" s="20"/>
      <c r="O404" s="20"/>
      <c r="P404" s="20"/>
      <c r="Q404" s="20"/>
      <c r="R404" s="20"/>
      <c r="S404" s="20"/>
      <c r="T404" s="20"/>
      <c r="AE404" s="21" t="str">
        <f t="shared" si="100"/>
        <v/>
      </c>
      <c r="AF404" s="21" t="str">
        <f t="shared" ref="AF404:AN404" si="409">if(not(isblank(L404)),", "&amp;L404,"")</f>
        <v/>
      </c>
      <c r="AG404" s="21" t="str">
        <f t="shared" si="409"/>
        <v/>
      </c>
      <c r="AH404" s="21" t="str">
        <f t="shared" si="409"/>
        <v/>
      </c>
      <c r="AI404" s="21" t="str">
        <f t="shared" si="409"/>
        <v/>
      </c>
      <c r="AJ404" s="21" t="str">
        <f t="shared" si="409"/>
        <v/>
      </c>
      <c r="AK404" s="21" t="str">
        <f t="shared" si="409"/>
        <v/>
      </c>
      <c r="AL404" s="21" t="str">
        <f t="shared" si="409"/>
        <v/>
      </c>
      <c r="AM404" s="21" t="str">
        <f t="shared" si="409"/>
        <v/>
      </c>
      <c r="AN404" s="21" t="str">
        <f t="shared" si="409"/>
        <v/>
      </c>
      <c r="AO404" s="21" t="str">
        <f t="shared" si="102"/>
        <v/>
      </c>
    </row>
    <row r="405" ht="16.5" customHeight="1">
      <c r="J405" s="18"/>
      <c r="K405" s="19"/>
      <c r="L405" s="20"/>
      <c r="M405" s="20"/>
      <c r="N405" s="20"/>
      <c r="O405" s="20"/>
      <c r="P405" s="20"/>
      <c r="Q405" s="20"/>
      <c r="R405" s="20"/>
      <c r="S405" s="20"/>
      <c r="T405" s="20"/>
      <c r="AE405" s="21" t="str">
        <f t="shared" si="100"/>
        <v/>
      </c>
      <c r="AF405" s="21" t="str">
        <f t="shared" ref="AF405:AN405" si="410">if(not(isblank(L405)),", "&amp;L405,"")</f>
        <v/>
      </c>
      <c r="AG405" s="21" t="str">
        <f t="shared" si="410"/>
        <v/>
      </c>
      <c r="AH405" s="21" t="str">
        <f t="shared" si="410"/>
        <v/>
      </c>
      <c r="AI405" s="21" t="str">
        <f t="shared" si="410"/>
        <v/>
      </c>
      <c r="AJ405" s="21" t="str">
        <f t="shared" si="410"/>
        <v/>
      </c>
      <c r="AK405" s="21" t="str">
        <f t="shared" si="410"/>
        <v/>
      </c>
      <c r="AL405" s="21" t="str">
        <f t="shared" si="410"/>
        <v/>
      </c>
      <c r="AM405" s="21" t="str">
        <f t="shared" si="410"/>
        <v/>
      </c>
      <c r="AN405" s="21" t="str">
        <f t="shared" si="410"/>
        <v/>
      </c>
      <c r="AO405" s="21" t="str">
        <f t="shared" si="102"/>
        <v/>
      </c>
    </row>
    <row r="406" ht="16.5" customHeight="1">
      <c r="J406" s="18"/>
      <c r="K406" s="19"/>
      <c r="L406" s="20"/>
      <c r="M406" s="20"/>
      <c r="N406" s="20"/>
      <c r="O406" s="20"/>
      <c r="P406" s="20"/>
      <c r="Q406" s="20"/>
      <c r="R406" s="20"/>
      <c r="S406" s="20"/>
      <c r="T406" s="20"/>
      <c r="AE406" s="21" t="str">
        <f t="shared" si="100"/>
        <v/>
      </c>
      <c r="AF406" s="21" t="str">
        <f t="shared" ref="AF406:AN406" si="411">if(not(isblank(L406)),", "&amp;L406,"")</f>
        <v/>
      </c>
      <c r="AG406" s="21" t="str">
        <f t="shared" si="411"/>
        <v/>
      </c>
      <c r="AH406" s="21" t="str">
        <f t="shared" si="411"/>
        <v/>
      </c>
      <c r="AI406" s="21" t="str">
        <f t="shared" si="411"/>
        <v/>
      </c>
      <c r="AJ406" s="21" t="str">
        <f t="shared" si="411"/>
        <v/>
      </c>
      <c r="AK406" s="21" t="str">
        <f t="shared" si="411"/>
        <v/>
      </c>
      <c r="AL406" s="21" t="str">
        <f t="shared" si="411"/>
        <v/>
      </c>
      <c r="AM406" s="21" t="str">
        <f t="shared" si="411"/>
        <v/>
      </c>
      <c r="AN406" s="21" t="str">
        <f t="shared" si="411"/>
        <v/>
      </c>
      <c r="AO406" s="21" t="str">
        <f t="shared" si="102"/>
        <v/>
      </c>
    </row>
    <row r="407" ht="16.5" customHeight="1">
      <c r="J407" s="18"/>
      <c r="K407" s="19"/>
      <c r="L407" s="20"/>
      <c r="M407" s="20"/>
      <c r="N407" s="20"/>
      <c r="O407" s="20"/>
      <c r="P407" s="20"/>
      <c r="Q407" s="20"/>
      <c r="R407" s="20"/>
      <c r="S407" s="20"/>
      <c r="T407" s="20"/>
      <c r="AE407" s="21" t="str">
        <f t="shared" si="100"/>
        <v/>
      </c>
      <c r="AF407" s="21" t="str">
        <f t="shared" ref="AF407:AN407" si="412">if(not(isblank(L407)),", "&amp;L407,"")</f>
        <v/>
      </c>
      <c r="AG407" s="21" t="str">
        <f t="shared" si="412"/>
        <v/>
      </c>
      <c r="AH407" s="21" t="str">
        <f t="shared" si="412"/>
        <v/>
      </c>
      <c r="AI407" s="21" t="str">
        <f t="shared" si="412"/>
        <v/>
      </c>
      <c r="AJ407" s="21" t="str">
        <f t="shared" si="412"/>
        <v/>
      </c>
      <c r="AK407" s="21" t="str">
        <f t="shared" si="412"/>
        <v/>
      </c>
      <c r="AL407" s="21" t="str">
        <f t="shared" si="412"/>
        <v/>
      </c>
      <c r="AM407" s="21" t="str">
        <f t="shared" si="412"/>
        <v/>
      </c>
      <c r="AN407" s="21" t="str">
        <f t="shared" si="412"/>
        <v/>
      </c>
      <c r="AO407" s="21" t="str">
        <f t="shared" si="102"/>
        <v/>
      </c>
    </row>
    <row r="408" ht="16.5" customHeight="1">
      <c r="J408" s="18"/>
      <c r="K408" s="19"/>
      <c r="L408" s="20"/>
      <c r="M408" s="20"/>
      <c r="N408" s="20"/>
      <c r="O408" s="20"/>
      <c r="P408" s="20"/>
      <c r="Q408" s="20"/>
      <c r="R408" s="20"/>
      <c r="S408" s="20"/>
      <c r="T408" s="20"/>
      <c r="AE408" s="21" t="str">
        <f t="shared" si="100"/>
        <v/>
      </c>
      <c r="AF408" s="21" t="str">
        <f t="shared" ref="AF408:AN408" si="413">if(not(isblank(L408)),", "&amp;L408,"")</f>
        <v/>
      </c>
      <c r="AG408" s="21" t="str">
        <f t="shared" si="413"/>
        <v/>
      </c>
      <c r="AH408" s="21" t="str">
        <f t="shared" si="413"/>
        <v/>
      </c>
      <c r="AI408" s="21" t="str">
        <f t="shared" si="413"/>
        <v/>
      </c>
      <c r="AJ408" s="21" t="str">
        <f t="shared" si="413"/>
        <v/>
      </c>
      <c r="AK408" s="21" t="str">
        <f t="shared" si="413"/>
        <v/>
      </c>
      <c r="AL408" s="21" t="str">
        <f t="shared" si="413"/>
        <v/>
      </c>
      <c r="AM408" s="21" t="str">
        <f t="shared" si="413"/>
        <v/>
      </c>
      <c r="AN408" s="21" t="str">
        <f t="shared" si="413"/>
        <v/>
      </c>
      <c r="AO408" s="21" t="str">
        <f t="shared" si="102"/>
        <v/>
      </c>
    </row>
    <row r="409" ht="16.5" customHeight="1">
      <c r="J409" s="18"/>
      <c r="K409" s="19"/>
      <c r="L409" s="20"/>
      <c r="M409" s="20"/>
      <c r="N409" s="20"/>
      <c r="O409" s="20"/>
      <c r="P409" s="20"/>
      <c r="Q409" s="20"/>
      <c r="R409" s="20"/>
      <c r="S409" s="20"/>
      <c r="T409" s="20"/>
      <c r="AE409" s="21" t="str">
        <f t="shared" si="100"/>
        <v/>
      </c>
      <c r="AF409" s="21" t="str">
        <f t="shared" ref="AF409:AN409" si="414">if(not(isblank(L409)),", "&amp;L409,"")</f>
        <v/>
      </c>
      <c r="AG409" s="21" t="str">
        <f t="shared" si="414"/>
        <v/>
      </c>
      <c r="AH409" s="21" t="str">
        <f t="shared" si="414"/>
        <v/>
      </c>
      <c r="AI409" s="21" t="str">
        <f t="shared" si="414"/>
        <v/>
      </c>
      <c r="AJ409" s="21" t="str">
        <f t="shared" si="414"/>
        <v/>
      </c>
      <c r="AK409" s="21" t="str">
        <f t="shared" si="414"/>
        <v/>
      </c>
      <c r="AL409" s="21" t="str">
        <f t="shared" si="414"/>
        <v/>
      </c>
      <c r="AM409" s="21" t="str">
        <f t="shared" si="414"/>
        <v/>
      </c>
      <c r="AN409" s="21" t="str">
        <f t="shared" si="414"/>
        <v/>
      </c>
      <c r="AO409" s="21" t="str">
        <f t="shared" si="102"/>
        <v/>
      </c>
    </row>
    <row r="410" ht="16.5" customHeight="1">
      <c r="J410" s="18"/>
      <c r="K410" s="19"/>
      <c r="L410" s="20"/>
      <c r="M410" s="20"/>
      <c r="N410" s="20"/>
      <c r="O410" s="20"/>
      <c r="P410" s="20"/>
      <c r="Q410" s="20"/>
      <c r="R410" s="20"/>
      <c r="S410" s="20"/>
      <c r="T410" s="20"/>
      <c r="AE410" s="21" t="str">
        <f t="shared" si="100"/>
        <v/>
      </c>
      <c r="AF410" s="21" t="str">
        <f t="shared" ref="AF410:AN410" si="415">if(not(isblank(L410)),", "&amp;L410,"")</f>
        <v/>
      </c>
      <c r="AG410" s="21" t="str">
        <f t="shared" si="415"/>
        <v/>
      </c>
      <c r="AH410" s="21" t="str">
        <f t="shared" si="415"/>
        <v/>
      </c>
      <c r="AI410" s="21" t="str">
        <f t="shared" si="415"/>
        <v/>
      </c>
      <c r="AJ410" s="21" t="str">
        <f t="shared" si="415"/>
        <v/>
      </c>
      <c r="AK410" s="21" t="str">
        <f t="shared" si="415"/>
        <v/>
      </c>
      <c r="AL410" s="21" t="str">
        <f t="shared" si="415"/>
        <v/>
      </c>
      <c r="AM410" s="21" t="str">
        <f t="shared" si="415"/>
        <v/>
      </c>
      <c r="AN410" s="21" t="str">
        <f t="shared" si="415"/>
        <v/>
      </c>
      <c r="AO410" s="21" t="str">
        <f t="shared" si="102"/>
        <v/>
      </c>
    </row>
    <row r="411" ht="16.5" customHeight="1">
      <c r="J411" s="18"/>
      <c r="K411" s="19"/>
      <c r="L411" s="20"/>
      <c r="M411" s="20"/>
      <c r="N411" s="20"/>
      <c r="O411" s="20"/>
      <c r="P411" s="20"/>
      <c r="Q411" s="20"/>
      <c r="R411" s="20"/>
      <c r="S411" s="20"/>
      <c r="T411" s="20"/>
      <c r="AE411" s="21" t="str">
        <f t="shared" si="100"/>
        <v/>
      </c>
      <c r="AF411" s="21" t="str">
        <f t="shared" ref="AF411:AN411" si="416">if(not(isblank(L411)),", "&amp;L411,"")</f>
        <v/>
      </c>
      <c r="AG411" s="21" t="str">
        <f t="shared" si="416"/>
        <v/>
      </c>
      <c r="AH411" s="21" t="str">
        <f t="shared" si="416"/>
        <v/>
      </c>
      <c r="AI411" s="21" t="str">
        <f t="shared" si="416"/>
        <v/>
      </c>
      <c r="AJ411" s="21" t="str">
        <f t="shared" si="416"/>
        <v/>
      </c>
      <c r="AK411" s="21" t="str">
        <f t="shared" si="416"/>
        <v/>
      </c>
      <c r="AL411" s="21" t="str">
        <f t="shared" si="416"/>
        <v/>
      </c>
      <c r="AM411" s="21" t="str">
        <f t="shared" si="416"/>
        <v/>
      </c>
      <c r="AN411" s="21" t="str">
        <f t="shared" si="416"/>
        <v/>
      </c>
      <c r="AO411" s="21" t="str">
        <f t="shared" si="102"/>
        <v/>
      </c>
    </row>
    <row r="412" ht="16.5" customHeight="1">
      <c r="J412" s="18"/>
      <c r="K412" s="19"/>
      <c r="L412" s="20"/>
      <c r="M412" s="20"/>
      <c r="N412" s="20"/>
      <c r="O412" s="20"/>
      <c r="P412" s="20"/>
      <c r="Q412" s="20"/>
      <c r="R412" s="20"/>
      <c r="S412" s="20"/>
      <c r="T412" s="20"/>
      <c r="AE412" s="21" t="str">
        <f t="shared" si="100"/>
        <v/>
      </c>
      <c r="AF412" s="21" t="str">
        <f t="shared" ref="AF412:AN412" si="417">if(not(isblank(L412)),", "&amp;L412,"")</f>
        <v/>
      </c>
      <c r="AG412" s="21" t="str">
        <f t="shared" si="417"/>
        <v/>
      </c>
      <c r="AH412" s="21" t="str">
        <f t="shared" si="417"/>
        <v/>
      </c>
      <c r="AI412" s="21" t="str">
        <f t="shared" si="417"/>
        <v/>
      </c>
      <c r="AJ412" s="21" t="str">
        <f t="shared" si="417"/>
        <v/>
      </c>
      <c r="AK412" s="21" t="str">
        <f t="shared" si="417"/>
        <v/>
      </c>
      <c r="AL412" s="21" t="str">
        <f t="shared" si="417"/>
        <v/>
      </c>
      <c r="AM412" s="21" t="str">
        <f t="shared" si="417"/>
        <v/>
      </c>
      <c r="AN412" s="21" t="str">
        <f t="shared" si="417"/>
        <v/>
      </c>
      <c r="AO412" s="21" t="str">
        <f t="shared" si="102"/>
        <v/>
      </c>
    </row>
    <row r="413" ht="16.5" customHeight="1">
      <c r="J413" s="18"/>
      <c r="K413" s="19"/>
      <c r="L413" s="20"/>
      <c r="M413" s="20"/>
      <c r="N413" s="20"/>
      <c r="O413" s="20"/>
      <c r="P413" s="20"/>
      <c r="Q413" s="20"/>
      <c r="R413" s="20"/>
      <c r="S413" s="20"/>
      <c r="T413" s="20"/>
      <c r="AE413" s="21" t="str">
        <f t="shared" si="100"/>
        <v/>
      </c>
      <c r="AF413" s="21" t="str">
        <f t="shared" ref="AF413:AN413" si="418">if(not(isblank(L413)),", "&amp;L413,"")</f>
        <v/>
      </c>
      <c r="AG413" s="21" t="str">
        <f t="shared" si="418"/>
        <v/>
      </c>
      <c r="AH413" s="21" t="str">
        <f t="shared" si="418"/>
        <v/>
      </c>
      <c r="AI413" s="21" t="str">
        <f t="shared" si="418"/>
        <v/>
      </c>
      <c r="AJ413" s="21" t="str">
        <f t="shared" si="418"/>
        <v/>
      </c>
      <c r="AK413" s="21" t="str">
        <f t="shared" si="418"/>
        <v/>
      </c>
      <c r="AL413" s="21" t="str">
        <f t="shared" si="418"/>
        <v/>
      </c>
      <c r="AM413" s="21" t="str">
        <f t="shared" si="418"/>
        <v/>
      </c>
      <c r="AN413" s="21" t="str">
        <f t="shared" si="418"/>
        <v/>
      </c>
      <c r="AO413" s="21" t="str">
        <f t="shared" si="102"/>
        <v/>
      </c>
    </row>
    <row r="414" ht="16.5" customHeight="1">
      <c r="J414" s="18"/>
      <c r="K414" s="19"/>
      <c r="L414" s="20"/>
      <c r="M414" s="20"/>
      <c r="N414" s="20"/>
      <c r="O414" s="20"/>
      <c r="P414" s="20"/>
      <c r="Q414" s="20"/>
      <c r="R414" s="20"/>
      <c r="S414" s="20"/>
      <c r="T414" s="20"/>
      <c r="AE414" s="21" t="str">
        <f t="shared" si="100"/>
        <v/>
      </c>
      <c r="AF414" s="21" t="str">
        <f t="shared" ref="AF414:AN414" si="419">if(not(isblank(L414)),", "&amp;L414,"")</f>
        <v/>
      </c>
      <c r="AG414" s="21" t="str">
        <f t="shared" si="419"/>
        <v/>
      </c>
      <c r="AH414" s="21" t="str">
        <f t="shared" si="419"/>
        <v/>
      </c>
      <c r="AI414" s="21" t="str">
        <f t="shared" si="419"/>
        <v/>
      </c>
      <c r="AJ414" s="21" t="str">
        <f t="shared" si="419"/>
        <v/>
      </c>
      <c r="AK414" s="21" t="str">
        <f t="shared" si="419"/>
        <v/>
      </c>
      <c r="AL414" s="21" t="str">
        <f t="shared" si="419"/>
        <v/>
      </c>
      <c r="AM414" s="21" t="str">
        <f t="shared" si="419"/>
        <v/>
      </c>
      <c r="AN414" s="21" t="str">
        <f t="shared" si="419"/>
        <v/>
      </c>
      <c r="AO414" s="21" t="str">
        <f t="shared" si="102"/>
        <v/>
      </c>
    </row>
    <row r="415" ht="16.5" customHeight="1">
      <c r="J415" s="18"/>
      <c r="K415" s="19"/>
      <c r="L415" s="20"/>
      <c r="M415" s="20"/>
      <c r="N415" s="20"/>
      <c r="O415" s="20"/>
      <c r="P415" s="20"/>
      <c r="Q415" s="20"/>
      <c r="R415" s="20"/>
      <c r="S415" s="20"/>
      <c r="T415" s="20"/>
      <c r="AE415" s="21" t="str">
        <f t="shared" si="100"/>
        <v/>
      </c>
      <c r="AF415" s="21" t="str">
        <f t="shared" ref="AF415:AN415" si="420">if(not(isblank(L415)),", "&amp;L415,"")</f>
        <v/>
      </c>
      <c r="AG415" s="21" t="str">
        <f t="shared" si="420"/>
        <v/>
      </c>
      <c r="AH415" s="21" t="str">
        <f t="shared" si="420"/>
        <v/>
      </c>
      <c r="AI415" s="21" t="str">
        <f t="shared" si="420"/>
        <v/>
      </c>
      <c r="AJ415" s="21" t="str">
        <f t="shared" si="420"/>
        <v/>
      </c>
      <c r="AK415" s="21" t="str">
        <f t="shared" si="420"/>
        <v/>
      </c>
      <c r="AL415" s="21" t="str">
        <f t="shared" si="420"/>
        <v/>
      </c>
      <c r="AM415" s="21" t="str">
        <f t="shared" si="420"/>
        <v/>
      </c>
      <c r="AN415" s="21" t="str">
        <f t="shared" si="420"/>
        <v/>
      </c>
      <c r="AO415" s="21" t="str">
        <f t="shared" si="102"/>
        <v/>
      </c>
    </row>
    <row r="416" ht="16.5" customHeight="1">
      <c r="J416" s="18"/>
      <c r="K416" s="19"/>
      <c r="L416" s="20"/>
      <c r="M416" s="20"/>
      <c r="N416" s="20"/>
      <c r="O416" s="20"/>
      <c r="P416" s="20"/>
      <c r="Q416" s="20"/>
      <c r="R416" s="20"/>
      <c r="S416" s="20"/>
      <c r="T416" s="20"/>
      <c r="AE416" s="21" t="str">
        <f t="shared" si="100"/>
        <v/>
      </c>
      <c r="AF416" s="21" t="str">
        <f t="shared" ref="AF416:AN416" si="421">if(not(isblank(L416)),", "&amp;L416,"")</f>
        <v/>
      </c>
      <c r="AG416" s="21" t="str">
        <f t="shared" si="421"/>
        <v/>
      </c>
      <c r="AH416" s="21" t="str">
        <f t="shared" si="421"/>
        <v/>
      </c>
      <c r="AI416" s="21" t="str">
        <f t="shared" si="421"/>
        <v/>
      </c>
      <c r="AJ416" s="21" t="str">
        <f t="shared" si="421"/>
        <v/>
      </c>
      <c r="AK416" s="21" t="str">
        <f t="shared" si="421"/>
        <v/>
      </c>
      <c r="AL416" s="21" t="str">
        <f t="shared" si="421"/>
        <v/>
      </c>
      <c r="AM416" s="21" t="str">
        <f t="shared" si="421"/>
        <v/>
      </c>
      <c r="AN416" s="21" t="str">
        <f t="shared" si="421"/>
        <v/>
      </c>
      <c r="AO416" s="21" t="str">
        <f t="shared" si="102"/>
        <v/>
      </c>
    </row>
    <row r="417" ht="16.5" customHeight="1">
      <c r="J417" s="18"/>
      <c r="K417" s="19"/>
      <c r="L417" s="20"/>
      <c r="M417" s="20"/>
      <c r="N417" s="20"/>
      <c r="O417" s="20"/>
      <c r="P417" s="20"/>
      <c r="Q417" s="20"/>
      <c r="R417" s="20"/>
      <c r="S417" s="20"/>
      <c r="T417" s="20"/>
      <c r="AE417" s="21" t="str">
        <f t="shared" si="100"/>
        <v/>
      </c>
      <c r="AF417" s="21" t="str">
        <f t="shared" ref="AF417:AN417" si="422">if(not(isblank(L417)),", "&amp;L417,"")</f>
        <v/>
      </c>
      <c r="AG417" s="21" t="str">
        <f t="shared" si="422"/>
        <v/>
      </c>
      <c r="AH417" s="21" t="str">
        <f t="shared" si="422"/>
        <v/>
      </c>
      <c r="AI417" s="21" t="str">
        <f t="shared" si="422"/>
        <v/>
      </c>
      <c r="AJ417" s="21" t="str">
        <f t="shared" si="422"/>
        <v/>
      </c>
      <c r="AK417" s="21" t="str">
        <f t="shared" si="422"/>
        <v/>
      </c>
      <c r="AL417" s="21" t="str">
        <f t="shared" si="422"/>
        <v/>
      </c>
      <c r="AM417" s="21" t="str">
        <f t="shared" si="422"/>
        <v/>
      </c>
      <c r="AN417" s="21" t="str">
        <f t="shared" si="422"/>
        <v/>
      </c>
      <c r="AO417" s="21" t="str">
        <f t="shared" si="102"/>
        <v/>
      </c>
    </row>
    <row r="418" ht="16.5" customHeight="1">
      <c r="J418" s="18"/>
      <c r="K418" s="19"/>
      <c r="L418" s="20"/>
      <c r="M418" s="20"/>
      <c r="N418" s="20"/>
      <c r="O418" s="20"/>
      <c r="P418" s="20"/>
      <c r="Q418" s="20"/>
      <c r="R418" s="20"/>
      <c r="S418" s="20"/>
      <c r="T418" s="20"/>
      <c r="AE418" s="21" t="str">
        <f t="shared" si="100"/>
        <v/>
      </c>
      <c r="AF418" s="21" t="str">
        <f t="shared" ref="AF418:AN418" si="423">if(not(isblank(L418)),", "&amp;L418,"")</f>
        <v/>
      </c>
      <c r="AG418" s="21" t="str">
        <f t="shared" si="423"/>
        <v/>
      </c>
      <c r="AH418" s="21" t="str">
        <f t="shared" si="423"/>
        <v/>
      </c>
      <c r="AI418" s="21" t="str">
        <f t="shared" si="423"/>
        <v/>
      </c>
      <c r="AJ418" s="21" t="str">
        <f t="shared" si="423"/>
        <v/>
      </c>
      <c r="AK418" s="21" t="str">
        <f t="shared" si="423"/>
        <v/>
      </c>
      <c r="AL418" s="21" t="str">
        <f t="shared" si="423"/>
        <v/>
      </c>
      <c r="AM418" s="21" t="str">
        <f t="shared" si="423"/>
        <v/>
      </c>
      <c r="AN418" s="21" t="str">
        <f t="shared" si="423"/>
        <v/>
      </c>
      <c r="AO418" s="21" t="str">
        <f t="shared" si="102"/>
        <v/>
      </c>
    </row>
    <row r="419" ht="16.5" customHeight="1">
      <c r="J419" s="18"/>
      <c r="K419" s="19"/>
      <c r="L419" s="20"/>
      <c r="M419" s="20"/>
      <c r="N419" s="20"/>
      <c r="O419" s="20"/>
      <c r="P419" s="20"/>
      <c r="Q419" s="20"/>
      <c r="R419" s="20"/>
      <c r="S419" s="20"/>
      <c r="T419" s="20"/>
      <c r="AE419" s="21" t="str">
        <f t="shared" si="100"/>
        <v/>
      </c>
      <c r="AF419" s="21" t="str">
        <f t="shared" ref="AF419:AN419" si="424">if(not(isblank(L419)),", "&amp;L419,"")</f>
        <v/>
      </c>
      <c r="AG419" s="21" t="str">
        <f t="shared" si="424"/>
        <v/>
      </c>
      <c r="AH419" s="21" t="str">
        <f t="shared" si="424"/>
        <v/>
      </c>
      <c r="AI419" s="21" t="str">
        <f t="shared" si="424"/>
        <v/>
      </c>
      <c r="AJ419" s="21" t="str">
        <f t="shared" si="424"/>
        <v/>
      </c>
      <c r="AK419" s="21" t="str">
        <f t="shared" si="424"/>
        <v/>
      </c>
      <c r="AL419" s="21" t="str">
        <f t="shared" si="424"/>
        <v/>
      </c>
      <c r="AM419" s="21" t="str">
        <f t="shared" si="424"/>
        <v/>
      </c>
      <c r="AN419" s="21" t="str">
        <f t="shared" si="424"/>
        <v/>
      </c>
      <c r="AO419" s="21" t="str">
        <f t="shared" si="102"/>
        <v/>
      </c>
    </row>
    <row r="420" ht="16.5" customHeight="1">
      <c r="J420" s="18"/>
      <c r="K420" s="19"/>
      <c r="L420" s="20"/>
      <c r="M420" s="20"/>
      <c r="N420" s="20"/>
      <c r="O420" s="20"/>
      <c r="P420" s="20"/>
      <c r="Q420" s="20"/>
      <c r="R420" s="20"/>
      <c r="S420" s="20"/>
      <c r="T420" s="20"/>
      <c r="AE420" s="21" t="str">
        <f t="shared" si="100"/>
        <v/>
      </c>
      <c r="AF420" s="21" t="str">
        <f t="shared" ref="AF420:AN420" si="425">if(not(isblank(L420)),", "&amp;L420,"")</f>
        <v/>
      </c>
      <c r="AG420" s="21" t="str">
        <f t="shared" si="425"/>
        <v/>
      </c>
      <c r="AH420" s="21" t="str">
        <f t="shared" si="425"/>
        <v/>
      </c>
      <c r="AI420" s="21" t="str">
        <f t="shared" si="425"/>
        <v/>
      </c>
      <c r="AJ420" s="21" t="str">
        <f t="shared" si="425"/>
        <v/>
      </c>
      <c r="AK420" s="21" t="str">
        <f t="shared" si="425"/>
        <v/>
      </c>
      <c r="AL420" s="21" t="str">
        <f t="shared" si="425"/>
        <v/>
      </c>
      <c r="AM420" s="21" t="str">
        <f t="shared" si="425"/>
        <v/>
      </c>
      <c r="AN420" s="21" t="str">
        <f t="shared" si="425"/>
        <v/>
      </c>
      <c r="AO420" s="21" t="str">
        <f t="shared" si="102"/>
        <v/>
      </c>
    </row>
    <row r="421" ht="16.5" customHeight="1">
      <c r="J421" s="18"/>
      <c r="K421" s="19"/>
      <c r="L421" s="20"/>
      <c r="M421" s="20"/>
      <c r="N421" s="20"/>
      <c r="O421" s="20"/>
      <c r="P421" s="20"/>
      <c r="Q421" s="20"/>
      <c r="R421" s="20"/>
      <c r="S421" s="20"/>
      <c r="T421" s="20"/>
      <c r="AE421" s="21" t="str">
        <f t="shared" si="100"/>
        <v/>
      </c>
      <c r="AF421" s="21" t="str">
        <f t="shared" ref="AF421:AN421" si="426">if(not(isblank(L421)),", "&amp;L421,"")</f>
        <v/>
      </c>
      <c r="AG421" s="21" t="str">
        <f t="shared" si="426"/>
        <v/>
      </c>
      <c r="AH421" s="21" t="str">
        <f t="shared" si="426"/>
        <v/>
      </c>
      <c r="AI421" s="21" t="str">
        <f t="shared" si="426"/>
        <v/>
      </c>
      <c r="AJ421" s="21" t="str">
        <f t="shared" si="426"/>
        <v/>
      </c>
      <c r="AK421" s="21" t="str">
        <f t="shared" si="426"/>
        <v/>
      </c>
      <c r="AL421" s="21" t="str">
        <f t="shared" si="426"/>
        <v/>
      </c>
      <c r="AM421" s="21" t="str">
        <f t="shared" si="426"/>
        <v/>
      </c>
      <c r="AN421" s="21" t="str">
        <f t="shared" si="426"/>
        <v/>
      </c>
      <c r="AO421" s="21" t="str">
        <f t="shared" si="102"/>
        <v/>
      </c>
    </row>
    <row r="422" ht="16.5" customHeight="1">
      <c r="J422" s="18"/>
      <c r="K422" s="19"/>
      <c r="L422" s="20"/>
      <c r="M422" s="20"/>
      <c r="N422" s="20"/>
      <c r="O422" s="20"/>
      <c r="P422" s="20"/>
      <c r="Q422" s="20"/>
      <c r="R422" s="20"/>
      <c r="S422" s="20"/>
      <c r="T422" s="20"/>
      <c r="AE422" s="21" t="str">
        <f t="shared" si="100"/>
        <v/>
      </c>
      <c r="AF422" s="21" t="str">
        <f t="shared" ref="AF422:AN422" si="427">if(not(isblank(L422)),", "&amp;L422,"")</f>
        <v/>
      </c>
      <c r="AG422" s="21" t="str">
        <f t="shared" si="427"/>
        <v/>
      </c>
      <c r="AH422" s="21" t="str">
        <f t="shared" si="427"/>
        <v/>
      </c>
      <c r="AI422" s="21" t="str">
        <f t="shared" si="427"/>
        <v/>
      </c>
      <c r="AJ422" s="21" t="str">
        <f t="shared" si="427"/>
        <v/>
      </c>
      <c r="AK422" s="21" t="str">
        <f t="shared" si="427"/>
        <v/>
      </c>
      <c r="AL422" s="21" t="str">
        <f t="shared" si="427"/>
        <v/>
      </c>
      <c r="AM422" s="21" t="str">
        <f t="shared" si="427"/>
        <v/>
      </c>
      <c r="AN422" s="21" t="str">
        <f t="shared" si="427"/>
        <v/>
      </c>
      <c r="AO422" s="21" t="str">
        <f t="shared" si="102"/>
        <v/>
      </c>
    </row>
    <row r="423" ht="16.5" customHeight="1">
      <c r="J423" s="18"/>
      <c r="K423" s="19"/>
      <c r="L423" s="20"/>
      <c r="M423" s="20"/>
      <c r="N423" s="20"/>
      <c r="O423" s="20"/>
      <c r="P423" s="20"/>
      <c r="Q423" s="20"/>
      <c r="R423" s="20"/>
      <c r="S423" s="20"/>
      <c r="T423" s="20"/>
      <c r="AE423" s="21" t="str">
        <f t="shared" si="100"/>
        <v/>
      </c>
      <c r="AF423" s="21" t="str">
        <f t="shared" ref="AF423:AN423" si="428">if(not(isblank(L423)),", "&amp;L423,"")</f>
        <v/>
      </c>
      <c r="AG423" s="21" t="str">
        <f t="shared" si="428"/>
        <v/>
      </c>
      <c r="AH423" s="21" t="str">
        <f t="shared" si="428"/>
        <v/>
      </c>
      <c r="AI423" s="21" t="str">
        <f t="shared" si="428"/>
        <v/>
      </c>
      <c r="AJ423" s="21" t="str">
        <f t="shared" si="428"/>
        <v/>
      </c>
      <c r="AK423" s="21" t="str">
        <f t="shared" si="428"/>
        <v/>
      </c>
      <c r="AL423" s="21" t="str">
        <f t="shared" si="428"/>
        <v/>
      </c>
      <c r="AM423" s="21" t="str">
        <f t="shared" si="428"/>
        <v/>
      </c>
      <c r="AN423" s="21" t="str">
        <f t="shared" si="428"/>
        <v/>
      </c>
      <c r="AO423" s="21" t="str">
        <f t="shared" si="102"/>
        <v/>
      </c>
    </row>
    <row r="424" ht="16.5" customHeight="1">
      <c r="J424" s="18"/>
      <c r="K424" s="19"/>
      <c r="L424" s="20"/>
      <c r="M424" s="20"/>
      <c r="N424" s="20"/>
      <c r="O424" s="20"/>
      <c r="P424" s="20"/>
      <c r="Q424" s="20"/>
      <c r="R424" s="20"/>
      <c r="S424" s="20"/>
      <c r="T424" s="20"/>
      <c r="AE424" s="21" t="str">
        <f t="shared" si="100"/>
        <v/>
      </c>
      <c r="AF424" s="21" t="str">
        <f t="shared" ref="AF424:AN424" si="429">if(not(isblank(L424)),", "&amp;L424,"")</f>
        <v/>
      </c>
      <c r="AG424" s="21" t="str">
        <f t="shared" si="429"/>
        <v/>
      </c>
      <c r="AH424" s="21" t="str">
        <f t="shared" si="429"/>
        <v/>
      </c>
      <c r="AI424" s="21" t="str">
        <f t="shared" si="429"/>
        <v/>
      </c>
      <c r="AJ424" s="21" t="str">
        <f t="shared" si="429"/>
        <v/>
      </c>
      <c r="AK424" s="21" t="str">
        <f t="shared" si="429"/>
        <v/>
      </c>
      <c r="AL424" s="21" t="str">
        <f t="shared" si="429"/>
        <v/>
      </c>
      <c r="AM424" s="21" t="str">
        <f t="shared" si="429"/>
        <v/>
      </c>
      <c r="AN424" s="21" t="str">
        <f t="shared" si="429"/>
        <v/>
      </c>
      <c r="AO424" s="21" t="str">
        <f t="shared" si="102"/>
        <v/>
      </c>
    </row>
    <row r="425" ht="16.5" customHeight="1">
      <c r="J425" s="18"/>
      <c r="K425" s="19"/>
      <c r="L425" s="20"/>
      <c r="M425" s="20"/>
      <c r="N425" s="20"/>
      <c r="O425" s="20"/>
      <c r="P425" s="20"/>
      <c r="Q425" s="20"/>
      <c r="R425" s="20"/>
      <c r="S425" s="20"/>
      <c r="T425" s="20"/>
      <c r="AE425" s="21" t="str">
        <f t="shared" si="100"/>
        <v/>
      </c>
      <c r="AF425" s="21" t="str">
        <f t="shared" ref="AF425:AN425" si="430">if(not(isblank(L425)),", "&amp;L425,"")</f>
        <v/>
      </c>
      <c r="AG425" s="21" t="str">
        <f t="shared" si="430"/>
        <v/>
      </c>
      <c r="AH425" s="21" t="str">
        <f t="shared" si="430"/>
        <v/>
      </c>
      <c r="AI425" s="21" t="str">
        <f t="shared" si="430"/>
        <v/>
      </c>
      <c r="AJ425" s="21" t="str">
        <f t="shared" si="430"/>
        <v/>
      </c>
      <c r="AK425" s="21" t="str">
        <f t="shared" si="430"/>
        <v/>
      </c>
      <c r="AL425" s="21" t="str">
        <f t="shared" si="430"/>
        <v/>
      </c>
      <c r="AM425" s="21" t="str">
        <f t="shared" si="430"/>
        <v/>
      </c>
      <c r="AN425" s="21" t="str">
        <f t="shared" si="430"/>
        <v/>
      </c>
      <c r="AO425" s="21" t="str">
        <f t="shared" si="102"/>
        <v/>
      </c>
    </row>
    <row r="426" ht="16.5" customHeight="1">
      <c r="J426" s="18"/>
      <c r="K426" s="19"/>
      <c r="L426" s="20"/>
      <c r="M426" s="20"/>
      <c r="N426" s="20"/>
      <c r="O426" s="20"/>
      <c r="P426" s="20"/>
      <c r="Q426" s="20"/>
      <c r="R426" s="20"/>
      <c r="S426" s="20"/>
      <c r="T426" s="20"/>
      <c r="AE426" s="21" t="str">
        <f t="shared" si="100"/>
        <v/>
      </c>
      <c r="AF426" s="21" t="str">
        <f t="shared" ref="AF426:AN426" si="431">if(not(isblank(L426)),", "&amp;L426,"")</f>
        <v/>
      </c>
      <c r="AG426" s="21" t="str">
        <f t="shared" si="431"/>
        <v/>
      </c>
      <c r="AH426" s="21" t="str">
        <f t="shared" si="431"/>
        <v/>
      </c>
      <c r="AI426" s="21" t="str">
        <f t="shared" si="431"/>
        <v/>
      </c>
      <c r="AJ426" s="21" t="str">
        <f t="shared" si="431"/>
        <v/>
      </c>
      <c r="AK426" s="21" t="str">
        <f t="shared" si="431"/>
        <v/>
      </c>
      <c r="AL426" s="21" t="str">
        <f t="shared" si="431"/>
        <v/>
      </c>
      <c r="AM426" s="21" t="str">
        <f t="shared" si="431"/>
        <v/>
      </c>
      <c r="AN426" s="21" t="str">
        <f t="shared" si="431"/>
        <v/>
      </c>
      <c r="AO426" s="21" t="str">
        <f t="shared" si="102"/>
        <v/>
      </c>
    </row>
    <row r="427" ht="16.5" customHeight="1">
      <c r="J427" s="18"/>
      <c r="K427" s="19"/>
      <c r="L427" s="20"/>
      <c r="M427" s="20"/>
      <c r="N427" s="20"/>
      <c r="O427" s="20"/>
      <c r="P427" s="20"/>
      <c r="Q427" s="20"/>
      <c r="R427" s="20"/>
      <c r="S427" s="20"/>
      <c r="T427" s="20"/>
      <c r="AE427" s="21" t="str">
        <f t="shared" si="100"/>
        <v/>
      </c>
      <c r="AF427" s="21" t="str">
        <f t="shared" ref="AF427:AN427" si="432">if(not(isblank(L427)),", "&amp;L427,"")</f>
        <v/>
      </c>
      <c r="AG427" s="21" t="str">
        <f t="shared" si="432"/>
        <v/>
      </c>
      <c r="AH427" s="21" t="str">
        <f t="shared" si="432"/>
        <v/>
      </c>
      <c r="AI427" s="21" t="str">
        <f t="shared" si="432"/>
        <v/>
      </c>
      <c r="AJ427" s="21" t="str">
        <f t="shared" si="432"/>
        <v/>
      </c>
      <c r="AK427" s="21" t="str">
        <f t="shared" si="432"/>
        <v/>
      </c>
      <c r="AL427" s="21" t="str">
        <f t="shared" si="432"/>
        <v/>
      </c>
      <c r="AM427" s="21" t="str">
        <f t="shared" si="432"/>
        <v/>
      </c>
      <c r="AN427" s="21" t="str">
        <f t="shared" si="432"/>
        <v/>
      </c>
      <c r="AO427" s="21" t="str">
        <f t="shared" si="102"/>
        <v/>
      </c>
    </row>
    <row r="428" ht="16.5" customHeight="1">
      <c r="J428" s="18"/>
      <c r="K428" s="19"/>
      <c r="L428" s="20"/>
      <c r="M428" s="20"/>
      <c r="N428" s="20"/>
      <c r="O428" s="20"/>
      <c r="P428" s="20"/>
      <c r="Q428" s="20"/>
      <c r="R428" s="20"/>
      <c r="S428" s="20"/>
      <c r="T428" s="20"/>
      <c r="AE428" s="21" t="str">
        <f t="shared" si="100"/>
        <v/>
      </c>
      <c r="AF428" s="21" t="str">
        <f t="shared" ref="AF428:AN428" si="433">if(not(isblank(L428)),", "&amp;L428,"")</f>
        <v/>
      </c>
      <c r="AG428" s="21" t="str">
        <f t="shared" si="433"/>
        <v/>
      </c>
      <c r="AH428" s="21" t="str">
        <f t="shared" si="433"/>
        <v/>
      </c>
      <c r="AI428" s="21" t="str">
        <f t="shared" si="433"/>
        <v/>
      </c>
      <c r="AJ428" s="21" t="str">
        <f t="shared" si="433"/>
        <v/>
      </c>
      <c r="AK428" s="21" t="str">
        <f t="shared" si="433"/>
        <v/>
      </c>
      <c r="AL428" s="21" t="str">
        <f t="shared" si="433"/>
        <v/>
      </c>
      <c r="AM428" s="21" t="str">
        <f t="shared" si="433"/>
        <v/>
      </c>
      <c r="AN428" s="21" t="str">
        <f t="shared" si="433"/>
        <v/>
      </c>
      <c r="AO428" s="21" t="str">
        <f t="shared" si="102"/>
        <v/>
      </c>
    </row>
    <row r="429" ht="16.5" customHeight="1">
      <c r="J429" s="18"/>
      <c r="K429" s="19"/>
      <c r="L429" s="20"/>
      <c r="M429" s="20"/>
      <c r="N429" s="20"/>
      <c r="O429" s="20"/>
      <c r="P429" s="20"/>
      <c r="Q429" s="20"/>
      <c r="R429" s="20"/>
      <c r="S429" s="20"/>
      <c r="T429" s="20"/>
      <c r="AE429" s="21" t="str">
        <f t="shared" si="100"/>
        <v/>
      </c>
      <c r="AF429" s="21" t="str">
        <f t="shared" ref="AF429:AN429" si="434">if(not(isblank(L429)),", "&amp;L429,"")</f>
        <v/>
      </c>
      <c r="AG429" s="21" t="str">
        <f t="shared" si="434"/>
        <v/>
      </c>
      <c r="AH429" s="21" t="str">
        <f t="shared" si="434"/>
        <v/>
      </c>
      <c r="AI429" s="21" t="str">
        <f t="shared" si="434"/>
        <v/>
      </c>
      <c r="AJ429" s="21" t="str">
        <f t="shared" si="434"/>
        <v/>
      </c>
      <c r="AK429" s="21" t="str">
        <f t="shared" si="434"/>
        <v/>
      </c>
      <c r="AL429" s="21" t="str">
        <f t="shared" si="434"/>
        <v/>
      </c>
      <c r="AM429" s="21" t="str">
        <f t="shared" si="434"/>
        <v/>
      </c>
      <c r="AN429" s="21" t="str">
        <f t="shared" si="434"/>
        <v/>
      </c>
      <c r="AO429" s="21" t="str">
        <f t="shared" si="102"/>
        <v/>
      </c>
    </row>
    <row r="430" ht="16.5" customHeight="1">
      <c r="J430" s="18"/>
      <c r="K430" s="19"/>
      <c r="L430" s="20"/>
      <c r="M430" s="20"/>
      <c r="N430" s="20"/>
      <c r="O430" s="20"/>
      <c r="P430" s="20"/>
      <c r="Q430" s="20"/>
      <c r="R430" s="20"/>
      <c r="S430" s="20"/>
      <c r="T430" s="20"/>
      <c r="AE430" s="21" t="str">
        <f t="shared" si="100"/>
        <v/>
      </c>
      <c r="AF430" s="21" t="str">
        <f t="shared" ref="AF430:AN430" si="435">if(not(isblank(L430)),", "&amp;L430,"")</f>
        <v/>
      </c>
      <c r="AG430" s="21" t="str">
        <f t="shared" si="435"/>
        <v/>
      </c>
      <c r="AH430" s="21" t="str">
        <f t="shared" si="435"/>
        <v/>
      </c>
      <c r="AI430" s="21" t="str">
        <f t="shared" si="435"/>
        <v/>
      </c>
      <c r="AJ430" s="21" t="str">
        <f t="shared" si="435"/>
        <v/>
      </c>
      <c r="AK430" s="21" t="str">
        <f t="shared" si="435"/>
        <v/>
      </c>
      <c r="AL430" s="21" t="str">
        <f t="shared" si="435"/>
        <v/>
      </c>
      <c r="AM430" s="21" t="str">
        <f t="shared" si="435"/>
        <v/>
      </c>
      <c r="AN430" s="21" t="str">
        <f t="shared" si="435"/>
        <v/>
      </c>
      <c r="AO430" s="21" t="str">
        <f t="shared" si="102"/>
        <v/>
      </c>
    </row>
    <row r="431" ht="16.5" customHeight="1">
      <c r="J431" s="18"/>
      <c r="K431" s="19"/>
      <c r="L431" s="20"/>
      <c r="M431" s="20"/>
      <c r="N431" s="20"/>
      <c r="O431" s="20"/>
      <c r="P431" s="20"/>
      <c r="Q431" s="20"/>
      <c r="R431" s="20"/>
      <c r="S431" s="20"/>
      <c r="T431" s="20"/>
      <c r="AE431" s="21" t="str">
        <f t="shared" si="100"/>
        <v/>
      </c>
      <c r="AF431" s="21" t="str">
        <f t="shared" ref="AF431:AN431" si="436">if(not(isblank(L431)),", "&amp;L431,"")</f>
        <v/>
      </c>
      <c r="AG431" s="21" t="str">
        <f t="shared" si="436"/>
        <v/>
      </c>
      <c r="AH431" s="21" t="str">
        <f t="shared" si="436"/>
        <v/>
      </c>
      <c r="AI431" s="21" t="str">
        <f t="shared" si="436"/>
        <v/>
      </c>
      <c r="AJ431" s="21" t="str">
        <f t="shared" si="436"/>
        <v/>
      </c>
      <c r="AK431" s="21" t="str">
        <f t="shared" si="436"/>
        <v/>
      </c>
      <c r="AL431" s="21" t="str">
        <f t="shared" si="436"/>
        <v/>
      </c>
      <c r="AM431" s="21" t="str">
        <f t="shared" si="436"/>
        <v/>
      </c>
      <c r="AN431" s="21" t="str">
        <f t="shared" si="436"/>
        <v/>
      </c>
      <c r="AO431" s="21" t="str">
        <f t="shared" si="102"/>
        <v/>
      </c>
    </row>
    <row r="432" ht="16.5" customHeight="1">
      <c r="J432" s="18"/>
      <c r="K432" s="19"/>
      <c r="L432" s="20"/>
      <c r="M432" s="20"/>
      <c r="N432" s="20"/>
      <c r="O432" s="20"/>
      <c r="P432" s="20"/>
      <c r="Q432" s="20"/>
      <c r="R432" s="20"/>
      <c r="S432" s="20"/>
      <c r="T432" s="20"/>
      <c r="AE432" s="21" t="str">
        <f t="shared" si="100"/>
        <v/>
      </c>
      <c r="AF432" s="21" t="str">
        <f t="shared" ref="AF432:AN432" si="437">if(not(isblank(L432)),", "&amp;L432,"")</f>
        <v/>
      </c>
      <c r="AG432" s="21" t="str">
        <f t="shared" si="437"/>
        <v/>
      </c>
      <c r="AH432" s="21" t="str">
        <f t="shared" si="437"/>
        <v/>
      </c>
      <c r="AI432" s="21" t="str">
        <f t="shared" si="437"/>
        <v/>
      </c>
      <c r="AJ432" s="21" t="str">
        <f t="shared" si="437"/>
        <v/>
      </c>
      <c r="AK432" s="21" t="str">
        <f t="shared" si="437"/>
        <v/>
      </c>
      <c r="AL432" s="21" t="str">
        <f t="shared" si="437"/>
        <v/>
      </c>
      <c r="AM432" s="21" t="str">
        <f t="shared" si="437"/>
        <v/>
      </c>
      <c r="AN432" s="21" t="str">
        <f t="shared" si="437"/>
        <v/>
      </c>
      <c r="AO432" s="21" t="str">
        <f t="shared" si="102"/>
        <v/>
      </c>
    </row>
    <row r="433" ht="16.5" customHeight="1">
      <c r="J433" s="18"/>
      <c r="K433" s="19"/>
      <c r="L433" s="20"/>
      <c r="M433" s="20"/>
      <c r="N433" s="20"/>
      <c r="O433" s="20"/>
      <c r="P433" s="20"/>
      <c r="Q433" s="20"/>
      <c r="R433" s="20"/>
      <c r="S433" s="20"/>
      <c r="T433" s="20"/>
      <c r="AE433" s="21" t="str">
        <f t="shared" si="100"/>
        <v/>
      </c>
      <c r="AF433" s="21" t="str">
        <f t="shared" ref="AF433:AN433" si="438">if(not(isblank(L433)),", "&amp;L433,"")</f>
        <v/>
      </c>
      <c r="AG433" s="21" t="str">
        <f t="shared" si="438"/>
        <v/>
      </c>
      <c r="AH433" s="21" t="str">
        <f t="shared" si="438"/>
        <v/>
      </c>
      <c r="AI433" s="21" t="str">
        <f t="shared" si="438"/>
        <v/>
      </c>
      <c r="AJ433" s="21" t="str">
        <f t="shared" si="438"/>
        <v/>
      </c>
      <c r="AK433" s="21" t="str">
        <f t="shared" si="438"/>
        <v/>
      </c>
      <c r="AL433" s="21" t="str">
        <f t="shared" si="438"/>
        <v/>
      </c>
      <c r="AM433" s="21" t="str">
        <f t="shared" si="438"/>
        <v/>
      </c>
      <c r="AN433" s="21" t="str">
        <f t="shared" si="438"/>
        <v/>
      </c>
      <c r="AO433" s="21" t="str">
        <f t="shared" si="102"/>
        <v/>
      </c>
    </row>
    <row r="434" ht="16.5" customHeight="1">
      <c r="J434" s="18"/>
      <c r="K434" s="19"/>
      <c r="L434" s="20"/>
      <c r="M434" s="20"/>
      <c r="N434" s="20"/>
      <c r="O434" s="20"/>
      <c r="P434" s="20"/>
      <c r="Q434" s="20"/>
      <c r="R434" s="20"/>
      <c r="S434" s="20"/>
      <c r="T434" s="20"/>
      <c r="AE434" s="21" t="str">
        <f t="shared" si="100"/>
        <v/>
      </c>
      <c r="AF434" s="21" t="str">
        <f t="shared" ref="AF434:AN434" si="439">if(not(isblank(L434)),", "&amp;L434,"")</f>
        <v/>
      </c>
      <c r="AG434" s="21" t="str">
        <f t="shared" si="439"/>
        <v/>
      </c>
      <c r="AH434" s="21" t="str">
        <f t="shared" si="439"/>
        <v/>
      </c>
      <c r="AI434" s="21" t="str">
        <f t="shared" si="439"/>
        <v/>
      </c>
      <c r="AJ434" s="21" t="str">
        <f t="shared" si="439"/>
        <v/>
      </c>
      <c r="AK434" s="21" t="str">
        <f t="shared" si="439"/>
        <v/>
      </c>
      <c r="AL434" s="21" t="str">
        <f t="shared" si="439"/>
        <v/>
      </c>
      <c r="AM434" s="21" t="str">
        <f t="shared" si="439"/>
        <v/>
      </c>
      <c r="AN434" s="21" t="str">
        <f t="shared" si="439"/>
        <v/>
      </c>
      <c r="AO434" s="21" t="str">
        <f t="shared" si="102"/>
        <v/>
      </c>
    </row>
    <row r="435" ht="16.5" customHeight="1">
      <c r="J435" s="18"/>
      <c r="K435" s="19"/>
      <c r="L435" s="20"/>
      <c r="M435" s="20"/>
      <c r="N435" s="20"/>
      <c r="O435" s="20"/>
      <c r="P435" s="20"/>
      <c r="Q435" s="20"/>
      <c r="R435" s="20"/>
      <c r="S435" s="20"/>
      <c r="T435" s="20"/>
      <c r="AE435" s="21" t="str">
        <f t="shared" si="100"/>
        <v/>
      </c>
      <c r="AF435" s="21" t="str">
        <f t="shared" ref="AF435:AN435" si="440">if(not(isblank(L435)),", "&amp;L435,"")</f>
        <v/>
      </c>
      <c r="AG435" s="21" t="str">
        <f t="shared" si="440"/>
        <v/>
      </c>
      <c r="AH435" s="21" t="str">
        <f t="shared" si="440"/>
        <v/>
      </c>
      <c r="AI435" s="21" t="str">
        <f t="shared" si="440"/>
        <v/>
      </c>
      <c r="AJ435" s="21" t="str">
        <f t="shared" si="440"/>
        <v/>
      </c>
      <c r="AK435" s="21" t="str">
        <f t="shared" si="440"/>
        <v/>
      </c>
      <c r="AL435" s="21" t="str">
        <f t="shared" si="440"/>
        <v/>
      </c>
      <c r="AM435" s="21" t="str">
        <f t="shared" si="440"/>
        <v/>
      </c>
      <c r="AN435" s="21" t="str">
        <f t="shared" si="440"/>
        <v/>
      </c>
      <c r="AO435" s="21" t="str">
        <f t="shared" si="102"/>
        <v/>
      </c>
    </row>
    <row r="436" ht="16.5" customHeight="1">
      <c r="J436" s="18"/>
      <c r="K436" s="19"/>
      <c r="L436" s="20"/>
      <c r="M436" s="20"/>
      <c r="N436" s="20"/>
      <c r="O436" s="20"/>
      <c r="P436" s="20"/>
      <c r="Q436" s="20"/>
      <c r="R436" s="20"/>
      <c r="S436" s="20"/>
      <c r="T436" s="20"/>
      <c r="AE436" s="21" t="str">
        <f t="shared" si="100"/>
        <v/>
      </c>
      <c r="AF436" s="21" t="str">
        <f t="shared" ref="AF436:AN436" si="441">if(not(isblank(L436)),", "&amp;L436,"")</f>
        <v/>
      </c>
      <c r="AG436" s="21" t="str">
        <f t="shared" si="441"/>
        <v/>
      </c>
      <c r="AH436" s="21" t="str">
        <f t="shared" si="441"/>
        <v/>
      </c>
      <c r="AI436" s="21" t="str">
        <f t="shared" si="441"/>
        <v/>
      </c>
      <c r="AJ436" s="21" t="str">
        <f t="shared" si="441"/>
        <v/>
      </c>
      <c r="AK436" s="21" t="str">
        <f t="shared" si="441"/>
        <v/>
      </c>
      <c r="AL436" s="21" t="str">
        <f t="shared" si="441"/>
        <v/>
      </c>
      <c r="AM436" s="21" t="str">
        <f t="shared" si="441"/>
        <v/>
      </c>
      <c r="AN436" s="21" t="str">
        <f t="shared" si="441"/>
        <v/>
      </c>
      <c r="AO436" s="21" t="str">
        <f t="shared" si="102"/>
        <v/>
      </c>
    </row>
    <row r="437" ht="16.5" customHeight="1">
      <c r="J437" s="18"/>
      <c r="K437" s="19"/>
      <c r="L437" s="20"/>
      <c r="M437" s="20"/>
      <c r="N437" s="20"/>
      <c r="O437" s="20"/>
      <c r="P437" s="20"/>
      <c r="Q437" s="20"/>
      <c r="R437" s="20"/>
      <c r="S437" s="20"/>
      <c r="T437" s="20"/>
      <c r="AE437" s="21" t="str">
        <f t="shared" si="100"/>
        <v/>
      </c>
      <c r="AF437" s="21" t="str">
        <f t="shared" ref="AF437:AN437" si="442">if(not(isblank(L437)),", "&amp;L437,"")</f>
        <v/>
      </c>
      <c r="AG437" s="21" t="str">
        <f t="shared" si="442"/>
        <v/>
      </c>
      <c r="AH437" s="21" t="str">
        <f t="shared" si="442"/>
        <v/>
      </c>
      <c r="AI437" s="21" t="str">
        <f t="shared" si="442"/>
        <v/>
      </c>
      <c r="AJ437" s="21" t="str">
        <f t="shared" si="442"/>
        <v/>
      </c>
      <c r="AK437" s="21" t="str">
        <f t="shared" si="442"/>
        <v/>
      </c>
      <c r="AL437" s="21" t="str">
        <f t="shared" si="442"/>
        <v/>
      </c>
      <c r="AM437" s="21" t="str">
        <f t="shared" si="442"/>
        <v/>
      </c>
      <c r="AN437" s="21" t="str">
        <f t="shared" si="442"/>
        <v/>
      </c>
      <c r="AO437" s="21" t="str">
        <f t="shared" si="102"/>
        <v/>
      </c>
    </row>
    <row r="438" ht="16.5" customHeight="1">
      <c r="J438" s="18"/>
      <c r="K438" s="19"/>
      <c r="L438" s="20"/>
      <c r="M438" s="20"/>
      <c r="N438" s="20"/>
      <c r="O438" s="20"/>
      <c r="P438" s="20"/>
      <c r="Q438" s="20"/>
      <c r="R438" s="20"/>
      <c r="S438" s="20"/>
      <c r="T438" s="20"/>
      <c r="AE438" s="21" t="str">
        <f t="shared" si="100"/>
        <v/>
      </c>
      <c r="AF438" s="21" t="str">
        <f t="shared" ref="AF438:AN438" si="443">if(not(isblank(L438)),", "&amp;L438,"")</f>
        <v/>
      </c>
      <c r="AG438" s="21" t="str">
        <f t="shared" si="443"/>
        <v/>
      </c>
      <c r="AH438" s="21" t="str">
        <f t="shared" si="443"/>
        <v/>
      </c>
      <c r="AI438" s="21" t="str">
        <f t="shared" si="443"/>
        <v/>
      </c>
      <c r="AJ438" s="21" t="str">
        <f t="shared" si="443"/>
        <v/>
      </c>
      <c r="AK438" s="21" t="str">
        <f t="shared" si="443"/>
        <v/>
      </c>
      <c r="AL438" s="21" t="str">
        <f t="shared" si="443"/>
        <v/>
      </c>
      <c r="AM438" s="21" t="str">
        <f t="shared" si="443"/>
        <v/>
      </c>
      <c r="AN438" s="21" t="str">
        <f t="shared" si="443"/>
        <v/>
      </c>
      <c r="AO438" s="21" t="str">
        <f t="shared" si="102"/>
        <v/>
      </c>
    </row>
    <row r="439" ht="16.5" customHeight="1">
      <c r="J439" s="18"/>
      <c r="K439" s="19"/>
      <c r="L439" s="20"/>
      <c r="M439" s="20"/>
      <c r="N439" s="20"/>
      <c r="O439" s="20"/>
      <c r="P439" s="20"/>
      <c r="Q439" s="20"/>
      <c r="R439" s="20"/>
      <c r="S439" s="20"/>
      <c r="T439" s="20"/>
      <c r="AE439" s="21" t="str">
        <f t="shared" si="100"/>
        <v/>
      </c>
      <c r="AF439" s="21" t="str">
        <f t="shared" ref="AF439:AN439" si="444">if(not(isblank(L439)),", "&amp;L439,"")</f>
        <v/>
      </c>
      <c r="AG439" s="21" t="str">
        <f t="shared" si="444"/>
        <v/>
      </c>
      <c r="AH439" s="21" t="str">
        <f t="shared" si="444"/>
        <v/>
      </c>
      <c r="AI439" s="21" t="str">
        <f t="shared" si="444"/>
        <v/>
      </c>
      <c r="AJ439" s="21" t="str">
        <f t="shared" si="444"/>
        <v/>
      </c>
      <c r="AK439" s="21" t="str">
        <f t="shared" si="444"/>
        <v/>
      </c>
      <c r="AL439" s="21" t="str">
        <f t="shared" si="444"/>
        <v/>
      </c>
      <c r="AM439" s="21" t="str">
        <f t="shared" si="444"/>
        <v/>
      </c>
      <c r="AN439" s="21" t="str">
        <f t="shared" si="444"/>
        <v/>
      </c>
      <c r="AO439" s="21" t="str">
        <f t="shared" si="102"/>
        <v/>
      </c>
    </row>
    <row r="440" ht="16.5" customHeight="1">
      <c r="J440" s="18"/>
      <c r="K440" s="19"/>
      <c r="L440" s="20"/>
      <c r="M440" s="20"/>
      <c r="N440" s="20"/>
      <c r="O440" s="20"/>
      <c r="P440" s="20"/>
      <c r="Q440" s="20"/>
      <c r="R440" s="20"/>
      <c r="S440" s="20"/>
      <c r="T440" s="20"/>
      <c r="AE440" s="21" t="str">
        <f t="shared" si="100"/>
        <v/>
      </c>
      <c r="AF440" s="21" t="str">
        <f t="shared" ref="AF440:AN440" si="445">if(not(isblank(L440)),", "&amp;L440,"")</f>
        <v/>
      </c>
      <c r="AG440" s="21" t="str">
        <f t="shared" si="445"/>
        <v/>
      </c>
      <c r="AH440" s="21" t="str">
        <f t="shared" si="445"/>
        <v/>
      </c>
      <c r="AI440" s="21" t="str">
        <f t="shared" si="445"/>
        <v/>
      </c>
      <c r="AJ440" s="21" t="str">
        <f t="shared" si="445"/>
        <v/>
      </c>
      <c r="AK440" s="21" t="str">
        <f t="shared" si="445"/>
        <v/>
      </c>
      <c r="AL440" s="21" t="str">
        <f t="shared" si="445"/>
        <v/>
      </c>
      <c r="AM440" s="21" t="str">
        <f t="shared" si="445"/>
        <v/>
      </c>
      <c r="AN440" s="21" t="str">
        <f t="shared" si="445"/>
        <v/>
      </c>
      <c r="AO440" s="21" t="str">
        <f t="shared" si="102"/>
        <v/>
      </c>
    </row>
    <row r="441" ht="16.5" customHeight="1">
      <c r="J441" s="18"/>
      <c r="K441" s="19"/>
      <c r="L441" s="20"/>
      <c r="M441" s="20"/>
      <c r="N441" s="20"/>
      <c r="O441" s="20"/>
      <c r="P441" s="20"/>
      <c r="Q441" s="20"/>
      <c r="R441" s="20"/>
      <c r="S441" s="20"/>
      <c r="T441" s="20"/>
      <c r="AE441" s="21" t="str">
        <f t="shared" si="100"/>
        <v/>
      </c>
      <c r="AF441" s="21" t="str">
        <f t="shared" ref="AF441:AN441" si="446">if(not(isblank(L441)),", "&amp;L441,"")</f>
        <v/>
      </c>
      <c r="AG441" s="21" t="str">
        <f t="shared" si="446"/>
        <v/>
      </c>
      <c r="AH441" s="21" t="str">
        <f t="shared" si="446"/>
        <v/>
      </c>
      <c r="AI441" s="21" t="str">
        <f t="shared" si="446"/>
        <v/>
      </c>
      <c r="AJ441" s="21" t="str">
        <f t="shared" si="446"/>
        <v/>
      </c>
      <c r="AK441" s="21" t="str">
        <f t="shared" si="446"/>
        <v/>
      </c>
      <c r="AL441" s="21" t="str">
        <f t="shared" si="446"/>
        <v/>
      </c>
      <c r="AM441" s="21" t="str">
        <f t="shared" si="446"/>
        <v/>
      </c>
      <c r="AN441" s="21" t="str">
        <f t="shared" si="446"/>
        <v/>
      </c>
      <c r="AO441" s="21" t="str">
        <f t="shared" si="102"/>
        <v/>
      </c>
    </row>
    <row r="442" ht="16.5" customHeight="1">
      <c r="J442" s="18"/>
      <c r="K442" s="19"/>
      <c r="L442" s="20"/>
      <c r="M442" s="20"/>
      <c r="N442" s="20"/>
      <c r="O442" s="20"/>
      <c r="P442" s="20"/>
      <c r="Q442" s="20"/>
      <c r="R442" s="20"/>
      <c r="S442" s="20"/>
      <c r="T442" s="20"/>
      <c r="AE442" s="21" t="str">
        <f t="shared" si="100"/>
        <v/>
      </c>
      <c r="AF442" s="21" t="str">
        <f t="shared" ref="AF442:AN442" si="447">if(not(isblank(L442)),", "&amp;L442,"")</f>
        <v/>
      </c>
      <c r="AG442" s="21" t="str">
        <f t="shared" si="447"/>
        <v/>
      </c>
      <c r="AH442" s="21" t="str">
        <f t="shared" si="447"/>
        <v/>
      </c>
      <c r="AI442" s="21" t="str">
        <f t="shared" si="447"/>
        <v/>
      </c>
      <c r="AJ442" s="21" t="str">
        <f t="shared" si="447"/>
        <v/>
      </c>
      <c r="AK442" s="21" t="str">
        <f t="shared" si="447"/>
        <v/>
      </c>
      <c r="AL442" s="21" t="str">
        <f t="shared" si="447"/>
        <v/>
      </c>
      <c r="AM442" s="21" t="str">
        <f t="shared" si="447"/>
        <v/>
      </c>
      <c r="AN442" s="21" t="str">
        <f t="shared" si="447"/>
        <v/>
      </c>
      <c r="AO442" s="21" t="str">
        <f t="shared" si="102"/>
        <v/>
      </c>
    </row>
    <row r="443" ht="16.5" customHeight="1">
      <c r="J443" s="18"/>
      <c r="K443" s="19"/>
      <c r="L443" s="20"/>
      <c r="M443" s="20"/>
      <c r="N443" s="20"/>
      <c r="O443" s="20"/>
      <c r="P443" s="20"/>
      <c r="Q443" s="20"/>
      <c r="R443" s="20"/>
      <c r="S443" s="20"/>
      <c r="T443" s="20"/>
      <c r="AE443" s="21" t="str">
        <f t="shared" si="100"/>
        <v/>
      </c>
      <c r="AF443" s="21" t="str">
        <f t="shared" ref="AF443:AN443" si="448">if(not(isblank(L443)),", "&amp;L443,"")</f>
        <v/>
      </c>
      <c r="AG443" s="21" t="str">
        <f t="shared" si="448"/>
        <v/>
      </c>
      <c r="AH443" s="21" t="str">
        <f t="shared" si="448"/>
        <v/>
      </c>
      <c r="AI443" s="21" t="str">
        <f t="shared" si="448"/>
        <v/>
      </c>
      <c r="AJ443" s="21" t="str">
        <f t="shared" si="448"/>
        <v/>
      </c>
      <c r="AK443" s="21" t="str">
        <f t="shared" si="448"/>
        <v/>
      </c>
      <c r="AL443" s="21" t="str">
        <f t="shared" si="448"/>
        <v/>
      </c>
      <c r="AM443" s="21" t="str">
        <f t="shared" si="448"/>
        <v/>
      </c>
      <c r="AN443" s="21" t="str">
        <f t="shared" si="448"/>
        <v/>
      </c>
      <c r="AO443" s="21" t="str">
        <f t="shared" si="102"/>
        <v/>
      </c>
    </row>
    <row r="444" ht="16.5" customHeight="1">
      <c r="J444" s="18"/>
      <c r="K444" s="19"/>
      <c r="L444" s="20"/>
      <c r="M444" s="20"/>
      <c r="N444" s="20"/>
      <c r="O444" s="20"/>
      <c r="P444" s="20"/>
      <c r="Q444" s="20"/>
      <c r="R444" s="20"/>
      <c r="S444" s="20"/>
      <c r="T444" s="20"/>
      <c r="AE444" s="21" t="str">
        <f t="shared" si="100"/>
        <v/>
      </c>
      <c r="AF444" s="21" t="str">
        <f t="shared" ref="AF444:AN444" si="449">if(not(isblank(L444)),", "&amp;L444,"")</f>
        <v/>
      </c>
      <c r="AG444" s="21" t="str">
        <f t="shared" si="449"/>
        <v/>
      </c>
      <c r="AH444" s="21" t="str">
        <f t="shared" si="449"/>
        <v/>
      </c>
      <c r="AI444" s="21" t="str">
        <f t="shared" si="449"/>
        <v/>
      </c>
      <c r="AJ444" s="21" t="str">
        <f t="shared" si="449"/>
        <v/>
      </c>
      <c r="AK444" s="21" t="str">
        <f t="shared" si="449"/>
        <v/>
      </c>
      <c r="AL444" s="21" t="str">
        <f t="shared" si="449"/>
        <v/>
      </c>
      <c r="AM444" s="21" t="str">
        <f t="shared" si="449"/>
        <v/>
      </c>
      <c r="AN444" s="21" t="str">
        <f t="shared" si="449"/>
        <v/>
      </c>
      <c r="AO444" s="21" t="str">
        <f t="shared" si="102"/>
        <v/>
      </c>
    </row>
    <row r="445" ht="16.5" customHeight="1">
      <c r="J445" s="18"/>
      <c r="K445" s="19"/>
      <c r="L445" s="20"/>
      <c r="M445" s="20"/>
      <c r="N445" s="20"/>
      <c r="O445" s="20"/>
      <c r="P445" s="20"/>
      <c r="Q445" s="20"/>
      <c r="R445" s="20"/>
      <c r="S445" s="20"/>
      <c r="T445" s="20"/>
      <c r="AE445" s="21" t="str">
        <f t="shared" si="100"/>
        <v/>
      </c>
      <c r="AF445" s="21" t="str">
        <f t="shared" ref="AF445:AN445" si="450">if(not(isblank(L445)),", "&amp;L445,"")</f>
        <v/>
      </c>
      <c r="AG445" s="21" t="str">
        <f t="shared" si="450"/>
        <v/>
      </c>
      <c r="AH445" s="21" t="str">
        <f t="shared" si="450"/>
        <v/>
      </c>
      <c r="AI445" s="21" t="str">
        <f t="shared" si="450"/>
        <v/>
      </c>
      <c r="AJ445" s="21" t="str">
        <f t="shared" si="450"/>
        <v/>
      </c>
      <c r="AK445" s="21" t="str">
        <f t="shared" si="450"/>
        <v/>
      </c>
      <c r="AL445" s="21" t="str">
        <f t="shared" si="450"/>
        <v/>
      </c>
      <c r="AM445" s="21" t="str">
        <f t="shared" si="450"/>
        <v/>
      </c>
      <c r="AN445" s="21" t="str">
        <f t="shared" si="450"/>
        <v/>
      </c>
      <c r="AO445" s="21" t="str">
        <f t="shared" si="102"/>
        <v/>
      </c>
    </row>
    <row r="446" ht="16.5" customHeight="1">
      <c r="J446" s="18"/>
      <c r="K446" s="19"/>
      <c r="L446" s="20"/>
      <c r="M446" s="20"/>
      <c r="N446" s="20"/>
      <c r="O446" s="20"/>
      <c r="P446" s="20"/>
      <c r="Q446" s="20"/>
      <c r="R446" s="20"/>
      <c r="S446" s="20"/>
      <c r="T446" s="20"/>
      <c r="AE446" s="21" t="str">
        <f t="shared" si="100"/>
        <v/>
      </c>
      <c r="AF446" s="21" t="str">
        <f t="shared" ref="AF446:AN446" si="451">if(not(isblank(L446)),", "&amp;L446,"")</f>
        <v/>
      </c>
      <c r="AG446" s="21" t="str">
        <f t="shared" si="451"/>
        <v/>
      </c>
      <c r="AH446" s="21" t="str">
        <f t="shared" si="451"/>
        <v/>
      </c>
      <c r="AI446" s="21" t="str">
        <f t="shared" si="451"/>
        <v/>
      </c>
      <c r="AJ446" s="21" t="str">
        <f t="shared" si="451"/>
        <v/>
      </c>
      <c r="AK446" s="21" t="str">
        <f t="shared" si="451"/>
        <v/>
      </c>
      <c r="AL446" s="21" t="str">
        <f t="shared" si="451"/>
        <v/>
      </c>
      <c r="AM446" s="21" t="str">
        <f t="shared" si="451"/>
        <v/>
      </c>
      <c r="AN446" s="21" t="str">
        <f t="shared" si="451"/>
        <v/>
      </c>
      <c r="AO446" s="21" t="str">
        <f t="shared" si="102"/>
        <v/>
      </c>
    </row>
    <row r="447" ht="16.5" customHeight="1">
      <c r="J447" s="18"/>
      <c r="K447" s="19"/>
      <c r="L447" s="20"/>
      <c r="M447" s="20"/>
      <c r="N447" s="20"/>
      <c r="O447" s="20"/>
      <c r="P447" s="20"/>
      <c r="Q447" s="20"/>
      <c r="R447" s="20"/>
      <c r="S447" s="20"/>
      <c r="T447" s="20"/>
      <c r="AE447" s="21" t="str">
        <f t="shared" si="100"/>
        <v/>
      </c>
      <c r="AF447" s="21" t="str">
        <f t="shared" ref="AF447:AN447" si="452">if(not(isblank(L447)),", "&amp;L447,"")</f>
        <v/>
      </c>
      <c r="AG447" s="21" t="str">
        <f t="shared" si="452"/>
        <v/>
      </c>
      <c r="AH447" s="21" t="str">
        <f t="shared" si="452"/>
        <v/>
      </c>
      <c r="AI447" s="21" t="str">
        <f t="shared" si="452"/>
        <v/>
      </c>
      <c r="AJ447" s="21" t="str">
        <f t="shared" si="452"/>
        <v/>
      </c>
      <c r="AK447" s="21" t="str">
        <f t="shared" si="452"/>
        <v/>
      </c>
      <c r="AL447" s="21" t="str">
        <f t="shared" si="452"/>
        <v/>
      </c>
      <c r="AM447" s="21" t="str">
        <f t="shared" si="452"/>
        <v/>
      </c>
      <c r="AN447" s="21" t="str">
        <f t="shared" si="452"/>
        <v/>
      </c>
      <c r="AO447" s="21" t="str">
        <f t="shared" si="102"/>
        <v/>
      </c>
    </row>
    <row r="448" ht="16.5" customHeight="1">
      <c r="J448" s="18"/>
      <c r="K448" s="19"/>
      <c r="L448" s="20"/>
      <c r="M448" s="20"/>
      <c r="N448" s="20"/>
      <c r="O448" s="20"/>
      <c r="P448" s="20"/>
      <c r="Q448" s="20"/>
      <c r="R448" s="20"/>
      <c r="S448" s="20"/>
      <c r="T448" s="20"/>
      <c r="AE448" s="21" t="str">
        <f t="shared" si="100"/>
        <v/>
      </c>
      <c r="AF448" s="21" t="str">
        <f t="shared" ref="AF448:AN448" si="453">if(not(isblank(L448)),", "&amp;L448,"")</f>
        <v/>
      </c>
      <c r="AG448" s="21" t="str">
        <f t="shared" si="453"/>
        <v/>
      </c>
      <c r="AH448" s="21" t="str">
        <f t="shared" si="453"/>
        <v/>
      </c>
      <c r="AI448" s="21" t="str">
        <f t="shared" si="453"/>
        <v/>
      </c>
      <c r="AJ448" s="21" t="str">
        <f t="shared" si="453"/>
        <v/>
      </c>
      <c r="AK448" s="21" t="str">
        <f t="shared" si="453"/>
        <v/>
      </c>
      <c r="AL448" s="21" t="str">
        <f t="shared" si="453"/>
        <v/>
      </c>
      <c r="AM448" s="21" t="str">
        <f t="shared" si="453"/>
        <v/>
      </c>
      <c r="AN448" s="21" t="str">
        <f t="shared" si="453"/>
        <v/>
      </c>
      <c r="AO448" s="21" t="str">
        <f t="shared" si="102"/>
        <v/>
      </c>
    </row>
    <row r="449" ht="16.5" customHeight="1">
      <c r="J449" s="18"/>
      <c r="K449" s="19"/>
      <c r="L449" s="20"/>
      <c r="M449" s="20"/>
      <c r="N449" s="20"/>
      <c r="O449" s="20"/>
      <c r="P449" s="20"/>
      <c r="Q449" s="20"/>
      <c r="R449" s="20"/>
      <c r="S449" s="20"/>
      <c r="T449" s="20"/>
      <c r="AE449" s="21" t="str">
        <f t="shared" si="100"/>
        <v/>
      </c>
      <c r="AF449" s="21" t="str">
        <f t="shared" ref="AF449:AN449" si="454">if(not(isblank(L449)),", "&amp;L449,"")</f>
        <v/>
      </c>
      <c r="AG449" s="21" t="str">
        <f t="shared" si="454"/>
        <v/>
      </c>
      <c r="AH449" s="21" t="str">
        <f t="shared" si="454"/>
        <v/>
      </c>
      <c r="AI449" s="21" t="str">
        <f t="shared" si="454"/>
        <v/>
      </c>
      <c r="AJ449" s="21" t="str">
        <f t="shared" si="454"/>
        <v/>
      </c>
      <c r="AK449" s="21" t="str">
        <f t="shared" si="454"/>
        <v/>
      </c>
      <c r="AL449" s="21" t="str">
        <f t="shared" si="454"/>
        <v/>
      </c>
      <c r="AM449" s="21" t="str">
        <f t="shared" si="454"/>
        <v/>
      </c>
      <c r="AN449" s="21" t="str">
        <f t="shared" si="454"/>
        <v/>
      </c>
      <c r="AO449" s="21" t="str">
        <f t="shared" si="102"/>
        <v/>
      </c>
    </row>
    <row r="450" ht="16.5" customHeight="1">
      <c r="J450" s="18"/>
      <c r="K450" s="19"/>
      <c r="L450" s="20"/>
      <c r="M450" s="20"/>
      <c r="N450" s="20"/>
      <c r="O450" s="20"/>
      <c r="P450" s="20"/>
      <c r="Q450" s="20"/>
      <c r="R450" s="20"/>
      <c r="S450" s="20"/>
      <c r="T450" s="20"/>
      <c r="AE450" s="21" t="str">
        <f t="shared" si="100"/>
        <v/>
      </c>
      <c r="AF450" s="21" t="str">
        <f t="shared" ref="AF450:AN450" si="455">if(not(isblank(L450)),", "&amp;L450,"")</f>
        <v/>
      </c>
      <c r="AG450" s="21" t="str">
        <f t="shared" si="455"/>
        <v/>
      </c>
      <c r="AH450" s="21" t="str">
        <f t="shared" si="455"/>
        <v/>
      </c>
      <c r="AI450" s="21" t="str">
        <f t="shared" si="455"/>
        <v/>
      </c>
      <c r="AJ450" s="21" t="str">
        <f t="shared" si="455"/>
        <v/>
      </c>
      <c r="AK450" s="21" t="str">
        <f t="shared" si="455"/>
        <v/>
      </c>
      <c r="AL450" s="21" t="str">
        <f t="shared" si="455"/>
        <v/>
      </c>
      <c r="AM450" s="21" t="str">
        <f t="shared" si="455"/>
        <v/>
      </c>
      <c r="AN450" s="21" t="str">
        <f t="shared" si="455"/>
        <v/>
      </c>
      <c r="AO450" s="21" t="str">
        <f t="shared" si="102"/>
        <v/>
      </c>
    </row>
    <row r="451" ht="16.5" customHeight="1">
      <c r="J451" s="18"/>
      <c r="K451" s="19"/>
      <c r="L451" s="20"/>
      <c r="M451" s="20"/>
      <c r="N451" s="20"/>
      <c r="O451" s="20"/>
      <c r="P451" s="20"/>
      <c r="Q451" s="20"/>
      <c r="R451" s="20"/>
      <c r="S451" s="20"/>
      <c r="T451" s="20"/>
      <c r="AE451" s="21" t="str">
        <f t="shared" si="100"/>
        <v/>
      </c>
      <c r="AF451" s="21" t="str">
        <f t="shared" ref="AF451:AN451" si="456">if(not(isblank(L451)),", "&amp;L451,"")</f>
        <v/>
      </c>
      <c r="AG451" s="21" t="str">
        <f t="shared" si="456"/>
        <v/>
      </c>
      <c r="AH451" s="21" t="str">
        <f t="shared" si="456"/>
        <v/>
      </c>
      <c r="AI451" s="21" t="str">
        <f t="shared" si="456"/>
        <v/>
      </c>
      <c r="AJ451" s="21" t="str">
        <f t="shared" si="456"/>
        <v/>
      </c>
      <c r="AK451" s="21" t="str">
        <f t="shared" si="456"/>
        <v/>
      </c>
      <c r="AL451" s="21" t="str">
        <f t="shared" si="456"/>
        <v/>
      </c>
      <c r="AM451" s="21" t="str">
        <f t="shared" si="456"/>
        <v/>
      </c>
      <c r="AN451" s="21" t="str">
        <f t="shared" si="456"/>
        <v/>
      </c>
      <c r="AO451" s="21" t="str">
        <f t="shared" si="102"/>
        <v/>
      </c>
    </row>
    <row r="452" ht="16.5" customHeight="1">
      <c r="J452" s="18"/>
      <c r="K452" s="19"/>
      <c r="L452" s="20"/>
      <c r="M452" s="20"/>
      <c r="N452" s="20"/>
      <c r="O452" s="20"/>
      <c r="P452" s="20"/>
      <c r="Q452" s="20"/>
      <c r="R452" s="20"/>
      <c r="S452" s="20"/>
      <c r="T452" s="20"/>
      <c r="AE452" s="21" t="str">
        <f t="shared" si="100"/>
        <v/>
      </c>
      <c r="AF452" s="21" t="str">
        <f t="shared" ref="AF452:AN452" si="457">if(not(isblank(L452)),", "&amp;L452,"")</f>
        <v/>
      </c>
      <c r="AG452" s="21" t="str">
        <f t="shared" si="457"/>
        <v/>
      </c>
      <c r="AH452" s="21" t="str">
        <f t="shared" si="457"/>
        <v/>
      </c>
      <c r="AI452" s="21" t="str">
        <f t="shared" si="457"/>
        <v/>
      </c>
      <c r="AJ452" s="21" t="str">
        <f t="shared" si="457"/>
        <v/>
      </c>
      <c r="AK452" s="21" t="str">
        <f t="shared" si="457"/>
        <v/>
      </c>
      <c r="AL452" s="21" t="str">
        <f t="shared" si="457"/>
        <v/>
      </c>
      <c r="AM452" s="21" t="str">
        <f t="shared" si="457"/>
        <v/>
      </c>
      <c r="AN452" s="21" t="str">
        <f t="shared" si="457"/>
        <v/>
      </c>
      <c r="AO452" s="21" t="str">
        <f t="shared" si="102"/>
        <v/>
      </c>
    </row>
    <row r="453" ht="16.5" customHeight="1">
      <c r="J453" s="18"/>
      <c r="K453" s="19"/>
      <c r="L453" s="20"/>
      <c r="M453" s="20"/>
      <c r="N453" s="20"/>
      <c r="O453" s="20"/>
      <c r="P453" s="20"/>
      <c r="Q453" s="20"/>
      <c r="R453" s="20"/>
      <c r="S453" s="20"/>
      <c r="T453" s="20"/>
      <c r="AE453" s="21" t="str">
        <f t="shared" si="100"/>
        <v/>
      </c>
      <c r="AF453" s="21" t="str">
        <f t="shared" ref="AF453:AN453" si="458">if(not(isblank(L453)),", "&amp;L453,"")</f>
        <v/>
      </c>
      <c r="AG453" s="21" t="str">
        <f t="shared" si="458"/>
        <v/>
      </c>
      <c r="AH453" s="21" t="str">
        <f t="shared" si="458"/>
        <v/>
      </c>
      <c r="AI453" s="21" t="str">
        <f t="shared" si="458"/>
        <v/>
      </c>
      <c r="AJ453" s="21" t="str">
        <f t="shared" si="458"/>
        <v/>
      </c>
      <c r="AK453" s="21" t="str">
        <f t="shared" si="458"/>
        <v/>
      </c>
      <c r="AL453" s="21" t="str">
        <f t="shared" si="458"/>
        <v/>
      </c>
      <c r="AM453" s="21" t="str">
        <f t="shared" si="458"/>
        <v/>
      </c>
      <c r="AN453" s="21" t="str">
        <f t="shared" si="458"/>
        <v/>
      </c>
      <c r="AO453" s="21" t="str">
        <f t="shared" si="102"/>
        <v/>
      </c>
    </row>
    <row r="454" ht="16.5" customHeight="1">
      <c r="J454" s="18"/>
      <c r="K454" s="19"/>
      <c r="L454" s="20"/>
      <c r="M454" s="20"/>
      <c r="N454" s="20"/>
      <c r="O454" s="20"/>
      <c r="P454" s="20"/>
      <c r="Q454" s="20"/>
      <c r="R454" s="20"/>
      <c r="S454" s="20"/>
      <c r="T454" s="20"/>
      <c r="AE454" s="21" t="str">
        <f t="shared" si="100"/>
        <v/>
      </c>
      <c r="AF454" s="21" t="str">
        <f t="shared" ref="AF454:AN454" si="459">if(not(isblank(L454)),", "&amp;L454,"")</f>
        <v/>
      </c>
      <c r="AG454" s="21" t="str">
        <f t="shared" si="459"/>
        <v/>
      </c>
      <c r="AH454" s="21" t="str">
        <f t="shared" si="459"/>
        <v/>
      </c>
      <c r="AI454" s="21" t="str">
        <f t="shared" si="459"/>
        <v/>
      </c>
      <c r="AJ454" s="21" t="str">
        <f t="shared" si="459"/>
        <v/>
      </c>
      <c r="AK454" s="21" t="str">
        <f t="shared" si="459"/>
        <v/>
      </c>
      <c r="AL454" s="21" t="str">
        <f t="shared" si="459"/>
        <v/>
      </c>
      <c r="AM454" s="21" t="str">
        <f t="shared" si="459"/>
        <v/>
      </c>
      <c r="AN454" s="21" t="str">
        <f t="shared" si="459"/>
        <v/>
      </c>
      <c r="AO454" s="21" t="str">
        <f t="shared" si="102"/>
        <v/>
      </c>
    </row>
    <row r="455" ht="16.5" customHeight="1">
      <c r="J455" s="18"/>
      <c r="K455" s="19"/>
      <c r="L455" s="20"/>
      <c r="M455" s="20"/>
      <c r="N455" s="20"/>
      <c r="O455" s="20"/>
      <c r="P455" s="20"/>
      <c r="Q455" s="20"/>
      <c r="R455" s="20"/>
      <c r="S455" s="20"/>
      <c r="T455" s="20"/>
      <c r="AE455" s="21" t="str">
        <f t="shared" si="100"/>
        <v/>
      </c>
      <c r="AF455" s="21" t="str">
        <f t="shared" ref="AF455:AN455" si="460">if(not(isblank(L455)),", "&amp;L455,"")</f>
        <v/>
      </c>
      <c r="AG455" s="21" t="str">
        <f t="shared" si="460"/>
        <v/>
      </c>
      <c r="AH455" s="21" t="str">
        <f t="shared" si="460"/>
        <v/>
      </c>
      <c r="AI455" s="21" t="str">
        <f t="shared" si="460"/>
        <v/>
      </c>
      <c r="AJ455" s="21" t="str">
        <f t="shared" si="460"/>
        <v/>
      </c>
      <c r="AK455" s="21" t="str">
        <f t="shared" si="460"/>
        <v/>
      </c>
      <c r="AL455" s="21" t="str">
        <f t="shared" si="460"/>
        <v/>
      </c>
      <c r="AM455" s="21" t="str">
        <f t="shared" si="460"/>
        <v/>
      </c>
      <c r="AN455" s="21" t="str">
        <f t="shared" si="460"/>
        <v/>
      </c>
      <c r="AO455" s="21" t="str">
        <f t="shared" si="102"/>
        <v/>
      </c>
    </row>
    <row r="456" ht="16.5" customHeight="1">
      <c r="J456" s="18"/>
      <c r="K456" s="19"/>
      <c r="L456" s="20"/>
      <c r="M456" s="20"/>
      <c r="N456" s="20"/>
      <c r="O456" s="20"/>
      <c r="P456" s="20"/>
      <c r="Q456" s="20"/>
      <c r="R456" s="20"/>
      <c r="S456" s="20"/>
      <c r="T456" s="20"/>
      <c r="AE456" s="21" t="str">
        <f t="shared" si="100"/>
        <v/>
      </c>
      <c r="AF456" s="21" t="str">
        <f t="shared" ref="AF456:AN456" si="461">if(not(isblank(L456)),", "&amp;L456,"")</f>
        <v/>
      </c>
      <c r="AG456" s="21" t="str">
        <f t="shared" si="461"/>
        <v/>
      </c>
      <c r="AH456" s="21" t="str">
        <f t="shared" si="461"/>
        <v/>
      </c>
      <c r="AI456" s="21" t="str">
        <f t="shared" si="461"/>
        <v/>
      </c>
      <c r="AJ456" s="21" t="str">
        <f t="shared" si="461"/>
        <v/>
      </c>
      <c r="AK456" s="21" t="str">
        <f t="shared" si="461"/>
        <v/>
      </c>
      <c r="AL456" s="21" t="str">
        <f t="shared" si="461"/>
        <v/>
      </c>
      <c r="AM456" s="21" t="str">
        <f t="shared" si="461"/>
        <v/>
      </c>
      <c r="AN456" s="21" t="str">
        <f t="shared" si="461"/>
        <v/>
      </c>
      <c r="AO456" s="21" t="str">
        <f t="shared" si="102"/>
        <v/>
      </c>
    </row>
    <row r="457" ht="16.5" customHeight="1">
      <c r="J457" s="18"/>
      <c r="K457" s="19"/>
      <c r="L457" s="20"/>
      <c r="M457" s="20"/>
      <c r="N457" s="20"/>
      <c r="O457" s="20"/>
      <c r="P457" s="20"/>
      <c r="Q457" s="20"/>
      <c r="R457" s="20"/>
      <c r="S457" s="20"/>
      <c r="T457" s="20"/>
      <c r="AE457" s="21" t="str">
        <f t="shared" si="100"/>
        <v/>
      </c>
      <c r="AF457" s="21" t="str">
        <f t="shared" ref="AF457:AN457" si="462">if(not(isblank(L457)),", "&amp;L457,"")</f>
        <v/>
      </c>
      <c r="AG457" s="21" t="str">
        <f t="shared" si="462"/>
        <v/>
      </c>
      <c r="AH457" s="21" t="str">
        <f t="shared" si="462"/>
        <v/>
      </c>
      <c r="AI457" s="21" t="str">
        <f t="shared" si="462"/>
        <v/>
      </c>
      <c r="AJ457" s="21" t="str">
        <f t="shared" si="462"/>
        <v/>
      </c>
      <c r="AK457" s="21" t="str">
        <f t="shared" si="462"/>
        <v/>
      </c>
      <c r="AL457" s="21" t="str">
        <f t="shared" si="462"/>
        <v/>
      </c>
      <c r="AM457" s="21" t="str">
        <f t="shared" si="462"/>
        <v/>
      </c>
      <c r="AN457" s="21" t="str">
        <f t="shared" si="462"/>
        <v/>
      </c>
      <c r="AO457" s="21" t="str">
        <f t="shared" si="102"/>
        <v/>
      </c>
    </row>
    <row r="458" ht="16.5" customHeight="1">
      <c r="J458" s="18"/>
      <c r="K458" s="19"/>
      <c r="L458" s="20"/>
      <c r="M458" s="20"/>
      <c r="N458" s="20"/>
      <c r="O458" s="20"/>
      <c r="P458" s="20"/>
      <c r="Q458" s="20"/>
      <c r="R458" s="20"/>
      <c r="S458" s="20"/>
      <c r="T458" s="20"/>
      <c r="AE458" s="21" t="str">
        <f t="shared" si="100"/>
        <v/>
      </c>
      <c r="AF458" s="21" t="str">
        <f t="shared" ref="AF458:AN458" si="463">if(not(isblank(L458)),", "&amp;L458,"")</f>
        <v/>
      </c>
      <c r="AG458" s="21" t="str">
        <f t="shared" si="463"/>
        <v/>
      </c>
      <c r="AH458" s="21" t="str">
        <f t="shared" si="463"/>
        <v/>
      </c>
      <c r="AI458" s="21" t="str">
        <f t="shared" si="463"/>
        <v/>
      </c>
      <c r="AJ458" s="21" t="str">
        <f t="shared" si="463"/>
        <v/>
      </c>
      <c r="AK458" s="21" t="str">
        <f t="shared" si="463"/>
        <v/>
      </c>
      <c r="AL458" s="21" t="str">
        <f t="shared" si="463"/>
        <v/>
      </c>
      <c r="AM458" s="21" t="str">
        <f t="shared" si="463"/>
        <v/>
      </c>
      <c r="AN458" s="21" t="str">
        <f t="shared" si="463"/>
        <v/>
      </c>
      <c r="AO458" s="21" t="str">
        <f t="shared" si="102"/>
        <v/>
      </c>
    </row>
    <row r="459" ht="16.5" customHeight="1">
      <c r="J459" s="18"/>
      <c r="K459" s="19"/>
      <c r="L459" s="20"/>
      <c r="M459" s="20"/>
      <c r="N459" s="20"/>
      <c r="O459" s="20"/>
      <c r="P459" s="20"/>
      <c r="Q459" s="20"/>
      <c r="R459" s="20"/>
      <c r="S459" s="20"/>
      <c r="T459" s="20"/>
      <c r="AE459" s="21" t="str">
        <f t="shared" si="100"/>
        <v/>
      </c>
      <c r="AF459" s="21" t="str">
        <f t="shared" ref="AF459:AN459" si="464">if(not(isblank(L459)),", "&amp;L459,"")</f>
        <v/>
      </c>
      <c r="AG459" s="21" t="str">
        <f t="shared" si="464"/>
        <v/>
      </c>
      <c r="AH459" s="21" t="str">
        <f t="shared" si="464"/>
        <v/>
      </c>
      <c r="AI459" s="21" t="str">
        <f t="shared" si="464"/>
        <v/>
      </c>
      <c r="AJ459" s="21" t="str">
        <f t="shared" si="464"/>
        <v/>
      </c>
      <c r="AK459" s="21" t="str">
        <f t="shared" si="464"/>
        <v/>
      </c>
      <c r="AL459" s="21" t="str">
        <f t="shared" si="464"/>
        <v/>
      </c>
      <c r="AM459" s="21" t="str">
        <f t="shared" si="464"/>
        <v/>
      </c>
      <c r="AN459" s="21" t="str">
        <f t="shared" si="464"/>
        <v/>
      </c>
      <c r="AO459" s="21" t="str">
        <f t="shared" si="102"/>
        <v/>
      </c>
    </row>
    <row r="460" ht="16.5" customHeight="1">
      <c r="J460" s="18"/>
      <c r="K460" s="19"/>
      <c r="L460" s="20"/>
      <c r="M460" s="20"/>
      <c r="N460" s="20"/>
      <c r="O460" s="20"/>
      <c r="P460" s="20"/>
      <c r="Q460" s="20"/>
      <c r="R460" s="20"/>
      <c r="S460" s="20"/>
      <c r="T460" s="20"/>
      <c r="AE460" s="21" t="str">
        <f t="shared" si="100"/>
        <v/>
      </c>
      <c r="AF460" s="21" t="str">
        <f t="shared" ref="AF460:AN460" si="465">if(not(isblank(L460)),", "&amp;L460,"")</f>
        <v/>
      </c>
      <c r="AG460" s="21" t="str">
        <f t="shared" si="465"/>
        <v/>
      </c>
      <c r="AH460" s="21" t="str">
        <f t="shared" si="465"/>
        <v/>
      </c>
      <c r="AI460" s="21" t="str">
        <f t="shared" si="465"/>
        <v/>
      </c>
      <c r="AJ460" s="21" t="str">
        <f t="shared" si="465"/>
        <v/>
      </c>
      <c r="AK460" s="21" t="str">
        <f t="shared" si="465"/>
        <v/>
      </c>
      <c r="AL460" s="21" t="str">
        <f t="shared" si="465"/>
        <v/>
      </c>
      <c r="AM460" s="21" t="str">
        <f t="shared" si="465"/>
        <v/>
      </c>
      <c r="AN460" s="21" t="str">
        <f t="shared" si="465"/>
        <v/>
      </c>
      <c r="AO460" s="21" t="str">
        <f t="shared" si="102"/>
        <v/>
      </c>
    </row>
    <row r="461" ht="16.5" customHeight="1">
      <c r="J461" s="18"/>
      <c r="K461" s="19"/>
      <c r="L461" s="20"/>
      <c r="M461" s="20"/>
      <c r="N461" s="20"/>
      <c r="O461" s="20"/>
      <c r="P461" s="20"/>
      <c r="Q461" s="20"/>
      <c r="R461" s="20"/>
      <c r="S461" s="20"/>
      <c r="T461" s="20"/>
      <c r="AE461" s="21" t="str">
        <f t="shared" si="100"/>
        <v/>
      </c>
      <c r="AF461" s="21" t="str">
        <f t="shared" ref="AF461:AN461" si="466">if(not(isblank(L461)),", "&amp;L461,"")</f>
        <v/>
      </c>
      <c r="AG461" s="21" t="str">
        <f t="shared" si="466"/>
        <v/>
      </c>
      <c r="AH461" s="21" t="str">
        <f t="shared" si="466"/>
        <v/>
      </c>
      <c r="AI461" s="21" t="str">
        <f t="shared" si="466"/>
        <v/>
      </c>
      <c r="AJ461" s="21" t="str">
        <f t="shared" si="466"/>
        <v/>
      </c>
      <c r="AK461" s="21" t="str">
        <f t="shared" si="466"/>
        <v/>
      </c>
      <c r="AL461" s="21" t="str">
        <f t="shared" si="466"/>
        <v/>
      </c>
      <c r="AM461" s="21" t="str">
        <f t="shared" si="466"/>
        <v/>
      </c>
      <c r="AN461" s="21" t="str">
        <f t="shared" si="466"/>
        <v/>
      </c>
      <c r="AO461" s="21" t="str">
        <f t="shared" si="102"/>
        <v/>
      </c>
    </row>
    <row r="462" ht="16.5" customHeight="1">
      <c r="J462" s="18"/>
      <c r="K462" s="19"/>
      <c r="L462" s="20"/>
      <c r="M462" s="20"/>
      <c r="N462" s="20"/>
      <c r="O462" s="20"/>
      <c r="P462" s="20"/>
      <c r="Q462" s="20"/>
      <c r="R462" s="20"/>
      <c r="S462" s="20"/>
      <c r="T462" s="20"/>
      <c r="AE462" s="21" t="str">
        <f t="shared" si="100"/>
        <v/>
      </c>
      <c r="AF462" s="21" t="str">
        <f t="shared" ref="AF462:AN462" si="467">if(not(isblank(L462)),", "&amp;L462,"")</f>
        <v/>
      </c>
      <c r="AG462" s="21" t="str">
        <f t="shared" si="467"/>
        <v/>
      </c>
      <c r="AH462" s="21" t="str">
        <f t="shared" si="467"/>
        <v/>
      </c>
      <c r="AI462" s="21" t="str">
        <f t="shared" si="467"/>
        <v/>
      </c>
      <c r="AJ462" s="21" t="str">
        <f t="shared" si="467"/>
        <v/>
      </c>
      <c r="AK462" s="21" t="str">
        <f t="shared" si="467"/>
        <v/>
      </c>
      <c r="AL462" s="21" t="str">
        <f t="shared" si="467"/>
        <v/>
      </c>
      <c r="AM462" s="21" t="str">
        <f t="shared" si="467"/>
        <v/>
      </c>
      <c r="AN462" s="21" t="str">
        <f t="shared" si="467"/>
        <v/>
      </c>
      <c r="AO462" s="21" t="str">
        <f t="shared" si="102"/>
        <v/>
      </c>
    </row>
    <row r="463" ht="16.5" customHeight="1">
      <c r="J463" s="18"/>
      <c r="K463" s="19"/>
      <c r="L463" s="20"/>
      <c r="M463" s="20"/>
      <c r="N463" s="20"/>
      <c r="O463" s="20"/>
      <c r="P463" s="20"/>
      <c r="Q463" s="20"/>
      <c r="R463" s="20"/>
      <c r="S463" s="20"/>
      <c r="T463" s="20"/>
      <c r="AE463" s="21" t="str">
        <f t="shared" si="100"/>
        <v/>
      </c>
      <c r="AF463" s="21" t="str">
        <f t="shared" ref="AF463:AN463" si="468">if(not(isblank(L463)),", "&amp;L463,"")</f>
        <v/>
      </c>
      <c r="AG463" s="21" t="str">
        <f t="shared" si="468"/>
        <v/>
      </c>
      <c r="AH463" s="21" t="str">
        <f t="shared" si="468"/>
        <v/>
      </c>
      <c r="AI463" s="21" t="str">
        <f t="shared" si="468"/>
        <v/>
      </c>
      <c r="AJ463" s="21" t="str">
        <f t="shared" si="468"/>
        <v/>
      </c>
      <c r="AK463" s="21" t="str">
        <f t="shared" si="468"/>
        <v/>
      </c>
      <c r="AL463" s="21" t="str">
        <f t="shared" si="468"/>
        <v/>
      </c>
      <c r="AM463" s="21" t="str">
        <f t="shared" si="468"/>
        <v/>
      </c>
      <c r="AN463" s="21" t="str">
        <f t="shared" si="468"/>
        <v/>
      </c>
      <c r="AO463" s="21" t="str">
        <f t="shared" si="102"/>
        <v/>
      </c>
    </row>
    <row r="464" ht="16.5" customHeight="1">
      <c r="J464" s="18"/>
      <c r="K464" s="19"/>
      <c r="L464" s="20"/>
      <c r="M464" s="20"/>
      <c r="N464" s="20"/>
      <c r="O464" s="20"/>
      <c r="P464" s="20"/>
      <c r="Q464" s="20"/>
      <c r="R464" s="20"/>
      <c r="S464" s="20"/>
      <c r="T464" s="20"/>
      <c r="AE464" s="21" t="str">
        <f t="shared" si="100"/>
        <v/>
      </c>
      <c r="AF464" s="21" t="str">
        <f t="shared" ref="AF464:AN464" si="469">if(not(isblank(L464)),", "&amp;L464,"")</f>
        <v/>
      </c>
      <c r="AG464" s="21" t="str">
        <f t="shared" si="469"/>
        <v/>
      </c>
      <c r="AH464" s="21" t="str">
        <f t="shared" si="469"/>
        <v/>
      </c>
      <c r="AI464" s="21" t="str">
        <f t="shared" si="469"/>
        <v/>
      </c>
      <c r="AJ464" s="21" t="str">
        <f t="shared" si="469"/>
        <v/>
      </c>
      <c r="AK464" s="21" t="str">
        <f t="shared" si="469"/>
        <v/>
      </c>
      <c r="AL464" s="21" t="str">
        <f t="shared" si="469"/>
        <v/>
      </c>
      <c r="AM464" s="21" t="str">
        <f t="shared" si="469"/>
        <v/>
      </c>
      <c r="AN464" s="21" t="str">
        <f t="shared" si="469"/>
        <v/>
      </c>
      <c r="AO464" s="21" t="str">
        <f t="shared" si="102"/>
        <v/>
      </c>
    </row>
    <row r="465" ht="16.5" customHeight="1">
      <c r="J465" s="18"/>
      <c r="K465" s="19"/>
      <c r="L465" s="20"/>
      <c r="M465" s="20"/>
      <c r="N465" s="20"/>
      <c r="O465" s="20"/>
      <c r="P465" s="20"/>
      <c r="Q465" s="20"/>
      <c r="R465" s="20"/>
      <c r="S465" s="20"/>
      <c r="T465" s="20"/>
      <c r="AE465" s="21" t="str">
        <f t="shared" si="100"/>
        <v/>
      </c>
      <c r="AF465" s="21" t="str">
        <f t="shared" ref="AF465:AN465" si="470">if(not(isblank(L465)),", "&amp;L465,"")</f>
        <v/>
      </c>
      <c r="AG465" s="21" t="str">
        <f t="shared" si="470"/>
        <v/>
      </c>
      <c r="AH465" s="21" t="str">
        <f t="shared" si="470"/>
        <v/>
      </c>
      <c r="AI465" s="21" t="str">
        <f t="shared" si="470"/>
        <v/>
      </c>
      <c r="AJ465" s="21" t="str">
        <f t="shared" si="470"/>
        <v/>
      </c>
      <c r="AK465" s="21" t="str">
        <f t="shared" si="470"/>
        <v/>
      </c>
      <c r="AL465" s="21" t="str">
        <f t="shared" si="470"/>
        <v/>
      </c>
      <c r="AM465" s="21" t="str">
        <f t="shared" si="470"/>
        <v/>
      </c>
      <c r="AN465" s="21" t="str">
        <f t="shared" si="470"/>
        <v/>
      </c>
      <c r="AO465" s="21" t="str">
        <f t="shared" si="102"/>
        <v/>
      </c>
    </row>
    <row r="466" ht="16.5" customHeight="1">
      <c r="J466" s="18"/>
      <c r="K466" s="19"/>
      <c r="L466" s="20"/>
      <c r="M466" s="20"/>
      <c r="N466" s="20"/>
      <c r="O466" s="20"/>
      <c r="P466" s="20"/>
      <c r="Q466" s="20"/>
      <c r="R466" s="20"/>
      <c r="S466" s="20"/>
      <c r="T466" s="20"/>
      <c r="AE466" s="21" t="str">
        <f t="shared" si="100"/>
        <v/>
      </c>
      <c r="AF466" s="21" t="str">
        <f t="shared" ref="AF466:AN466" si="471">if(not(isblank(L466)),", "&amp;L466,"")</f>
        <v/>
      </c>
      <c r="AG466" s="21" t="str">
        <f t="shared" si="471"/>
        <v/>
      </c>
      <c r="AH466" s="21" t="str">
        <f t="shared" si="471"/>
        <v/>
      </c>
      <c r="AI466" s="21" t="str">
        <f t="shared" si="471"/>
        <v/>
      </c>
      <c r="AJ466" s="21" t="str">
        <f t="shared" si="471"/>
        <v/>
      </c>
      <c r="AK466" s="21" t="str">
        <f t="shared" si="471"/>
        <v/>
      </c>
      <c r="AL466" s="21" t="str">
        <f t="shared" si="471"/>
        <v/>
      </c>
      <c r="AM466" s="21" t="str">
        <f t="shared" si="471"/>
        <v/>
      </c>
      <c r="AN466" s="21" t="str">
        <f t="shared" si="471"/>
        <v/>
      </c>
      <c r="AO466" s="21" t="str">
        <f t="shared" si="102"/>
        <v/>
      </c>
    </row>
    <row r="467" ht="16.5" customHeight="1">
      <c r="J467" s="18"/>
      <c r="K467" s="19"/>
      <c r="L467" s="20"/>
      <c r="M467" s="20"/>
      <c r="N467" s="20"/>
      <c r="O467" s="20"/>
      <c r="P467" s="20"/>
      <c r="Q467" s="20"/>
      <c r="R467" s="20"/>
      <c r="S467" s="20"/>
      <c r="T467" s="20"/>
      <c r="AE467" s="21" t="str">
        <f t="shared" si="100"/>
        <v/>
      </c>
      <c r="AF467" s="21" t="str">
        <f t="shared" ref="AF467:AN467" si="472">if(not(isblank(L467)),", "&amp;L467,"")</f>
        <v/>
      </c>
      <c r="AG467" s="21" t="str">
        <f t="shared" si="472"/>
        <v/>
      </c>
      <c r="AH467" s="21" t="str">
        <f t="shared" si="472"/>
        <v/>
      </c>
      <c r="AI467" s="21" t="str">
        <f t="shared" si="472"/>
        <v/>
      </c>
      <c r="AJ467" s="21" t="str">
        <f t="shared" si="472"/>
        <v/>
      </c>
      <c r="AK467" s="21" t="str">
        <f t="shared" si="472"/>
        <v/>
      </c>
      <c r="AL467" s="21" t="str">
        <f t="shared" si="472"/>
        <v/>
      </c>
      <c r="AM467" s="21" t="str">
        <f t="shared" si="472"/>
        <v/>
      </c>
      <c r="AN467" s="21" t="str">
        <f t="shared" si="472"/>
        <v/>
      </c>
      <c r="AO467" s="21" t="str">
        <f t="shared" si="102"/>
        <v/>
      </c>
    </row>
    <row r="468" ht="16.5" customHeight="1">
      <c r="J468" s="18"/>
      <c r="K468" s="19"/>
      <c r="L468" s="20"/>
      <c r="M468" s="20"/>
      <c r="N468" s="20"/>
      <c r="O468" s="20"/>
      <c r="P468" s="20"/>
      <c r="Q468" s="20"/>
      <c r="R468" s="20"/>
      <c r="S468" s="20"/>
      <c r="T468" s="20"/>
      <c r="AE468" s="21" t="str">
        <f t="shared" si="100"/>
        <v/>
      </c>
      <c r="AF468" s="21" t="str">
        <f t="shared" ref="AF468:AN468" si="473">if(not(isblank(L468)),", "&amp;L468,"")</f>
        <v/>
      </c>
      <c r="AG468" s="21" t="str">
        <f t="shared" si="473"/>
        <v/>
      </c>
      <c r="AH468" s="21" t="str">
        <f t="shared" si="473"/>
        <v/>
      </c>
      <c r="AI468" s="21" t="str">
        <f t="shared" si="473"/>
        <v/>
      </c>
      <c r="AJ468" s="21" t="str">
        <f t="shared" si="473"/>
        <v/>
      </c>
      <c r="AK468" s="21" t="str">
        <f t="shared" si="473"/>
        <v/>
      </c>
      <c r="AL468" s="21" t="str">
        <f t="shared" si="473"/>
        <v/>
      </c>
      <c r="AM468" s="21" t="str">
        <f t="shared" si="473"/>
        <v/>
      </c>
      <c r="AN468" s="21" t="str">
        <f t="shared" si="473"/>
        <v/>
      </c>
      <c r="AO468" s="21" t="str">
        <f t="shared" si="102"/>
        <v/>
      </c>
    </row>
    <row r="469" ht="16.5" customHeight="1">
      <c r="J469" s="18"/>
      <c r="K469" s="19"/>
      <c r="L469" s="20"/>
      <c r="M469" s="20"/>
      <c r="N469" s="20"/>
      <c r="O469" s="20"/>
      <c r="P469" s="20"/>
      <c r="Q469" s="20"/>
      <c r="R469" s="20"/>
      <c r="S469" s="20"/>
      <c r="T469" s="20"/>
      <c r="AE469" s="21" t="str">
        <f t="shared" si="100"/>
        <v/>
      </c>
      <c r="AF469" s="21" t="str">
        <f t="shared" ref="AF469:AN469" si="474">if(not(isblank(L469)),", "&amp;L469,"")</f>
        <v/>
      </c>
      <c r="AG469" s="21" t="str">
        <f t="shared" si="474"/>
        <v/>
      </c>
      <c r="AH469" s="21" t="str">
        <f t="shared" si="474"/>
        <v/>
      </c>
      <c r="AI469" s="21" t="str">
        <f t="shared" si="474"/>
        <v/>
      </c>
      <c r="AJ469" s="21" t="str">
        <f t="shared" si="474"/>
        <v/>
      </c>
      <c r="AK469" s="21" t="str">
        <f t="shared" si="474"/>
        <v/>
      </c>
      <c r="AL469" s="21" t="str">
        <f t="shared" si="474"/>
        <v/>
      </c>
      <c r="AM469" s="21" t="str">
        <f t="shared" si="474"/>
        <v/>
      </c>
      <c r="AN469" s="21" t="str">
        <f t="shared" si="474"/>
        <v/>
      </c>
      <c r="AO469" s="21" t="str">
        <f t="shared" si="102"/>
        <v/>
      </c>
    </row>
    <row r="470" ht="16.5" customHeight="1">
      <c r="J470" s="18"/>
      <c r="K470" s="19"/>
      <c r="L470" s="20"/>
      <c r="M470" s="20"/>
      <c r="N470" s="20"/>
      <c r="O470" s="20"/>
      <c r="P470" s="20"/>
      <c r="Q470" s="20"/>
      <c r="R470" s="20"/>
      <c r="S470" s="20"/>
      <c r="T470" s="20"/>
      <c r="AE470" s="21" t="str">
        <f t="shared" si="100"/>
        <v/>
      </c>
      <c r="AF470" s="21" t="str">
        <f t="shared" ref="AF470:AN470" si="475">if(not(isblank(L470)),", "&amp;L470,"")</f>
        <v/>
      </c>
      <c r="AG470" s="21" t="str">
        <f t="shared" si="475"/>
        <v/>
      </c>
      <c r="AH470" s="21" t="str">
        <f t="shared" si="475"/>
        <v/>
      </c>
      <c r="AI470" s="21" t="str">
        <f t="shared" si="475"/>
        <v/>
      </c>
      <c r="AJ470" s="21" t="str">
        <f t="shared" si="475"/>
        <v/>
      </c>
      <c r="AK470" s="21" t="str">
        <f t="shared" si="475"/>
        <v/>
      </c>
      <c r="AL470" s="21" t="str">
        <f t="shared" si="475"/>
        <v/>
      </c>
      <c r="AM470" s="21" t="str">
        <f t="shared" si="475"/>
        <v/>
      </c>
      <c r="AN470" s="21" t="str">
        <f t="shared" si="475"/>
        <v/>
      </c>
      <c r="AO470" s="21" t="str">
        <f t="shared" si="102"/>
        <v/>
      </c>
    </row>
    <row r="471" ht="16.5" customHeight="1">
      <c r="J471" s="18"/>
      <c r="K471" s="19"/>
      <c r="L471" s="20"/>
      <c r="M471" s="20"/>
      <c r="N471" s="20"/>
      <c r="O471" s="20"/>
      <c r="P471" s="20"/>
      <c r="Q471" s="20"/>
      <c r="R471" s="20"/>
      <c r="S471" s="20"/>
      <c r="T471" s="20"/>
      <c r="AE471" s="21" t="str">
        <f t="shared" si="100"/>
        <v/>
      </c>
      <c r="AF471" s="21" t="str">
        <f t="shared" ref="AF471:AN471" si="476">if(not(isblank(L471)),", "&amp;L471,"")</f>
        <v/>
      </c>
      <c r="AG471" s="21" t="str">
        <f t="shared" si="476"/>
        <v/>
      </c>
      <c r="AH471" s="21" t="str">
        <f t="shared" si="476"/>
        <v/>
      </c>
      <c r="AI471" s="21" t="str">
        <f t="shared" si="476"/>
        <v/>
      </c>
      <c r="AJ471" s="21" t="str">
        <f t="shared" si="476"/>
        <v/>
      </c>
      <c r="AK471" s="21" t="str">
        <f t="shared" si="476"/>
        <v/>
      </c>
      <c r="AL471" s="21" t="str">
        <f t="shared" si="476"/>
        <v/>
      </c>
      <c r="AM471" s="21" t="str">
        <f t="shared" si="476"/>
        <v/>
      </c>
      <c r="AN471" s="21" t="str">
        <f t="shared" si="476"/>
        <v/>
      </c>
      <c r="AO471" s="21" t="str">
        <f t="shared" si="102"/>
        <v/>
      </c>
    </row>
    <row r="472" ht="16.5" customHeight="1">
      <c r="J472" s="18"/>
      <c r="K472" s="19"/>
      <c r="L472" s="20"/>
      <c r="M472" s="20"/>
      <c r="N472" s="20"/>
      <c r="O472" s="20"/>
      <c r="P472" s="20"/>
      <c r="Q472" s="20"/>
      <c r="R472" s="20"/>
      <c r="S472" s="20"/>
      <c r="T472" s="20"/>
      <c r="AE472" s="21" t="str">
        <f t="shared" si="100"/>
        <v/>
      </c>
      <c r="AF472" s="21" t="str">
        <f t="shared" ref="AF472:AN472" si="477">if(not(isblank(L472)),", "&amp;L472,"")</f>
        <v/>
      </c>
      <c r="AG472" s="21" t="str">
        <f t="shared" si="477"/>
        <v/>
      </c>
      <c r="AH472" s="21" t="str">
        <f t="shared" si="477"/>
        <v/>
      </c>
      <c r="AI472" s="21" t="str">
        <f t="shared" si="477"/>
        <v/>
      </c>
      <c r="AJ472" s="21" t="str">
        <f t="shared" si="477"/>
        <v/>
      </c>
      <c r="AK472" s="21" t="str">
        <f t="shared" si="477"/>
        <v/>
      </c>
      <c r="AL472" s="21" t="str">
        <f t="shared" si="477"/>
        <v/>
      </c>
      <c r="AM472" s="21" t="str">
        <f t="shared" si="477"/>
        <v/>
      </c>
      <c r="AN472" s="21" t="str">
        <f t="shared" si="477"/>
        <v/>
      </c>
      <c r="AO472" s="21" t="str">
        <f t="shared" si="102"/>
        <v/>
      </c>
    </row>
    <row r="473" ht="16.5" customHeight="1">
      <c r="J473" s="18"/>
      <c r="K473" s="19"/>
      <c r="L473" s="20"/>
      <c r="M473" s="20"/>
      <c r="N473" s="20"/>
      <c r="O473" s="20"/>
      <c r="P473" s="20"/>
      <c r="Q473" s="20"/>
      <c r="R473" s="20"/>
      <c r="S473" s="20"/>
      <c r="T473" s="20"/>
      <c r="AE473" s="21" t="str">
        <f t="shared" si="100"/>
        <v/>
      </c>
      <c r="AF473" s="21" t="str">
        <f t="shared" ref="AF473:AN473" si="478">if(not(isblank(L473)),", "&amp;L473,"")</f>
        <v/>
      </c>
      <c r="AG473" s="21" t="str">
        <f t="shared" si="478"/>
        <v/>
      </c>
      <c r="AH473" s="21" t="str">
        <f t="shared" si="478"/>
        <v/>
      </c>
      <c r="AI473" s="21" t="str">
        <f t="shared" si="478"/>
        <v/>
      </c>
      <c r="AJ473" s="21" t="str">
        <f t="shared" si="478"/>
        <v/>
      </c>
      <c r="AK473" s="21" t="str">
        <f t="shared" si="478"/>
        <v/>
      </c>
      <c r="AL473" s="21" t="str">
        <f t="shared" si="478"/>
        <v/>
      </c>
      <c r="AM473" s="21" t="str">
        <f t="shared" si="478"/>
        <v/>
      </c>
      <c r="AN473" s="21" t="str">
        <f t="shared" si="478"/>
        <v/>
      </c>
      <c r="AO473" s="21" t="str">
        <f t="shared" si="102"/>
        <v/>
      </c>
    </row>
    <row r="474" ht="16.5" customHeight="1">
      <c r="J474" s="18"/>
      <c r="K474" s="19"/>
      <c r="L474" s="20"/>
      <c r="M474" s="20"/>
      <c r="N474" s="20"/>
      <c r="O474" s="20"/>
      <c r="P474" s="20"/>
      <c r="Q474" s="20"/>
      <c r="R474" s="20"/>
      <c r="S474" s="20"/>
      <c r="T474" s="20"/>
      <c r="AE474" s="21" t="str">
        <f t="shared" si="100"/>
        <v/>
      </c>
      <c r="AF474" s="21" t="str">
        <f t="shared" ref="AF474:AN474" si="479">if(not(isblank(L474)),", "&amp;L474,"")</f>
        <v/>
      </c>
      <c r="AG474" s="21" t="str">
        <f t="shared" si="479"/>
        <v/>
      </c>
      <c r="AH474" s="21" t="str">
        <f t="shared" si="479"/>
        <v/>
      </c>
      <c r="AI474" s="21" t="str">
        <f t="shared" si="479"/>
        <v/>
      </c>
      <c r="AJ474" s="21" t="str">
        <f t="shared" si="479"/>
        <v/>
      </c>
      <c r="AK474" s="21" t="str">
        <f t="shared" si="479"/>
        <v/>
      </c>
      <c r="AL474" s="21" t="str">
        <f t="shared" si="479"/>
        <v/>
      </c>
      <c r="AM474" s="21" t="str">
        <f t="shared" si="479"/>
        <v/>
      </c>
      <c r="AN474" s="21" t="str">
        <f t="shared" si="479"/>
        <v/>
      </c>
      <c r="AO474" s="21" t="str">
        <f t="shared" si="102"/>
        <v/>
      </c>
    </row>
    <row r="475" ht="16.5" customHeight="1">
      <c r="J475" s="18"/>
      <c r="K475" s="19"/>
      <c r="L475" s="20"/>
      <c r="M475" s="20"/>
      <c r="N475" s="20"/>
      <c r="O475" s="20"/>
      <c r="P475" s="20"/>
      <c r="Q475" s="20"/>
      <c r="R475" s="20"/>
      <c r="S475" s="20"/>
      <c r="T475" s="20"/>
      <c r="AE475" s="21" t="str">
        <f t="shared" si="100"/>
        <v/>
      </c>
      <c r="AF475" s="21" t="str">
        <f t="shared" ref="AF475:AN475" si="480">if(not(isblank(L475)),", "&amp;L475,"")</f>
        <v/>
      </c>
      <c r="AG475" s="21" t="str">
        <f t="shared" si="480"/>
        <v/>
      </c>
      <c r="AH475" s="21" t="str">
        <f t="shared" si="480"/>
        <v/>
      </c>
      <c r="AI475" s="21" t="str">
        <f t="shared" si="480"/>
        <v/>
      </c>
      <c r="AJ475" s="21" t="str">
        <f t="shared" si="480"/>
        <v/>
      </c>
      <c r="AK475" s="21" t="str">
        <f t="shared" si="480"/>
        <v/>
      </c>
      <c r="AL475" s="21" t="str">
        <f t="shared" si="480"/>
        <v/>
      </c>
      <c r="AM475" s="21" t="str">
        <f t="shared" si="480"/>
        <v/>
      </c>
      <c r="AN475" s="21" t="str">
        <f t="shared" si="480"/>
        <v/>
      </c>
      <c r="AO475" s="21" t="str">
        <f t="shared" si="102"/>
        <v/>
      </c>
    </row>
    <row r="476" ht="16.5" customHeight="1">
      <c r="J476" s="18"/>
      <c r="K476" s="19"/>
      <c r="L476" s="20"/>
      <c r="M476" s="20"/>
      <c r="N476" s="20"/>
      <c r="O476" s="20"/>
      <c r="P476" s="20"/>
      <c r="Q476" s="20"/>
      <c r="R476" s="20"/>
      <c r="S476" s="20"/>
      <c r="T476" s="20"/>
      <c r="AE476" s="21" t="str">
        <f t="shared" si="100"/>
        <v/>
      </c>
      <c r="AF476" s="21" t="str">
        <f t="shared" ref="AF476:AN476" si="481">if(not(isblank(L476)),", "&amp;L476,"")</f>
        <v/>
      </c>
      <c r="AG476" s="21" t="str">
        <f t="shared" si="481"/>
        <v/>
      </c>
      <c r="AH476" s="21" t="str">
        <f t="shared" si="481"/>
        <v/>
      </c>
      <c r="AI476" s="21" t="str">
        <f t="shared" si="481"/>
        <v/>
      </c>
      <c r="AJ476" s="21" t="str">
        <f t="shared" si="481"/>
        <v/>
      </c>
      <c r="AK476" s="21" t="str">
        <f t="shared" si="481"/>
        <v/>
      </c>
      <c r="AL476" s="21" t="str">
        <f t="shared" si="481"/>
        <v/>
      </c>
      <c r="AM476" s="21" t="str">
        <f t="shared" si="481"/>
        <v/>
      </c>
      <c r="AN476" s="21" t="str">
        <f t="shared" si="481"/>
        <v/>
      </c>
      <c r="AO476" s="21" t="str">
        <f t="shared" si="102"/>
        <v/>
      </c>
    </row>
    <row r="477" ht="16.5" customHeight="1">
      <c r="J477" s="18"/>
      <c r="K477" s="19"/>
      <c r="L477" s="20"/>
      <c r="M477" s="20"/>
      <c r="N477" s="20"/>
      <c r="O477" s="20"/>
      <c r="P477" s="20"/>
      <c r="Q477" s="20"/>
      <c r="R477" s="20"/>
      <c r="S477" s="20"/>
      <c r="T477" s="20"/>
      <c r="AE477" s="21" t="str">
        <f t="shared" si="100"/>
        <v/>
      </c>
      <c r="AF477" s="21" t="str">
        <f t="shared" ref="AF477:AN477" si="482">if(not(isblank(L477)),", "&amp;L477,"")</f>
        <v/>
      </c>
      <c r="AG477" s="21" t="str">
        <f t="shared" si="482"/>
        <v/>
      </c>
      <c r="AH477" s="21" t="str">
        <f t="shared" si="482"/>
        <v/>
      </c>
      <c r="AI477" s="21" t="str">
        <f t="shared" si="482"/>
        <v/>
      </c>
      <c r="AJ477" s="21" t="str">
        <f t="shared" si="482"/>
        <v/>
      </c>
      <c r="AK477" s="21" t="str">
        <f t="shared" si="482"/>
        <v/>
      </c>
      <c r="AL477" s="21" t="str">
        <f t="shared" si="482"/>
        <v/>
      </c>
      <c r="AM477" s="21" t="str">
        <f t="shared" si="482"/>
        <v/>
      </c>
      <c r="AN477" s="21" t="str">
        <f t="shared" si="482"/>
        <v/>
      </c>
      <c r="AO477" s="21" t="str">
        <f t="shared" si="102"/>
        <v/>
      </c>
    </row>
    <row r="478" ht="16.5" customHeight="1">
      <c r="J478" s="18"/>
      <c r="K478" s="19"/>
      <c r="L478" s="20"/>
      <c r="M478" s="20"/>
      <c r="N478" s="20"/>
      <c r="O478" s="20"/>
      <c r="P478" s="20"/>
      <c r="Q478" s="20"/>
      <c r="R478" s="20"/>
      <c r="S478" s="20"/>
      <c r="T478" s="20"/>
      <c r="AE478" s="21" t="str">
        <f t="shared" si="100"/>
        <v/>
      </c>
      <c r="AF478" s="21" t="str">
        <f t="shared" ref="AF478:AN478" si="483">if(not(isblank(L478)),", "&amp;L478,"")</f>
        <v/>
      </c>
      <c r="AG478" s="21" t="str">
        <f t="shared" si="483"/>
        <v/>
      </c>
      <c r="AH478" s="21" t="str">
        <f t="shared" si="483"/>
        <v/>
      </c>
      <c r="AI478" s="21" t="str">
        <f t="shared" si="483"/>
        <v/>
      </c>
      <c r="AJ478" s="21" t="str">
        <f t="shared" si="483"/>
        <v/>
      </c>
      <c r="AK478" s="21" t="str">
        <f t="shared" si="483"/>
        <v/>
      </c>
      <c r="AL478" s="21" t="str">
        <f t="shared" si="483"/>
        <v/>
      </c>
      <c r="AM478" s="21" t="str">
        <f t="shared" si="483"/>
        <v/>
      </c>
      <c r="AN478" s="21" t="str">
        <f t="shared" si="483"/>
        <v/>
      </c>
      <c r="AO478" s="21" t="str">
        <f t="shared" si="102"/>
        <v/>
      </c>
    </row>
    <row r="479" ht="16.5" customHeight="1">
      <c r="J479" s="18"/>
      <c r="K479" s="19"/>
      <c r="L479" s="20"/>
      <c r="M479" s="20"/>
      <c r="N479" s="20"/>
      <c r="O479" s="20"/>
      <c r="P479" s="20"/>
      <c r="Q479" s="20"/>
      <c r="R479" s="20"/>
      <c r="S479" s="20"/>
      <c r="T479" s="20"/>
      <c r="AE479" s="21" t="str">
        <f t="shared" si="100"/>
        <v/>
      </c>
      <c r="AF479" s="21" t="str">
        <f t="shared" ref="AF479:AN479" si="484">if(not(isblank(L479)),", "&amp;L479,"")</f>
        <v/>
      </c>
      <c r="AG479" s="21" t="str">
        <f t="shared" si="484"/>
        <v/>
      </c>
      <c r="AH479" s="21" t="str">
        <f t="shared" si="484"/>
        <v/>
      </c>
      <c r="AI479" s="21" t="str">
        <f t="shared" si="484"/>
        <v/>
      </c>
      <c r="AJ479" s="21" t="str">
        <f t="shared" si="484"/>
        <v/>
      </c>
      <c r="AK479" s="21" t="str">
        <f t="shared" si="484"/>
        <v/>
      </c>
      <c r="AL479" s="21" t="str">
        <f t="shared" si="484"/>
        <v/>
      </c>
      <c r="AM479" s="21" t="str">
        <f t="shared" si="484"/>
        <v/>
      </c>
      <c r="AN479" s="21" t="str">
        <f t="shared" si="484"/>
        <v/>
      </c>
      <c r="AO479" s="21" t="str">
        <f t="shared" si="102"/>
        <v/>
      </c>
    </row>
    <row r="480" ht="16.5" customHeight="1">
      <c r="J480" s="18"/>
      <c r="K480" s="19"/>
      <c r="L480" s="20"/>
      <c r="M480" s="20"/>
      <c r="N480" s="20"/>
      <c r="O480" s="20"/>
      <c r="P480" s="20"/>
      <c r="Q480" s="20"/>
      <c r="R480" s="20"/>
      <c r="S480" s="20"/>
      <c r="T480" s="20"/>
      <c r="AE480" s="21" t="str">
        <f t="shared" si="100"/>
        <v/>
      </c>
      <c r="AF480" s="21" t="str">
        <f t="shared" ref="AF480:AN480" si="485">if(not(isblank(L480)),", "&amp;L480,"")</f>
        <v/>
      </c>
      <c r="AG480" s="21" t="str">
        <f t="shared" si="485"/>
        <v/>
      </c>
      <c r="AH480" s="21" t="str">
        <f t="shared" si="485"/>
        <v/>
      </c>
      <c r="AI480" s="21" t="str">
        <f t="shared" si="485"/>
        <v/>
      </c>
      <c r="AJ480" s="21" t="str">
        <f t="shared" si="485"/>
        <v/>
      </c>
      <c r="AK480" s="21" t="str">
        <f t="shared" si="485"/>
        <v/>
      </c>
      <c r="AL480" s="21" t="str">
        <f t="shared" si="485"/>
        <v/>
      </c>
      <c r="AM480" s="21" t="str">
        <f t="shared" si="485"/>
        <v/>
      </c>
      <c r="AN480" s="21" t="str">
        <f t="shared" si="485"/>
        <v/>
      </c>
      <c r="AO480" s="21" t="str">
        <f t="shared" si="102"/>
        <v/>
      </c>
    </row>
    <row r="481" ht="16.5" customHeight="1">
      <c r="J481" s="18"/>
      <c r="K481" s="19"/>
      <c r="L481" s="20"/>
      <c r="M481" s="20"/>
      <c r="N481" s="20"/>
      <c r="O481" s="20"/>
      <c r="P481" s="20"/>
      <c r="Q481" s="20"/>
      <c r="R481" s="20"/>
      <c r="S481" s="20"/>
      <c r="T481" s="20"/>
      <c r="AE481" s="21" t="str">
        <f t="shared" si="100"/>
        <v/>
      </c>
      <c r="AF481" s="21" t="str">
        <f t="shared" ref="AF481:AN481" si="486">if(not(isblank(L481)),", "&amp;L481,"")</f>
        <v/>
      </c>
      <c r="AG481" s="21" t="str">
        <f t="shared" si="486"/>
        <v/>
      </c>
      <c r="AH481" s="21" t="str">
        <f t="shared" si="486"/>
        <v/>
      </c>
      <c r="AI481" s="21" t="str">
        <f t="shared" si="486"/>
        <v/>
      </c>
      <c r="AJ481" s="21" t="str">
        <f t="shared" si="486"/>
        <v/>
      </c>
      <c r="AK481" s="21" t="str">
        <f t="shared" si="486"/>
        <v/>
      </c>
      <c r="AL481" s="21" t="str">
        <f t="shared" si="486"/>
        <v/>
      </c>
      <c r="AM481" s="21" t="str">
        <f t="shared" si="486"/>
        <v/>
      </c>
      <c r="AN481" s="21" t="str">
        <f t="shared" si="486"/>
        <v/>
      </c>
      <c r="AO481" s="21" t="str">
        <f t="shared" si="102"/>
        <v/>
      </c>
    </row>
    <row r="482" ht="16.5" customHeight="1">
      <c r="J482" s="18"/>
      <c r="K482" s="19"/>
      <c r="L482" s="20"/>
      <c r="M482" s="20"/>
      <c r="N482" s="20"/>
      <c r="O482" s="20"/>
      <c r="P482" s="20"/>
      <c r="Q482" s="20"/>
      <c r="R482" s="20"/>
      <c r="S482" s="20"/>
      <c r="T482" s="20"/>
      <c r="AE482" s="21" t="str">
        <f t="shared" si="100"/>
        <v/>
      </c>
      <c r="AF482" s="21" t="str">
        <f t="shared" ref="AF482:AN482" si="487">if(not(isblank(L482)),", "&amp;L482,"")</f>
        <v/>
      </c>
      <c r="AG482" s="21" t="str">
        <f t="shared" si="487"/>
        <v/>
      </c>
      <c r="AH482" s="21" t="str">
        <f t="shared" si="487"/>
        <v/>
      </c>
      <c r="AI482" s="21" t="str">
        <f t="shared" si="487"/>
        <v/>
      </c>
      <c r="AJ482" s="21" t="str">
        <f t="shared" si="487"/>
        <v/>
      </c>
      <c r="AK482" s="21" t="str">
        <f t="shared" si="487"/>
        <v/>
      </c>
      <c r="AL482" s="21" t="str">
        <f t="shared" si="487"/>
        <v/>
      </c>
      <c r="AM482" s="21" t="str">
        <f t="shared" si="487"/>
        <v/>
      </c>
      <c r="AN482" s="21" t="str">
        <f t="shared" si="487"/>
        <v/>
      </c>
      <c r="AO482" s="21" t="str">
        <f t="shared" si="102"/>
        <v/>
      </c>
    </row>
    <row r="483" ht="16.5" customHeight="1">
      <c r="J483" s="18"/>
      <c r="K483" s="19"/>
      <c r="L483" s="20"/>
      <c r="M483" s="20"/>
      <c r="N483" s="20"/>
      <c r="O483" s="20"/>
      <c r="P483" s="20"/>
      <c r="Q483" s="20"/>
      <c r="R483" s="20"/>
      <c r="S483" s="20"/>
      <c r="T483" s="20"/>
      <c r="AE483" s="21" t="str">
        <f t="shared" si="100"/>
        <v/>
      </c>
      <c r="AF483" s="21" t="str">
        <f t="shared" ref="AF483:AN483" si="488">if(not(isblank(L483)),", "&amp;L483,"")</f>
        <v/>
      </c>
      <c r="AG483" s="21" t="str">
        <f t="shared" si="488"/>
        <v/>
      </c>
      <c r="AH483" s="21" t="str">
        <f t="shared" si="488"/>
        <v/>
      </c>
      <c r="AI483" s="21" t="str">
        <f t="shared" si="488"/>
        <v/>
      </c>
      <c r="AJ483" s="21" t="str">
        <f t="shared" si="488"/>
        <v/>
      </c>
      <c r="AK483" s="21" t="str">
        <f t="shared" si="488"/>
        <v/>
      </c>
      <c r="AL483" s="21" t="str">
        <f t="shared" si="488"/>
        <v/>
      </c>
      <c r="AM483" s="21" t="str">
        <f t="shared" si="488"/>
        <v/>
      </c>
      <c r="AN483" s="21" t="str">
        <f t="shared" si="488"/>
        <v/>
      </c>
      <c r="AO483" s="21" t="str">
        <f t="shared" si="102"/>
        <v/>
      </c>
    </row>
    <row r="484" ht="16.5" customHeight="1">
      <c r="J484" s="18"/>
      <c r="K484" s="19"/>
      <c r="L484" s="20"/>
      <c r="M484" s="20"/>
      <c r="N484" s="20"/>
      <c r="O484" s="20"/>
      <c r="P484" s="20"/>
      <c r="Q484" s="20"/>
      <c r="R484" s="20"/>
      <c r="S484" s="20"/>
      <c r="T484" s="20"/>
      <c r="AE484" s="21" t="str">
        <f t="shared" si="100"/>
        <v/>
      </c>
      <c r="AF484" s="21" t="str">
        <f t="shared" ref="AF484:AN484" si="489">if(not(isblank(L484)),", "&amp;L484,"")</f>
        <v/>
      </c>
      <c r="AG484" s="21" t="str">
        <f t="shared" si="489"/>
        <v/>
      </c>
      <c r="AH484" s="21" t="str">
        <f t="shared" si="489"/>
        <v/>
      </c>
      <c r="AI484" s="21" t="str">
        <f t="shared" si="489"/>
        <v/>
      </c>
      <c r="AJ484" s="21" t="str">
        <f t="shared" si="489"/>
        <v/>
      </c>
      <c r="AK484" s="21" t="str">
        <f t="shared" si="489"/>
        <v/>
      </c>
      <c r="AL484" s="21" t="str">
        <f t="shared" si="489"/>
        <v/>
      </c>
      <c r="AM484" s="21" t="str">
        <f t="shared" si="489"/>
        <v/>
      </c>
      <c r="AN484" s="21" t="str">
        <f t="shared" si="489"/>
        <v/>
      </c>
      <c r="AO484" s="21" t="str">
        <f t="shared" si="102"/>
        <v/>
      </c>
    </row>
    <row r="485" ht="16.5" customHeight="1">
      <c r="J485" s="18"/>
      <c r="K485" s="19"/>
      <c r="L485" s="20"/>
      <c r="M485" s="20"/>
      <c r="N485" s="20"/>
      <c r="O485" s="20"/>
      <c r="P485" s="20"/>
      <c r="Q485" s="20"/>
      <c r="R485" s="20"/>
      <c r="S485" s="20"/>
      <c r="T485" s="20"/>
      <c r="AE485" s="21" t="str">
        <f t="shared" si="100"/>
        <v/>
      </c>
      <c r="AF485" s="21" t="str">
        <f t="shared" ref="AF485:AN485" si="490">if(not(isblank(L485)),", "&amp;L485,"")</f>
        <v/>
      </c>
      <c r="AG485" s="21" t="str">
        <f t="shared" si="490"/>
        <v/>
      </c>
      <c r="AH485" s="21" t="str">
        <f t="shared" si="490"/>
        <v/>
      </c>
      <c r="AI485" s="21" t="str">
        <f t="shared" si="490"/>
        <v/>
      </c>
      <c r="AJ485" s="21" t="str">
        <f t="shared" si="490"/>
        <v/>
      </c>
      <c r="AK485" s="21" t="str">
        <f t="shared" si="490"/>
        <v/>
      </c>
      <c r="AL485" s="21" t="str">
        <f t="shared" si="490"/>
        <v/>
      </c>
      <c r="AM485" s="21" t="str">
        <f t="shared" si="490"/>
        <v/>
      </c>
      <c r="AN485" s="21" t="str">
        <f t="shared" si="490"/>
        <v/>
      </c>
      <c r="AO485" s="21" t="str">
        <f t="shared" si="102"/>
        <v/>
      </c>
    </row>
    <row r="486" ht="16.5" customHeight="1">
      <c r="J486" s="18"/>
      <c r="K486" s="19"/>
      <c r="L486" s="20"/>
      <c r="M486" s="20"/>
      <c r="N486" s="20"/>
      <c r="O486" s="20"/>
      <c r="P486" s="20"/>
      <c r="Q486" s="20"/>
      <c r="R486" s="20"/>
      <c r="S486" s="20"/>
      <c r="T486" s="20"/>
      <c r="AE486" s="21" t="str">
        <f t="shared" si="100"/>
        <v/>
      </c>
      <c r="AF486" s="21" t="str">
        <f t="shared" ref="AF486:AN486" si="491">if(not(isblank(L486)),", "&amp;L486,"")</f>
        <v/>
      </c>
      <c r="AG486" s="21" t="str">
        <f t="shared" si="491"/>
        <v/>
      </c>
      <c r="AH486" s="21" t="str">
        <f t="shared" si="491"/>
        <v/>
      </c>
      <c r="AI486" s="21" t="str">
        <f t="shared" si="491"/>
        <v/>
      </c>
      <c r="AJ486" s="21" t="str">
        <f t="shared" si="491"/>
        <v/>
      </c>
      <c r="AK486" s="21" t="str">
        <f t="shared" si="491"/>
        <v/>
      </c>
      <c r="AL486" s="21" t="str">
        <f t="shared" si="491"/>
        <v/>
      </c>
      <c r="AM486" s="21" t="str">
        <f t="shared" si="491"/>
        <v/>
      </c>
      <c r="AN486" s="21" t="str">
        <f t="shared" si="491"/>
        <v/>
      </c>
      <c r="AO486" s="21" t="str">
        <f t="shared" si="102"/>
        <v/>
      </c>
    </row>
    <row r="487" ht="16.5" customHeight="1">
      <c r="J487" s="18"/>
      <c r="K487" s="19"/>
      <c r="L487" s="20"/>
      <c r="M487" s="20"/>
      <c r="N487" s="20"/>
      <c r="O487" s="20"/>
      <c r="P487" s="20"/>
      <c r="Q487" s="20"/>
      <c r="R487" s="20"/>
      <c r="S487" s="20"/>
      <c r="T487" s="20"/>
      <c r="AE487" s="21" t="str">
        <f t="shared" si="100"/>
        <v/>
      </c>
      <c r="AF487" s="21" t="str">
        <f t="shared" ref="AF487:AN487" si="492">if(not(isblank(L487)),", "&amp;L487,"")</f>
        <v/>
      </c>
      <c r="AG487" s="21" t="str">
        <f t="shared" si="492"/>
        <v/>
      </c>
      <c r="AH487" s="21" t="str">
        <f t="shared" si="492"/>
        <v/>
      </c>
      <c r="AI487" s="21" t="str">
        <f t="shared" si="492"/>
        <v/>
      </c>
      <c r="AJ487" s="21" t="str">
        <f t="shared" si="492"/>
        <v/>
      </c>
      <c r="AK487" s="21" t="str">
        <f t="shared" si="492"/>
        <v/>
      </c>
      <c r="AL487" s="21" t="str">
        <f t="shared" si="492"/>
        <v/>
      </c>
      <c r="AM487" s="21" t="str">
        <f t="shared" si="492"/>
        <v/>
      </c>
      <c r="AN487" s="21" t="str">
        <f t="shared" si="492"/>
        <v/>
      </c>
      <c r="AO487" s="21" t="str">
        <f t="shared" si="102"/>
        <v/>
      </c>
    </row>
    <row r="488" ht="16.5" customHeight="1">
      <c r="J488" s="18"/>
      <c r="K488" s="19"/>
      <c r="L488" s="20"/>
      <c r="M488" s="20"/>
      <c r="N488" s="20"/>
      <c r="O488" s="20"/>
      <c r="P488" s="20"/>
      <c r="Q488" s="20"/>
      <c r="R488" s="20"/>
      <c r="S488" s="20"/>
      <c r="T488" s="20"/>
      <c r="AE488" s="21" t="str">
        <f t="shared" si="100"/>
        <v/>
      </c>
      <c r="AF488" s="21" t="str">
        <f t="shared" ref="AF488:AN488" si="493">if(not(isblank(L488)),", "&amp;L488,"")</f>
        <v/>
      </c>
      <c r="AG488" s="21" t="str">
        <f t="shared" si="493"/>
        <v/>
      </c>
      <c r="AH488" s="21" t="str">
        <f t="shared" si="493"/>
        <v/>
      </c>
      <c r="AI488" s="21" t="str">
        <f t="shared" si="493"/>
        <v/>
      </c>
      <c r="AJ488" s="21" t="str">
        <f t="shared" si="493"/>
        <v/>
      </c>
      <c r="AK488" s="21" t="str">
        <f t="shared" si="493"/>
        <v/>
      </c>
      <c r="AL488" s="21" t="str">
        <f t="shared" si="493"/>
        <v/>
      </c>
      <c r="AM488" s="21" t="str">
        <f t="shared" si="493"/>
        <v/>
      </c>
      <c r="AN488" s="21" t="str">
        <f t="shared" si="493"/>
        <v/>
      </c>
      <c r="AO488" s="21" t="str">
        <f t="shared" si="102"/>
        <v/>
      </c>
    </row>
    <row r="489" ht="16.5" customHeight="1">
      <c r="J489" s="18"/>
      <c r="K489" s="19"/>
      <c r="L489" s="20"/>
      <c r="M489" s="20"/>
      <c r="N489" s="20"/>
      <c r="O489" s="20"/>
      <c r="P489" s="20"/>
      <c r="Q489" s="20"/>
      <c r="R489" s="20"/>
      <c r="S489" s="20"/>
      <c r="T489" s="20"/>
      <c r="AE489" s="21" t="str">
        <f t="shared" si="100"/>
        <v/>
      </c>
      <c r="AF489" s="21" t="str">
        <f t="shared" ref="AF489:AN489" si="494">if(not(isblank(L489)),", "&amp;L489,"")</f>
        <v/>
      </c>
      <c r="AG489" s="21" t="str">
        <f t="shared" si="494"/>
        <v/>
      </c>
      <c r="AH489" s="21" t="str">
        <f t="shared" si="494"/>
        <v/>
      </c>
      <c r="AI489" s="21" t="str">
        <f t="shared" si="494"/>
        <v/>
      </c>
      <c r="AJ489" s="21" t="str">
        <f t="shared" si="494"/>
        <v/>
      </c>
      <c r="AK489" s="21" t="str">
        <f t="shared" si="494"/>
        <v/>
      </c>
      <c r="AL489" s="21" t="str">
        <f t="shared" si="494"/>
        <v/>
      </c>
      <c r="AM489" s="21" t="str">
        <f t="shared" si="494"/>
        <v/>
      </c>
      <c r="AN489" s="21" t="str">
        <f t="shared" si="494"/>
        <v/>
      </c>
      <c r="AO489" s="21" t="str">
        <f t="shared" si="102"/>
        <v/>
      </c>
    </row>
    <row r="490" ht="16.5" customHeight="1">
      <c r="J490" s="18"/>
      <c r="K490" s="19"/>
      <c r="L490" s="20"/>
      <c r="M490" s="20"/>
      <c r="N490" s="20"/>
      <c r="O490" s="20"/>
      <c r="P490" s="20"/>
      <c r="Q490" s="20"/>
      <c r="R490" s="20"/>
      <c r="S490" s="20"/>
      <c r="T490" s="20"/>
      <c r="AE490" s="21" t="str">
        <f t="shared" si="100"/>
        <v/>
      </c>
      <c r="AF490" s="21" t="str">
        <f t="shared" ref="AF490:AN490" si="495">if(not(isblank(L490)),", "&amp;L490,"")</f>
        <v/>
      </c>
      <c r="AG490" s="21" t="str">
        <f t="shared" si="495"/>
        <v/>
      </c>
      <c r="AH490" s="21" t="str">
        <f t="shared" si="495"/>
        <v/>
      </c>
      <c r="AI490" s="21" t="str">
        <f t="shared" si="495"/>
        <v/>
      </c>
      <c r="AJ490" s="21" t="str">
        <f t="shared" si="495"/>
        <v/>
      </c>
      <c r="AK490" s="21" t="str">
        <f t="shared" si="495"/>
        <v/>
      </c>
      <c r="AL490" s="21" t="str">
        <f t="shared" si="495"/>
        <v/>
      </c>
      <c r="AM490" s="21" t="str">
        <f t="shared" si="495"/>
        <v/>
      </c>
      <c r="AN490" s="21" t="str">
        <f t="shared" si="495"/>
        <v/>
      </c>
      <c r="AO490" s="21" t="str">
        <f t="shared" si="102"/>
        <v/>
      </c>
    </row>
    <row r="491" ht="16.5" customHeight="1">
      <c r="J491" s="18"/>
      <c r="K491" s="19"/>
      <c r="L491" s="20"/>
      <c r="M491" s="20"/>
      <c r="N491" s="20"/>
      <c r="O491" s="20"/>
      <c r="P491" s="20"/>
      <c r="Q491" s="20"/>
      <c r="R491" s="20"/>
      <c r="S491" s="20"/>
      <c r="T491" s="20"/>
      <c r="AE491" s="21" t="str">
        <f t="shared" si="100"/>
        <v/>
      </c>
      <c r="AF491" s="21" t="str">
        <f t="shared" ref="AF491:AN491" si="496">if(not(isblank(L491)),", "&amp;L491,"")</f>
        <v/>
      </c>
      <c r="AG491" s="21" t="str">
        <f t="shared" si="496"/>
        <v/>
      </c>
      <c r="AH491" s="21" t="str">
        <f t="shared" si="496"/>
        <v/>
      </c>
      <c r="AI491" s="21" t="str">
        <f t="shared" si="496"/>
        <v/>
      </c>
      <c r="AJ491" s="21" t="str">
        <f t="shared" si="496"/>
        <v/>
      </c>
      <c r="AK491" s="21" t="str">
        <f t="shared" si="496"/>
        <v/>
      </c>
      <c r="AL491" s="21" t="str">
        <f t="shared" si="496"/>
        <v/>
      </c>
      <c r="AM491" s="21" t="str">
        <f t="shared" si="496"/>
        <v/>
      </c>
      <c r="AN491" s="21" t="str">
        <f t="shared" si="496"/>
        <v/>
      </c>
      <c r="AO491" s="21" t="str">
        <f t="shared" si="102"/>
        <v/>
      </c>
    </row>
    <row r="492" ht="16.5" customHeight="1">
      <c r="J492" s="18"/>
      <c r="K492" s="19"/>
      <c r="L492" s="20"/>
      <c r="M492" s="20"/>
      <c r="N492" s="20"/>
      <c r="O492" s="20"/>
      <c r="P492" s="20"/>
      <c r="Q492" s="20"/>
      <c r="R492" s="20"/>
      <c r="S492" s="20"/>
      <c r="T492" s="20"/>
      <c r="AE492" s="21" t="str">
        <f t="shared" si="100"/>
        <v/>
      </c>
      <c r="AF492" s="21" t="str">
        <f t="shared" ref="AF492:AN492" si="497">if(not(isblank(L492)),", "&amp;L492,"")</f>
        <v/>
      </c>
      <c r="AG492" s="21" t="str">
        <f t="shared" si="497"/>
        <v/>
      </c>
      <c r="AH492" s="21" t="str">
        <f t="shared" si="497"/>
        <v/>
      </c>
      <c r="AI492" s="21" t="str">
        <f t="shared" si="497"/>
        <v/>
      </c>
      <c r="AJ492" s="21" t="str">
        <f t="shared" si="497"/>
        <v/>
      </c>
      <c r="AK492" s="21" t="str">
        <f t="shared" si="497"/>
        <v/>
      </c>
      <c r="AL492" s="21" t="str">
        <f t="shared" si="497"/>
        <v/>
      </c>
      <c r="AM492" s="21" t="str">
        <f t="shared" si="497"/>
        <v/>
      </c>
      <c r="AN492" s="21" t="str">
        <f t="shared" si="497"/>
        <v/>
      </c>
      <c r="AO492" s="21" t="str">
        <f t="shared" si="102"/>
        <v/>
      </c>
    </row>
    <row r="493" ht="16.5" customHeight="1">
      <c r="J493" s="18"/>
      <c r="K493" s="19"/>
      <c r="L493" s="20"/>
      <c r="M493" s="20"/>
      <c r="N493" s="20"/>
      <c r="O493" s="20"/>
      <c r="P493" s="20"/>
      <c r="Q493" s="20"/>
      <c r="R493" s="20"/>
      <c r="S493" s="20"/>
      <c r="T493" s="20"/>
      <c r="AE493" s="21" t="str">
        <f t="shared" si="100"/>
        <v/>
      </c>
      <c r="AF493" s="21" t="str">
        <f t="shared" ref="AF493:AN493" si="498">if(not(isblank(L493)),", "&amp;L493,"")</f>
        <v/>
      </c>
      <c r="AG493" s="21" t="str">
        <f t="shared" si="498"/>
        <v/>
      </c>
      <c r="AH493" s="21" t="str">
        <f t="shared" si="498"/>
        <v/>
      </c>
      <c r="AI493" s="21" t="str">
        <f t="shared" si="498"/>
        <v/>
      </c>
      <c r="AJ493" s="21" t="str">
        <f t="shared" si="498"/>
        <v/>
      </c>
      <c r="AK493" s="21" t="str">
        <f t="shared" si="498"/>
        <v/>
      </c>
      <c r="AL493" s="21" t="str">
        <f t="shared" si="498"/>
        <v/>
      </c>
      <c r="AM493" s="21" t="str">
        <f t="shared" si="498"/>
        <v/>
      </c>
      <c r="AN493" s="21" t="str">
        <f t="shared" si="498"/>
        <v/>
      </c>
      <c r="AO493" s="21" t="str">
        <f t="shared" si="102"/>
        <v/>
      </c>
    </row>
    <row r="494" ht="16.5" customHeight="1">
      <c r="J494" s="18"/>
      <c r="K494" s="19"/>
      <c r="L494" s="20"/>
      <c r="M494" s="20"/>
      <c r="N494" s="20"/>
      <c r="O494" s="20"/>
      <c r="P494" s="20"/>
      <c r="Q494" s="20"/>
      <c r="R494" s="20"/>
      <c r="S494" s="20"/>
      <c r="T494" s="20"/>
      <c r="AE494" s="21" t="str">
        <f t="shared" si="100"/>
        <v/>
      </c>
      <c r="AF494" s="21" t="str">
        <f t="shared" ref="AF494:AN494" si="499">if(not(isblank(L494)),", "&amp;L494,"")</f>
        <v/>
      </c>
      <c r="AG494" s="21" t="str">
        <f t="shared" si="499"/>
        <v/>
      </c>
      <c r="AH494" s="21" t="str">
        <f t="shared" si="499"/>
        <v/>
      </c>
      <c r="AI494" s="21" t="str">
        <f t="shared" si="499"/>
        <v/>
      </c>
      <c r="AJ494" s="21" t="str">
        <f t="shared" si="499"/>
        <v/>
      </c>
      <c r="AK494" s="21" t="str">
        <f t="shared" si="499"/>
        <v/>
      </c>
      <c r="AL494" s="21" t="str">
        <f t="shared" si="499"/>
        <v/>
      </c>
      <c r="AM494" s="21" t="str">
        <f t="shared" si="499"/>
        <v/>
      </c>
      <c r="AN494" s="21" t="str">
        <f t="shared" si="499"/>
        <v/>
      </c>
      <c r="AO494" s="21" t="str">
        <f t="shared" si="102"/>
        <v/>
      </c>
    </row>
    <row r="495" ht="16.5" customHeight="1">
      <c r="J495" s="18"/>
      <c r="K495" s="19"/>
      <c r="L495" s="20"/>
      <c r="M495" s="20"/>
      <c r="N495" s="20"/>
      <c r="O495" s="20"/>
      <c r="P495" s="20"/>
      <c r="Q495" s="20"/>
      <c r="R495" s="20"/>
      <c r="S495" s="20"/>
      <c r="T495" s="20"/>
      <c r="AE495" s="21" t="str">
        <f t="shared" si="100"/>
        <v/>
      </c>
      <c r="AF495" s="21" t="str">
        <f t="shared" ref="AF495:AN495" si="500">if(not(isblank(L495)),", "&amp;L495,"")</f>
        <v/>
      </c>
      <c r="AG495" s="21" t="str">
        <f t="shared" si="500"/>
        <v/>
      </c>
      <c r="AH495" s="21" t="str">
        <f t="shared" si="500"/>
        <v/>
      </c>
      <c r="AI495" s="21" t="str">
        <f t="shared" si="500"/>
        <v/>
      </c>
      <c r="AJ495" s="21" t="str">
        <f t="shared" si="500"/>
        <v/>
      </c>
      <c r="AK495" s="21" t="str">
        <f t="shared" si="500"/>
        <v/>
      </c>
      <c r="AL495" s="21" t="str">
        <f t="shared" si="500"/>
        <v/>
      </c>
      <c r="AM495" s="21" t="str">
        <f t="shared" si="500"/>
        <v/>
      </c>
      <c r="AN495" s="21" t="str">
        <f t="shared" si="500"/>
        <v/>
      </c>
      <c r="AO495" s="21" t="str">
        <f t="shared" si="102"/>
        <v/>
      </c>
    </row>
    <row r="496" ht="16.5" customHeight="1">
      <c r="J496" s="18"/>
      <c r="K496" s="19"/>
      <c r="L496" s="20"/>
      <c r="M496" s="20"/>
      <c r="N496" s="20"/>
      <c r="O496" s="20"/>
      <c r="P496" s="20"/>
      <c r="Q496" s="20"/>
      <c r="R496" s="20"/>
      <c r="S496" s="20"/>
      <c r="T496" s="20"/>
      <c r="AE496" s="21" t="str">
        <f t="shared" si="100"/>
        <v/>
      </c>
      <c r="AF496" s="21" t="str">
        <f t="shared" ref="AF496:AN496" si="501">if(not(isblank(L496)),", "&amp;L496,"")</f>
        <v/>
      </c>
      <c r="AG496" s="21" t="str">
        <f t="shared" si="501"/>
        <v/>
      </c>
      <c r="AH496" s="21" t="str">
        <f t="shared" si="501"/>
        <v/>
      </c>
      <c r="AI496" s="21" t="str">
        <f t="shared" si="501"/>
        <v/>
      </c>
      <c r="AJ496" s="21" t="str">
        <f t="shared" si="501"/>
        <v/>
      </c>
      <c r="AK496" s="21" t="str">
        <f t="shared" si="501"/>
        <v/>
      </c>
      <c r="AL496" s="21" t="str">
        <f t="shared" si="501"/>
        <v/>
      </c>
      <c r="AM496" s="21" t="str">
        <f t="shared" si="501"/>
        <v/>
      </c>
      <c r="AN496" s="21" t="str">
        <f t="shared" si="501"/>
        <v/>
      </c>
      <c r="AO496" s="21" t="str">
        <f t="shared" si="102"/>
        <v/>
      </c>
    </row>
    <row r="497" ht="16.5" customHeight="1">
      <c r="J497" s="18"/>
      <c r="K497" s="19"/>
      <c r="L497" s="20"/>
      <c r="M497" s="20"/>
      <c r="N497" s="20"/>
      <c r="O497" s="20"/>
      <c r="P497" s="20"/>
      <c r="Q497" s="20"/>
      <c r="R497" s="20"/>
      <c r="S497" s="20"/>
      <c r="T497" s="20"/>
      <c r="AE497" s="21" t="str">
        <f t="shared" si="100"/>
        <v/>
      </c>
      <c r="AF497" s="21" t="str">
        <f t="shared" ref="AF497:AN497" si="502">if(not(isblank(L497)),", "&amp;L497,"")</f>
        <v/>
      </c>
      <c r="AG497" s="21" t="str">
        <f t="shared" si="502"/>
        <v/>
      </c>
      <c r="AH497" s="21" t="str">
        <f t="shared" si="502"/>
        <v/>
      </c>
      <c r="AI497" s="21" t="str">
        <f t="shared" si="502"/>
        <v/>
      </c>
      <c r="AJ497" s="21" t="str">
        <f t="shared" si="502"/>
        <v/>
      </c>
      <c r="AK497" s="21" t="str">
        <f t="shared" si="502"/>
        <v/>
      </c>
      <c r="AL497" s="21" t="str">
        <f t="shared" si="502"/>
        <v/>
      </c>
      <c r="AM497" s="21" t="str">
        <f t="shared" si="502"/>
        <v/>
      </c>
      <c r="AN497" s="21" t="str">
        <f t="shared" si="502"/>
        <v/>
      </c>
      <c r="AO497" s="21" t="str">
        <f t="shared" si="102"/>
        <v/>
      </c>
    </row>
    <row r="498" ht="16.5" customHeight="1">
      <c r="J498" s="18"/>
      <c r="K498" s="19"/>
      <c r="L498" s="20"/>
      <c r="M498" s="20"/>
      <c r="N498" s="20"/>
      <c r="O498" s="20"/>
      <c r="P498" s="20"/>
      <c r="Q498" s="20"/>
      <c r="R498" s="20"/>
      <c r="S498" s="20"/>
      <c r="T498" s="20"/>
      <c r="AE498" s="21" t="str">
        <f t="shared" si="100"/>
        <v/>
      </c>
      <c r="AF498" s="21" t="str">
        <f t="shared" ref="AF498:AN498" si="503">if(not(isblank(L498)),", "&amp;L498,"")</f>
        <v/>
      </c>
      <c r="AG498" s="21" t="str">
        <f t="shared" si="503"/>
        <v/>
      </c>
      <c r="AH498" s="21" t="str">
        <f t="shared" si="503"/>
        <v/>
      </c>
      <c r="AI498" s="21" t="str">
        <f t="shared" si="503"/>
        <v/>
      </c>
      <c r="AJ498" s="21" t="str">
        <f t="shared" si="503"/>
        <v/>
      </c>
      <c r="AK498" s="21" t="str">
        <f t="shared" si="503"/>
        <v/>
      </c>
      <c r="AL498" s="21" t="str">
        <f t="shared" si="503"/>
        <v/>
      </c>
      <c r="AM498" s="21" t="str">
        <f t="shared" si="503"/>
        <v/>
      </c>
      <c r="AN498" s="21" t="str">
        <f t="shared" si="503"/>
        <v/>
      </c>
      <c r="AO498" s="21" t="str">
        <f t="shared" si="102"/>
        <v/>
      </c>
    </row>
    <row r="499" ht="16.5" customHeight="1">
      <c r="J499" s="18"/>
      <c r="K499" s="19"/>
      <c r="L499" s="20"/>
      <c r="M499" s="20"/>
      <c r="N499" s="20"/>
      <c r="O499" s="20"/>
      <c r="P499" s="20"/>
      <c r="Q499" s="20"/>
      <c r="R499" s="20"/>
      <c r="S499" s="20"/>
      <c r="T499" s="20"/>
      <c r="AE499" s="21" t="str">
        <f t="shared" si="100"/>
        <v/>
      </c>
      <c r="AF499" s="21" t="str">
        <f t="shared" ref="AF499:AN499" si="504">if(not(isblank(L499)),", "&amp;L499,"")</f>
        <v/>
      </c>
      <c r="AG499" s="21" t="str">
        <f t="shared" si="504"/>
        <v/>
      </c>
      <c r="AH499" s="21" t="str">
        <f t="shared" si="504"/>
        <v/>
      </c>
      <c r="AI499" s="21" t="str">
        <f t="shared" si="504"/>
        <v/>
      </c>
      <c r="AJ499" s="21" t="str">
        <f t="shared" si="504"/>
        <v/>
      </c>
      <c r="AK499" s="21" t="str">
        <f t="shared" si="504"/>
        <v/>
      </c>
      <c r="AL499" s="21" t="str">
        <f t="shared" si="504"/>
        <v/>
      </c>
      <c r="AM499" s="21" t="str">
        <f t="shared" si="504"/>
        <v/>
      </c>
      <c r="AN499" s="21" t="str">
        <f t="shared" si="504"/>
        <v/>
      </c>
      <c r="AO499" s="21" t="str">
        <f t="shared" si="102"/>
        <v/>
      </c>
    </row>
    <row r="500" ht="16.5" customHeight="1">
      <c r="J500" s="18"/>
      <c r="K500" s="19"/>
      <c r="L500" s="20"/>
      <c r="M500" s="20"/>
      <c r="N500" s="20"/>
      <c r="O500" s="20"/>
      <c r="P500" s="20"/>
      <c r="Q500" s="20"/>
      <c r="R500" s="20"/>
      <c r="S500" s="20"/>
      <c r="T500" s="20"/>
      <c r="AE500" s="21" t="str">
        <f t="shared" si="100"/>
        <v/>
      </c>
      <c r="AF500" s="21" t="str">
        <f t="shared" ref="AF500:AN500" si="505">if(not(isblank(L500)),", "&amp;L500,"")</f>
        <v/>
      </c>
      <c r="AG500" s="21" t="str">
        <f t="shared" si="505"/>
        <v/>
      </c>
      <c r="AH500" s="21" t="str">
        <f t="shared" si="505"/>
        <v/>
      </c>
      <c r="AI500" s="21" t="str">
        <f t="shared" si="505"/>
        <v/>
      </c>
      <c r="AJ500" s="21" t="str">
        <f t="shared" si="505"/>
        <v/>
      </c>
      <c r="AK500" s="21" t="str">
        <f t="shared" si="505"/>
        <v/>
      </c>
      <c r="AL500" s="21" t="str">
        <f t="shared" si="505"/>
        <v/>
      </c>
      <c r="AM500" s="21" t="str">
        <f t="shared" si="505"/>
        <v/>
      </c>
      <c r="AN500" s="21" t="str">
        <f t="shared" si="505"/>
        <v/>
      </c>
      <c r="AO500" s="21" t="str">
        <f t="shared" si="102"/>
        <v/>
      </c>
    </row>
    <row r="501" ht="16.5" customHeight="1">
      <c r="J501" s="18"/>
      <c r="K501" s="19"/>
      <c r="L501" s="20"/>
      <c r="M501" s="20"/>
      <c r="N501" s="20"/>
      <c r="O501" s="20"/>
      <c r="P501" s="20"/>
      <c r="Q501" s="20"/>
      <c r="R501" s="20"/>
      <c r="S501" s="20"/>
      <c r="T501" s="20"/>
      <c r="AE501" s="21" t="str">
        <f t="shared" si="100"/>
        <v/>
      </c>
      <c r="AF501" s="21" t="str">
        <f t="shared" ref="AF501:AN501" si="506">if(not(isblank(L501)),", "&amp;L501,"")</f>
        <v/>
      </c>
      <c r="AG501" s="21" t="str">
        <f t="shared" si="506"/>
        <v/>
      </c>
      <c r="AH501" s="21" t="str">
        <f t="shared" si="506"/>
        <v/>
      </c>
      <c r="AI501" s="21" t="str">
        <f t="shared" si="506"/>
        <v/>
      </c>
      <c r="AJ501" s="21" t="str">
        <f t="shared" si="506"/>
        <v/>
      </c>
      <c r="AK501" s="21" t="str">
        <f t="shared" si="506"/>
        <v/>
      </c>
      <c r="AL501" s="21" t="str">
        <f t="shared" si="506"/>
        <v/>
      </c>
      <c r="AM501" s="21" t="str">
        <f t="shared" si="506"/>
        <v/>
      </c>
      <c r="AN501" s="21" t="str">
        <f t="shared" si="506"/>
        <v/>
      </c>
      <c r="AO501" s="21" t="str">
        <f t="shared" si="102"/>
        <v/>
      </c>
    </row>
    <row r="502" ht="16.5" customHeight="1">
      <c r="J502" s="18"/>
      <c r="K502" s="19"/>
      <c r="L502" s="20"/>
      <c r="M502" s="20"/>
      <c r="N502" s="20"/>
      <c r="O502" s="20"/>
      <c r="P502" s="20"/>
      <c r="Q502" s="20"/>
      <c r="R502" s="20"/>
      <c r="S502" s="20"/>
      <c r="T502" s="20"/>
      <c r="AE502" s="21" t="str">
        <f t="shared" si="100"/>
        <v/>
      </c>
      <c r="AF502" s="21" t="str">
        <f t="shared" ref="AF502:AN502" si="507">if(not(isblank(L502)),", "&amp;L502,"")</f>
        <v/>
      </c>
      <c r="AG502" s="21" t="str">
        <f t="shared" si="507"/>
        <v/>
      </c>
      <c r="AH502" s="21" t="str">
        <f t="shared" si="507"/>
        <v/>
      </c>
      <c r="AI502" s="21" t="str">
        <f t="shared" si="507"/>
        <v/>
      </c>
      <c r="AJ502" s="21" t="str">
        <f t="shared" si="507"/>
        <v/>
      </c>
      <c r="AK502" s="21" t="str">
        <f t="shared" si="507"/>
        <v/>
      </c>
      <c r="AL502" s="21" t="str">
        <f t="shared" si="507"/>
        <v/>
      </c>
      <c r="AM502" s="21" t="str">
        <f t="shared" si="507"/>
        <v/>
      </c>
      <c r="AN502" s="21" t="str">
        <f t="shared" si="507"/>
        <v/>
      </c>
      <c r="AO502" s="21" t="str">
        <f t="shared" si="102"/>
        <v/>
      </c>
    </row>
    <row r="503" ht="16.5" customHeight="1">
      <c r="J503" s="18"/>
      <c r="K503" s="19"/>
      <c r="L503" s="20"/>
      <c r="M503" s="20"/>
      <c r="N503" s="20"/>
      <c r="O503" s="20"/>
      <c r="P503" s="20"/>
      <c r="Q503" s="20"/>
      <c r="R503" s="20"/>
      <c r="S503" s="20"/>
      <c r="T503" s="20"/>
      <c r="AE503" s="21" t="str">
        <f t="shared" si="100"/>
        <v/>
      </c>
      <c r="AF503" s="21" t="str">
        <f t="shared" ref="AF503:AN503" si="508">if(not(isblank(L503)),", "&amp;L503,"")</f>
        <v/>
      </c>
      <c r="AG503" s="21" t="str">
        <f t="shared" si="508"/>
        <v/>
      </c>
      <c r="AH503" s="21" t="str">
        <f t="shared" si="508"/>
        <v/>
      </c>
      <c r="AI503" s="21" t="str">
        <f t="shared" si="508"/>
        <v/>
      </c>
      <c r="AJ503" s="21" t="str">
        <f t="shared" si="508"/>
        <v/>
      </c>
      <c r="AK503" s="21" t="str">
        <f t="shared" si="508"/>
        <v/>
      </c>
      <c r="AL503" s="21" t="str">
        <f t="shared" si="508"/>
        <v/>
      </c>
      <c r="AM503" s="21" t="str">
        <f t="shared" si="508"/>
        <v/>
      </c>
      <c r="AN503" s="21" t="str">
        <f t="shared" si="508"/>
        <v/>
      </c>
      <c r="AO503" s="21" t="str">
        <f t="shared" si="102"/>
        <v/>
      </c>
    </row>
    <row r="504" ht="16.5" customHeight="1">
      <c r="J504" s="18"/>
      <c r="K504" s="19"/>
      <c r="L504" s="20"/>
      <c r="M504" s="20"/>
      <c r="N504" s="20"/>
      <c r="O504" s="20"/>
      <c r="P504" s="20"/>
      <c r="Q504" s="20"/>
      <c r="R504" s="20"/>
      <c r="S504" s="20"/>
      <c r="T504" s="20"/>
      <c r="AE504" s="21" t="str">
        <f t="shared" si="100"/>
        <v/>
      </c>
      <c r="AF504" s="21" t="str">
        <f t="shared" ref="AF504:AN504" si="509">if(not(isblank(L504)),", "&amp;L504,"")</f>
        <v/>
      </c>
      <c r="AG504" s="21" t="str">
        <f t="shared" si="509"/>
        <v/>
      </c>
      <c r="AH504" s="21" t="str">
        <f t="shared" si="509"/>
        <v/>
      </c>
      <c r="AI504" s="21" t="str">
        <f t="shared" si="509"/>
        <v/>
      </c>
      <c r="AJ504" s="21" t="str">
        <f t="shared" si="509"/>
        <v/>
      </c>
      <c r="AK504" s="21" t="str">
        <f t="shared" si="509"/>
        <v/>
      </c>
      <c r="AL504" s="21" t="str">
        <f t="shared" si="509"/>
        <v/>
      </c>
      <c r="AM504" s="21" t="str">
        <f t="shared" si="509"/>
        <v/>
      </c>
      <c r="AN504" s="21" t="str">
        <f t="shared" si="509"/>
        <v/>
      </c>
      <c r="AO504" s="21" t="str">
        <f t="shared" si="102"/>
        <v/>
      </c>
    </row>
    <row r="505" ht="16.5" customHeight="1">
      <c r="J505" s="18"/>
      <c r="K505" s="19"/>
      <c r="L505" s="20"/>
      <c r="M505" s="20"/>
      <c r="N505" s="20"/>
      <c r="O505" s="20"/>
      <c r="P505" s="20"/>
      <c r="Q505" s="20"/>
      <c r="R505" s="20"/>
      <c r="S505" s="20"/>
      <c r="T505" s="20"/>
      <c r="AE505" s="21" t="str">
        <f t="shared" si="100"/>
        <v/>
      </c>
      <c r="AF505" s="21" t="str">
        <f t="shared" ref="AF505:AN505" si="510">if(not(isblank(L505)),", "&amp;L505,"")</f>
        <v/>
      </c>
      <c r="AG505" s="21" t="str">
        <f t="shared" si="510"/>
        <v/>
      </c>
      <c r="AH505" s="21" t="str">
        <f t="shared" si="510"/>
        <v/>
      </c>
      <c r="AI505" s="21" t="str">
        <f t="shared" si="510"/>
        <v/>
      </c>
      <c r="AJ505" s="21" t="str">
        <f t="shared" si="510"/>
        <v/>
      </c>
      <c r="AK505" s="21" t="str">
        <f t="shared" si="510"/>
        <v/>
      </c>
      <c r="AL505" s="21" t="str">
        <f t="shared" si="510"/>
        <v/>
      </c>
      <c r="AM505" s="21" t="str">
        <f t="shared" si="510"/>
        <v/>
      </c>
      <c r="AN505" s="21" t="str">
        <f t="shared" si="510"/>
        <v/>
      </c>
      <c r="AO505" s="21" t="str">
        <f t="shared" si="102"/>
        <v/>
      </c>
    </row>
    <row r="506" ht="16.5" customHeight="1">
      <c r="J506" s="18"/>
      <c r="K506" s="19"/>
      <c r="L506" s="20"/>
      <c r="M506" s="20"/>
      <c r="N506" s="20"/>
      <c r="O506" s="20"/>
      <c r="P506" s="20"/>
      <c r="Q506" s="20"/>
      <c r="R506" s="20"/>
      <c r="S506" s="20"/>
      <c r="T506" s="20"/>
      <c r="AE506" s="21" t="str">
        <f t="shared" si="100"/>
        <v/>
      </c>
      <c r="AF506" s="21" t="str">
        <f t="shared" ref="AF506:AN506" si="511">if(not(isblank(L506)),", "&amp;L506,"")</f>
        <v/>
      </c>
      <c r="AG506" s="21" t="str">
        <f t="shared" si="511"/>
        <v/>
      </c>
      <c r="AH506" s="21" t="str">
        <f t="shared" si="511"/>
        <v/>
      </c>
      <c r="AI506" s="21" t="str">
        <f t="shared" si="511"/>
        <v/>
      </c>
      <c r="AJ506" s="21" t="str">
        <f t="shared" si="511"/>
        <v/>
      </c>
      <c r="AK506" s="21" t="str">
        <f t="shared" si="511"/>
        <v/>
      </c>
      <c r="AL506" s="21" t="str">
        <f t="shared" si="511"/>
        <v/>
      </c>
      <c r="AM506" s="21" t="str">
        <f t="shared" si="511"/>
        <v/>
      </c>
      <c r="AN506" s="21" t="str">
        <f t="shared" si="511"/>
        <v/>
      </c>
      <c r="AO506" s="21" t="str">
        <f t="shared" si="102"/>
        <v/>
      </c>
    </row>
    <row r="507" ht="16.5" customHeight="1">
      <c r="J507" s="18"/>
      <c r="K507" s="19"/>
      <c r="L507" s="20"/>
      <c r="M507" s="20"/>
      <c r="N507" s="20"/>
      <c r="O507" s="20"/>
      <c r="P507" s="20"/>
      <c r="Q507" s="20"/>
      <c r="R507" s="20"/>
      <c r="S507" s="20"/>
      <c r="T507" s="20"/>
      <c r="AE507" s="21" t="str">
        <f t="shared" si="100"/>
        <v/>
      </c>
      <c r="AF507" s="21" t="str">
        <f t="shared" ref="AF507:AN507" si="512">if(not(isblank(L507)),", "&amp;L507,"")</f>
        <v/>
      </c>
      <c r="AG507" s="21" t="str">
        <f t="shared" si="512"/>
        <v/>
      </c>
      <c r="AH507" s="21" t="str">
        <f t="shared" si="512"/>
        <v/>
      </c>
      <c r="AI507" s="21" t="str">
        <f t="shared" si="512"/>
        <v/>
      </c>
      <c r="AJ507" s="21" t="str">
        <f t="shared" si="512"/>
        <v/>
      </c>
      <c r="AK507" s="21" t="str">
        <f t="shared" si="512"/>
        <v/>
      </c>
      <c r="AL507" s="21" t="str">
        <f t="shared" si="512"/>
        <v/>
      </c>
      <c r="AM507" s="21" t="str">
        <f t="shared" si="512"/>
        <v/>
      </c>
      <c r="AN507" s="21" t="str">
        <f t="shared" si="512"/>
        <v/>
      </c>
      <c r="AO507" s="21" t="str">
        <f t="shared" si="102"/>
        <v/>
      </c>
    </row>
    <row r="508" ht="16.5" customHeight="1">
      <c r="J508" s="18"/>
      <c r="K508" s="19"/>
      <c r="L508" s="20"/>
      <c r="M508" s="20"/>
      <c r="N508" s="20"/>
      <c r="O508" s="20"/>
      <c r="P508" s="20"/>
      <c r="Q508" s="20"/>
      <c r="R508" s="20"/>
      <c r="S508" s="20"/>
      <c r="T508" s="20"/>
      <c r="AE508" s="21" t="str">
        <f t="shared" si="100"/>
        <v/>
      </c>
      <c r="AF508" s="21" t="str">
        <f t="shared" ref="AF508:AN508" si="513">if(not(isblank(L508)),", "&amp;L508,"")</f>
        <v/>
      </c>
      <c r="AG508" s="21" t="str">
        <f t="shared" si="513"/>
        <v/>
      </c>
      <c r="AH508" s="21" t="str">
        <f t="shared" si="513"/>
        <v/>
      </c>
      <c r="AI508" s="21" t="str">
        <f t="shared" si="513"/>
        <v/>
      </c>
      <c r="AJ508" s="21" t="str">
        <f t="shared" si="513"/>
        <v/>
      </c>
      <c r="AK508" s="21" t="str">
        <f t="shared" si="513"/>
        <v/>
      </c>
      <c r="AL508" s="21" t="str">
        <f t="shared" si="513"/>
        <v/>
      </c>
      <c r="AM508" s="21" t="str">
        <f t="shared" si="513"/>
        <v/>
      </c>
      <c r="AN508" s="21" t="str">
        <f t="shared" si="513"/>
        <v/>
      </c>
      <c r="AO508" s="21" t="str">
        <f t="shared" si="102"/>
        <v/>
      </c>
    </row>
    <row r="509" ht="16.5" customHeight="1">
      <c r="J509" s="18"/>
      <c r="K509" s="19"/>
      <c r="L509" s="20"/>
      <c r="M509" s="20"/>
      <c r="N509" s="20"/>
      <c r="O509" s="20"/>
      <c r="P509" s="20"/>
      <c r="Q509" s="20"/>
      <c r="R509" s="20"/>
      <c r="S509" s="20"/>
      <c r="T509" s="20"/>
      <c r="AE509" s="21" t="str">
        <f t="shared" si="100"/>
        <v/>
      </c>
      <c r="AF509" s="21" t="str">
        <f t="shared" ref="AF509:AN509" si="514">if(not(isblank(L509)),", "&amp;L509,"")</f>
        <v/>
      </c>
      <c r="AG509" s="21" t="str">
        <f t="shared" si="514"/>
        <v/>
      </c>
      <c r="AH509" s="21" t="str">
        <f t="shared" si="514"/>
        <v/>
      </c>
      <c r="AI509" s="21" t="str">
        <f t="shared" si="514"/>
        <v/>
      </c>
      <c r="AJ509" s="21" t="str">
        <f t="shared" si="514"/>
        <v/>
      </c>
      <c r="AK509" s="21" t="str">
        <f t="shared" si="514"/>
        <v/>
      </c>
      <c r="AL509" s="21" t="str">
        <f t="shared" si="514"/>
        <v/>
      </c>
      <c r="AM509" s="21" t="str">
        <f t="shared" si="514"/>
        <v/>
      </c>
      <c r="AN509" s="21" t="str">
        <f t="shared" si="514"/>
        <v/>
      </c>
      <c r="AO509" s="21" t="str">
        <f t="shared" si="102"/>
        <v/>
      </c>
    </row>
    <row r="510" ht="16.5" customHeight="1">
      <c r="J510" s="18"/>
      <c r="K510" s="19"/>
      <c r="L510" s="20"/>
      <c r="M510" s="20"/>
      <c r="N510" s="20"/>
      <c r="O510" s="20"/>
      <c r="P510" s="20"/>
      <c r="Q510" s="20"/>
      <c r="R510" s="20"/>
      <c r="S510" s="20"/>
      <c r="T510" s="20"/>
      <c r="AE510" s="21" t="str">
        <f t="shared" si="100"/>
        <v/>
      </c>
      <c r="AF510" s="21" t="str">
        <f t="shared" ref="AF510:AN510" si="515">if(not(isblank(L510)),", "&amp;L510,"")</f>
        <v/>
      </c>
      <c r="AG510" s="21" t="str">
        <f t="shared" si="515"/>
        <v/>
      </c>
      <c r="AH510" s="21" t="str">
        <f t="shared" si="515"/>
        <v/>
      </c>
      <c r="AI510" s="21" t="str">
        <f t="shared" si="515"/>
        <v/>
      </c>
      <c r="AJ510" s="21" t="str">
        <f t="shared" si="515"/>
        <v/>
      </c>
      <c r="AK510" s="21" t="str">
        <f t="shared" si="515"/>
        <v/>
      </c>
      <c r="AL510" s="21" t="str">
        <f t="shared" si="515"/>
        <v/>
      </c>
      <c r="AM510" s="21" t="str">
        <f t="shared" si="515"/>
        <v/>
      </c>
      <c r="AN510" s="21" t="str">
        <f t="shared" si="515"/>
        <v/>
      </c>
      <c r="AO510" s="21" t="str">
        <f t="shared" si="102"/>
        <v/>
      </c>
    </row>
    <row r="511" ht="16.5" customHeight="1">
      <c r="J511" s="18"/>
      <c r="K511" s="19"/>
      <c r="L511" s="20"/>
      <c r="M511" s="20"/>
      <c r="N511" s="20"/>
      <c r="O511" s="20"/>
      <c r="P511" s="20"/>
      <c r="Q511" s="20"/>
      <c r="R511" s="20"/>
      <c r="S511" s="20"/>
      <c r="T511" s="20"/>
      <c r="AE511" s="21" t="str">
        <f t="shared" si="100"/>
        <v/>
      </c>
      <c r="AF511" s="21" t="str">
        <f t="shared" ref="AF511:AN511" si="516">if(not(isblank(L511)),", "&amp;L511,"")</f>
        <v/>
      </c>
      <c r="AG511" s="21" t="str">
        <f t="shared" si="516"/>
        <v/>
      </c>
      <c r="AH511" s="21" t="str">
        <f t="shared" si="516"/>
        <v/>
      </c>
      <c r="AI511" s="21" t="str">
        <f t="shared" si="516"/>
        <v/>
      </c>
      <c r="AJ511" s="21" t="str">
        <f t="shared" si="516"/>
        <v/>
      </c>
      <c r="AK511" s="21" t="str">
        <f t="shared" si="516"/>
        <v/>
      </c>
      <c r="AL511" s="21" t="str">
        <f t="shared" si="516"/>
        <v/>
      </c>
      <c r="AM511" s="21" t="str">
        <f t="shared" si="516"/>
        <v/>
      </c>
      <c r="AN511" s="21" t="str">
        <f t="shared" si="516"/>
        <v/>
      </c>
      <c r="AO511" s="21" t="str">
        <f t="shared" si="102"/>
        <v/>
      </c>
    </row>
    <row r="512" ht="16.5" customHeight="1">
      <c r="J512" s="18"/>
      <c r="K512" s="19"/>
      <c r="L512" s="20"/>
      <c r="M512" s="20"/>
      <c r="N512" s="20"/>
      <c r="O512" s="20"/>
      <c r="P512" s="20"/>
      <c r="Q512" s="20"/>
      <c r="R512" s="20"/>
      <c r="S512" s="20"/>
      <c r="T512" s="20"/>
      <c r="AE512" s="21" t="str">
        <f t="shared" si="100"/>
        <v/>
      </c>
      <c r="AF512" s="21" t="str">
        <f t="shared" ref="AF512:AN512" si="517">if(not(isblank(L512)),", "&amp;L512,"")</f>
        <v/>
      </c>
      <c r="AG512" s="21" t="str">
        <f t="shared" si="517"/>
        <v/>
      </c>
      <c r="AH512" s="21" t="str">
        <f t="shared" si="517"/>
        <v/>
      </c>
      <c r="AI512" s="21" t="str">
        <f t="shared" si="517"/>
        <v/>
      </c>
      <c r="AJ512" s="21" t="str">
        <f t="shared" si="517"/>
        <v/>
      </c>
      <c r="AK512" s="21" t="str">
        <f t="shared" si="517"/>
        <v/>
      </c>
      <c r="AL512" s="21" t="str">
        <f t="shared" si="517"/>
        <v/>
      </c>
      <c r="AM512" s="21" t="str">
        <f t="shared" si="517"/>
        <v/>
      </c>
      <c r="AN512" s="21" t="str">
        <f t="shared" si="517"/>
        <v/>
      </c>
      <c r="AO512" s="21" t="str">
        <f t="shared" si="102"/>
        <v/>
      </c>
    </row>
    <row r="513" ht="16.5" customHeight="1">
      <c r="J513" s="18"/>
      <c r="K513" s="19"/>
      <c r="L513" s="20"/>
      <c r="M513" s="20"/>
      <c r="N513" s="20"/>
      <c r="O513" s="20"/>
      <c r="P513" s="20"/>
      <c r="Q513" s="20"/>
      <c r="R513" s="20"/>
      <c r="S513" s="20"/>
      <c r="T513" s="20"/>
      <c r="AE513" s="21" t="str">
        <f t="shared" si="100"/>
        <v/>
      </c>
      <c r="AF513" s="21" t="str">
        <f t="shared" ref="AF513:AN513" si="518">if(not(isblank(L513)),", "&amp;L513,"")</f>
        <v/>
      </c>
      <c r="AG513" s="21" t="str">
        <f t="shared" si="518"/>
        <v/>
      </c>
      <c r="AH513" s="21" t="str">
        <f t="shared" si="518"/>
        <v/>
      </c>
      <c r="AI513" s="21" t="str">
        <f t="shared" si="518"/>
        <v/>
      </c>
      <c r="AJ513" s="21" t="str">
        <f t="shared" si="518"/>
        <v/>
      </c>
      <c r="AK513" s="21" t="str">
        <f t="shared" si="518"/>
        <v/>
      </c>
      <c r="AL513" s="21" t="str">
        <f t="shared" si="518"/>
        <v/>
      </c>
      <c r="AM513" s="21" t="str">
        <f t="shared" si="518"/>
        <v/>
      </c>
      <c r="AN513" s="21" t="str">
        <f t="shared" si="518"/>
        <v/>
      </c>
      <c r="AO513" s="21" t="str">
        <f t="shared" si="102"/>
        <v/>
      </c>
    </row>
    <row r="514" ht="16.5" customHeight="1">
      <c r="J514" s="18"/>
      <c r="K514" s="19"/>
      <c r="L514" s="20"/>
      <c r="M514" s="20"/>
      <c r="N514" s="20"/>
      <c r="O514" s="20"/>
      <c r="P514" s="20"/>
      <c r="Q514" s="20"/>
      <c r="R514" s="20"/>
      <c r="S514" s="20"/>
      <c r="T514" s="20"/>
      <c r="AE514" s="21" t="str">
        <f t="shared" si="100"/>
        <v/>
      </c>
      <c r="AF514" s="21" t="str">
        <f t="shared" ref="AF514:AN514" si="519">if(not(isblank(L514)),", "&amp;L514,"")</f>
        <v/>
      </c>
      <c r="AG514" s="21" t="str">
        <f t="shared" si="519"/>
        <v/>
      </c>
      <c r="AH514" s="21" t="str">
        <f t="shared" si="519"/>
        <v/>
      </c>
      <c r="AI514" s="21" t="str">
        <f t="shared" si="519"/>
        <v/>
      </c>
      <c r="AJ514" s="21" t="str">
        <f t="shared" si="519"/>
        <v/>
      </c>
      <c r="AK514" s="21" t="str">
        <f t="shared" si="519"/>
        <v/>
      </c>
      <c r="AL514" s="21" t="str">
        <f t="shared" si="519"/>
        <v/>
      </c>
      <c r="AM514" s="21" t="str">
        <f t="shared" si="519"/>
        <v/>
      </c>
      <c r="AN514" s="21" t="str">
        <f t="shared" si="519"/>
        <v/>
      </c>
      <c r="AO514" s="21" t="str">
        <f t="shared" si="102"/>
        <v/>
      </c>
    </row>
    <row r="515" ht="16.5" customHeight="1">
      <c r="J515" s="18"/>
      <c r="K515" s="19"/>
      <c r="L515" s="20"/>
      <c r="M515" s="20"/>
      <c r="N515" s="20"/>
      <c r="O515" s="20"/>
      <c r="P515" s="20"/>
      <c r="Q515" s="20"/>
      <c r="R515" s="20"/>
      <c r="S515" s="20"/>
      <c r="T515" s="20"/>
      <c r="AE515" s="21" t="str">
        <f t="shared" si="100"/>
        <v/>
      </c>
      <c r="AF515" s="21" t="str">
        <f t="shared" ref="AF515:AN515" si="520">if(not(isblank(L515)),", "&amp;L515,"")</f>
        <v/>
      </c>
      <c r="AG515" s="21" t="str">
        <f t="shared" si="520"/>
        <v/>
      </c>
      <c r="AH515" s="21" t="str">
        <f t="shared" si="520"/>
        <v/>
      </c>
      <c r="AI515" s="21" t="str">
        <f t="shared" si="520"/>
        <v/>
      </c>
      <c r="AJ515" s="21" t="str">
        <f t="shared" si="520"/>
        <v/>
      </c>
      <c r="AK515" s="21" t="str">
        <f t="shared" si="520"/>
        <v/>
      </c>
      <c r="AL515" s="21" t="str">
        <f t="shared" si="520"/>
        <v/>
      </c>
      <c r="AM515" s="21" t="str">
        <f t="shared" si="520"/>
        <v/>
      </c>
      <c r="AN515" s="21" t="str">
        <f t="shared" si="520"/>
        <v/>
      </c>
      <c r="AO515" s="21" t="str">
        <f t="shared" si="102"/>
        <v/>
      </c>
    </row>
    <row r="516" ht="16.5" customHeight="1">
      <c r="J516" s="18"/>
      <c r="K516" s="19"/>
      <c r="L516" s="20"/>
      <c r="M516" s="20"/>
      <c r="N516" s="20"/>
      <c r="O516" s="20"/>
      <c r="P516" s="20"/>
      <c r="Q516" s="20"/>
      <c r="R516" s="20"/>
      <c r="S516" s="20"/>
      <c r="T516" s="20"/>
      <c r="AE516" s="21" t="str">
        <f t="shared" si="100"/>
        <v/>
      </c>
      <c r="AF516" s="21" t="str">
        <f t="shared" ref="AF516:AN516" si="521">if(not(isblank(L516)),", "&amp;L516,"")</f>
        <v/>
      </c>
      <c r="AG516" s="21" t="str">
        <f t="shared" si="521"/>
        <v/>
      </c>
      <c r="AH516" s="21" t="str">
        <f t="shared" si="521"/>
        <v/>
      </c>
      <c r="AI516" s="21" t="str">
        <f t="shared" si="521"/>
        <v/>
      </c>
      <c r="AJ516" s="21" t="str">
        <f t="shared" si="521"/>
        <v/>
      </c>
      <c r="AK516" s="21" t="str">
        <f t="shared" si="521"/>
        <v/>
      </c>
      <c r="AL516" s="21" t="str">
        <f t="shared" si="521"/>
        <v/>
      </c>
      <c r="AM516" s="21" t="str">
        <f t="shared" si="521"/>
        <v/>
      </c>
      <c r="AN516" s="21" t="str">
        <f t="shared" si="521"/>
        <v/>
      </c>
      <c r="AO516" s="21" t="str">
        <f t="shared" si="102"/>
        <v/>
      </c>
    </row>
    <row r="517" ht="16.5" customHeight="1">
      <c r="J517" s="18"/>
      <c r="K517" s="19"/>
      <c r="L517" s="20"/>
      <c r="M517" s="20"/>
      <c r="N517" s="20"/>
      <c r="O517" s="20"/>
      <c r="P517" s="20"/>
      <c r="Q517" s="20"/>
      <c r="R517" s="20"/>
      <c r="S517" s="20"/>
      <c r="T517" s="20"/>
      <c r="AE517" s="21" t="str">
        <f t="shared" si="100"/>
        <v/>
      </c>
      <c r="AF517" s="21" t="str">
        <f t="shared" ref="AF517:AN517" si="522">if(not(isblank(L517)),", "&amp;L517,"")</f>
        <v/>
      </c>
      <c r="AG517" s="21" t="str">
        <f t="shared" si="522"/>
        <v/>
      </c>
      <c r="AH517" s="21" t="str">
        <f t="shared" si="522"/>
        <v/>
      </c>
      <c r="AI517" s="21" t="str">
        <f t="shared" si="522"/>
        <v/>
      </c>
      <c r="AJ517" s="21" t="str">
        <f t="shared" si="522"/>
        <v/>
      </c>
      <c r="AK517" s="21" t="str">
        <f t="shared" si="522"/>
        <v/>
      </c>
      <c r="AL517" s="21" t="str">
        <f t="shared" si="522"/>
        <v/>
      </c>
      <c r="AM517" s="21" t="str">
        <f t="shared" si="522"/>
        <v/>
      </c>
      <c r="AN517" s="21" t="str">
        <f t="shared" si="522"/>
        <v/>
      </c>
      <c r="AO517" s="21" t="str">
        <f t="shared" si="102"/>
        <v/>
      </c>
    </row>
    <row r="518" ht="16.5" customHeight="1">
      <c r="J518" s="18"/>
      <c r="K518" s="19"/>
      <c r="L518" s="20"/>
      <c r="M518" s="20"/>
      <c r="N518" s="20"/>
      <c r="O518" s="20"/>
      <c r="P518" s="20"/>
      <c r="Q518" s="20"/>
      <c r="R518" s="20"/>
      <c r="S518" s="20"/>
      <c r="T518" s="20"/>
      <c r="AE518" s="21" t="str">
        <f t="shared" si="100"/>
        <v/>
      </c>
      <c r="AF518" s="21" t="str">
        <f t="shared" ref="AF518:AN518" si="523">if(not(isblank(L518)),", "&amp;L518,"")</f>
        <v/>
      </c>
      <c r="AG518" s="21" t="str">
        <f t="shared" si="523"/>
        <v/>
      </c>
      <c r="AH518" s="21" t="str">
        <f t="shared" si="523"/>
        <v/>
      </c>
      <c r="AI518" s="21" t="str">
        <f t="shared" si="523"/>
        <v/>
      </c>
      <c r="AJ518" s="21" t="str">
        <f t="shared" si="523"/>
        <v/>
      </c>
      <c r="AK518" s="21" t="str">
        <f t="shared" si="523"/>
        <v/>
      </c>
      <c r="AL518" s="21" t="str">
        <f t="shared" si="523"/>
        <v/>
      </c>
      <c r="AM518" s="21" t="str">
        <f t="shared" si="523"/>
        <v/>
      </c>
      <c r="AN518" s="21" t="str">
        <f t="shared" si="523"/>
        <v/>
      </c>
      <c r="AO518" s="21" t="str">
        <f t="shared" si="102"/>
        <v/>
      </c>
    </row>
    <row r="519" ht="16.5" customHeight="1">
      <c r="J519" s="18"/>
      <c r="K519" s="19"/>
      <c r="L519" s="20"/>
      <c r="M519" s="20"/>
      <c r="N519" s="20"/>
      <c r="O519" s="20"/>
      <c r="P519" s="20"/>
      <c r="Q519" s="20"/>
      <c r="R519" s="20"/>
      <c r="S519" s="20"/>
      <c r="T519" s="20"/>
      <c r="AE519" s="21" t="str">
        <f t="shared" si="100"/>
        <v/>
      </c>
      <c r="AF519" s="21" t="str">
        <f t="shared" ref="AF519:AN519" si="524">if(not(isblank(L519)),", "&amp;L519,"")</f>
        <v/>
      </c>
      <c r="AG519" s="21" t="str">
        <f t="shared" si="524"/>
        <v/>
      </c>
      <c r="AH519" s="21" t="str">
        <f t="shared" si="524"/>
        <v/>
      </c>
      <c r="AI519" s="21" t="str">
        <f t="shared" si="524"/>
        <v/>
      </c>
      <c r="AJ519" s="21" t="str">
        <f t="shared" si="524"/>
        <v/>
      </c>
      <c r="AK519" s="21" t="str">
        <f t="shared" si="524"/>
        <v/>
      </c>
      <c r="AL519" s="21" t="str">
        <f t="shared" si="524"/>
        <v/>
      </c>
      <c r="AM519" s="21" t="str">
        <f t="shared" si="524"/>
        <v/>
      </c>
      <c r="AN519" s="21" t="str">
        <f t="shared" si="524"/>
        <v/>
      </c>
      <c r="AO519" s="21" t="str">
        <f t="shared" si="102"/>
        <v/>
      </c>
    </row>
    <row r="520" ht="16.5" customHeight="1">
      <c r="J520" s="18"/>
      <c r="K520" s="19"/>
      <c r="L520" s="20"/>
      <c r="M520" s="20"/>
      <c r="N520" s="20"/>
      <c r="O520" s="20"/>
      <c r="P520" s="20"/>
      <c r="Q520" s="20"/>
      <c r="R520" s="20"/>
      <c r="S520" s="20"/>
      <c r="T520" s="20"/>
      <c r="AE520" s="21" t="str">
        <f t="shared" si="100"/>
        <v/>
      </c>
      <c r="AF520" s="21" t="str">
        <f t="shared" ref="AF520:AN520" si="525">if(not(isblank(L520)),", "&amp;L520,"")</f>
        <v/>
      </c>
      <c r="AG520" s="21" t="str">
        <f t="shared" si="525"/>
        <v/>
      </c>
      <c r="AH520" s="21" t="str">
        <f t="shared" si="525"/>
        <v/>
      </c>
      <c r="AI520" s="21" t="str">
        <f t="shared" si="525"/>
        <v/>
      </c>
      <c r="AJ520" s="21" t="str">
        <f t="shared" si="525"/>
        <v/>
      </c>
      <c r="AK520" s="21" t="str">
        <f t="shared" si="525"/>
        <v/>
      </c>
      <c r="AL520" s="21" t="str">
        <f t="shared" si="525"/>
        <v/>
      </c>
      <c r="AM520" s="21" t="str">
        <f t="shared" si="525"/>
        <v/>
      </c>
      <c r="AN520" s="21" t="str">
        <f t="shared" si="525"/>
        <v/>
      </c>
      <c r="AO520" s="21" t="str">
        <f t="shared" si="102"/>
        <v/>
      </c>
    </row>
    <row r="521" ht="16.5" customHeight="1">
      <c r="J521" s="18"/>
      <c r="K521" s="19"/>
      <c r="L521" s="20"/>
      <c r="M521" s="20"/>
      <c r="N521" s="20"/>
      <c r="O521" s="20"/>
      <c r="P521" s="20"/>
      <c r="Q521" s="20"/>
      <c r="R521" s="20"/>
      <c r="S521" s="20"/>
      <c r="T521" s="20"/>
      <c r="AE521" s="21" t="str">
        <f t="shared" si="100"/>
        <v/>
      </c>
      <c r="AF521" s="21" t="str">
        <f t="shared" ref="AF521:AN521" si="526">if(not(isblank(L521)),", "&amp;L521,"")</f>
        <v/>
      </c>
      <c r="AG521" s="21" t="str">
        <f t="shared" si="526"/>
        <v/>
      </c>
      <c r="AH521" s="21" t="str">
        <f t="shared" si="526"/>
        <v/>
      </c>
      <c r="AI521" s="21" t="str">
        <f t="shared" si="526"/>
        <v/>
      </c>
      <c r="AJ521" s="21" t="str">
        <f t="shared" si="526"/>
        <v/>
      </c>
      <c r="AK521" s="21" t="str">
        <f t="shared" si="526"/>
        <v/>
      </c>
      <c r="AL521" s="21" t="str">
        <f t="shared" si="526"/>
        <v/>
      </c>
      <c r="AM521" s="21" t="str">
        <f t="shared" si="526"/>
        <v/>
      </c>
      <c r="AN521" s="21" t="str">
        <f t="shared" si="526"/>
        <v/>
      </c>
      <c r="AO521" s="21" t="str">
        <f t="shared" si="102"/>
        <v/>
      </c>
    </row>
    <row r="522" ht="16.5" customHeight="1">
      <c r="J522" s="18"/>
      <c r="K522" s="19"/>
      <c r="L522" s="20"/>
      <c r="M522" s="20"/>
      <c r="N522" s="20"/>
      <c r="O522" s="20"/>
      <c r="P522" s="20"/>
      <c r="Q522" s="20"/>
      <c r="R522" s="20"/>
      <c r="S522" s="20"/>
      <c r="T522" s="20"/>
      <c r="AE522" s="21" t="str">
        <f t="shared" si="100"/>
        <v/>
      </c>
      <c r="AF522" s="21" t="str">
        <f t="shared" ref="AF522:AN522" si="527">if(not(isblank(L522)),", "&amp;L522,"")</f>
        <v/>
      </c>
      <c r="AG522" s="21" t="str">
        <f t="shared" si="527"/>
        <v/>
      </c>
      <c r="AH522" s="21" t="str">
        <f t="shared" si="527"/>
        <v/>
      </c>
      <c r="AI522" s="21" t="str">
        <f t="shared" si="527"/>
        <v/>
      </c>
      <c r="AJ522" s="21" t="str">
        <f t="shared" si="527"/>
        <v/>
      </c>
      <c r="AK522" s="21" t="str">
        <f t="shared" si="527"/>
        <v/>
      </c>
      <c r="AL522" s="21" t="str">
        <f t="shared" si="527"/>
        <v/>
      </c>
      <c r="AM522" s="21" t="str">
        <f t="shared" si="527"/>
        <v/>
      </c>
      <c r="AN522" s="21" t="str">
        <f t="shared" si="527"/>
        <v/>
      </c>
      <c r="AO522" s="21" t="str">
        <f t="shared" si="102"/>
        <v/>
      </c>
    </row>
    <row r="523" ht="16.5" customHeight="1">
      <c r="J523" s="18"/>
      <c r="K523" s="19"/>
      <c r="L523" s="20"/>
      <c r="M523" s="20"/>
      <c r="N523" s="20"/>
      <c r="O523" s="20"/>
      <c r="P523" s="20"/>
      <c r="Q523" s="20"/>
      <c r="R523" s="20"/>
      <c r="S523" s="20"/>
      <c r="T523" s="20"/>
      <c r="AE523" s="21" t="str">
        <f t="shared" si="100"/>
        <v/>
      </c>
      <c r="AF523" s="21" t="str">
        <f t="shared" ref="AF523:AN523" si="528">if(not(isblank(L523)),", "&amp;L523,"")</f>
        <v/>
      </c>
      <c r="AG523" s="21" t="str">
        <f t="shared" si="528"/>
        <v/>
      </c>
      <c r="AH523" s="21" t="str">
        <f t="shared" si="528"/>
        <v/>
      </c>
      <c r="AI523" s="21" t="str">
        <f t="shared" si="528"/>
        <v/>
      </c>
      <c r="AJ523" s="21" t="str">
        <f t="shared" si="528"/>
        <v/>
      </c>
      <c r="AK523" s="21" t="str">
        <f t="shared" si="528"/>
        <v/>
      </c>
      <c r="AL523" s="21" t="str">
        <f t="shared" si="528"/>
        <v/>
      </c>
      <c r="AM523" s="21" t="str">
        <f t="shared" si="528"/>
        <v/>
      </c>
      <c r="AN523" s="21" t="str">
        <f t="shared" si="528"/>
        <v/>
      </c>
      <c r="AO523" s="21" t="str">
        <f t="shared" si="102"/>
        <v/>
      </c>
    </row>
    <row r="524" ht="16.5" customHeight="1">
      <c r="J524" s="18"/>
      <c r="K524" s="19"/>
      <c r="L524" s="20"/>
      <c r="M524" s="20"/>
      <c r="N524" s="20"/>
      <c r="O524" s="20"/>
      <c r="P524" s="20"/>
      <c r="Q524" s="20"/>
      <c r="R524" s="20"/>
      <c r="S524" s="20"/>
      <c r="T524" s="20"/>
      <c r="AE524" s="21" t="str">
        <f t="shared" si="100"/>
        <v/>
      </c>
      <c r="AF524" s="21" t="str">
        <f t="shared" ref="AF524:AN524" si="529">if(not(isblank(L524)),", "&amp;L524,"")</f>
        <v/>
      </c>
      <c r="AG524" s="21" t="str">
        <f t="shared" si="529"/>
        <v/>
      </c>
      <c r="AH524" s="21" t="str">
        <f t="shared" si="529"/>
        <v/>
      </c>
      <c r="AI524" s="21" t="str">
        <f t="shared" si="529"/>
        <v/>
      </c>
      <c r="AJ524" s="21" t="str">
        <f t="shared" si="529"/>
        <v/>
      </c>
      <c r="AK524" s="21" t="str">
        <f t="shared" si="529"/>
        <v/>
      </c>
      <c r="AL524" s="21" t="str">
        <f t="shared" si="529"/>
        <v/>
      </c>
      <c r="AM524" s="21" t="str">
        <f t="shared" si="529"/>
        <v/>
      </c>
      <c r="AN524" s="21" t="str">
        <f t="shared" si="529"/>
        <v/>
      </c>
      <c r="AO524" s="21" t="str">
        <f t="shared" si="102"/>
        <v/>
      </c>
    </row>
    <row r="525" ht="16.5" customHeight="1">
      <c r="J525" s="18"/>
      <c r="K525" s="19"/>
      <c r="L525" s="20"/>
      <c r="M525" s="20"/>
      <c r="N525" s="20"/>
      <c r="O525" s="20"/>
      <c r="P525" s="20"/>
      <c r="Q525" s="20"/>
      <c r="R525" s="20"/>
      <c r="S525" s="20"/>
      <c r="T525" s="20"/>
      <c r="AE525" s="21" t="str">
        <f t="shared" si="100"/>
        <v/>
      </c>
      <c r="AF525" s="21" t="str">
        <f t="shared" ref="AF525:AN525" si="530">if(not(isblank(L525)),", "&amp;L525,"")</f>
        <v/>
      </c>
      <c r="AG525" s="21" t="str">
        <f t="shared" si="530"/>
        <v/>
      </c>
      <c r="AH525" s="21" t="str">
        <f t="shared" si="530"/>
        <v/>
      </c>
      <c r="AI525" s="21" t="str">
        <f t="shared" si="530"/>
        <v/>
      </c>
      <c r="AJ525" s="21" t="str">
        <f t="shared" si="530"/>
        <v/>
      </c>
      <c r="AK525" s="21" t="str">
        <f t="shared" si="530"/>
        <v/>
      </c>
      <c r="AL525" s="21" t="str">
        <f t="shared" si="530"/>
        <v/>
      </c>
      <c r="AM525" s="21" t="str">
        <f t="shared" si="530"/>
        <v/>
      </c>
      <c r="AN525" s="21" t="str">
        <f t="shared" si="530"/>
        <v/>
      </c>
      <c r="AO525" s="21" t="str">
        <f t="shared" si="102"/>
        <v/>
      </c>
    </row>
    <row r="526" ht="16.5" customHeight="1">
      <c r="J526" s="18"/>
      <c r="K526" s="19"/>
      <c r="L526" s="20"/>
      <c r="M526" s="20"/>
      <c r="N526" s="20"/>
      <c r="O526" s="20"/>
      <c r="P526" s="20"/>
      <c r="Q526" s="20"/>
      <c r="R526" s="20"/>
      <c r="S526" s="20"/>
      <c r="T526" s="20"/>
      <c r="AE526" s="21" t="str">
        <f t="shared" si="100"/>
        <v/>
      </c>
      <c r="AF526" s="21" t="str">
        <f t="shared" ref="AF526:AN526" si="531">if(not(isblank(L526)),", "&amp;L526,"")</f>
        <v/>
      </c>
      <c r="AG526" s="21" t="str">
        <f t="shared" si="531"/>
        <v/>
      </c>
      <c r="AH526" s="21" t="str">
        <f t="shared" si="531"/>
        <v/>
      </c>
      <c r="AI526" s="21" t="str">
        <f t="shared" si="531"/>
        <v/>
      </c>
      <c r="AJ526" s="21" t="str">
        <f t="shared" si="531"/>
        <v/>
      </c>
      <c r="AK526" s="21" t="str">
        <f t="shared" si="531"/>
        <v/>
      </c>
      <c r="AL526" s="21" t="str">
        <f t="shared" si="531"/>
        <v/>
      </c>
      <c r="AM526" s="21" t="str">
        <f t="shared" si="531"/>
        <v/>
      </c>
      <c r="AN526" s="21" t="str">
        <f t="shared" si="531"/>
        <v/>
      </c>
      <c r="AO526" s="21" t="str">
        <f t="shared" si="102"/>
        <v/>
      </c>
    </row>
    <row r="527" ht="16.5" customHeight="1">
      <c r="J527" s="18"/>
      <c r="K527" s="19"/>
      <c r="L527" s="20"/>
      <c r="M527" s="20"/>
      <c r="N527" s="20"/>
      <c r="O527" s="20"/>
      <c r="P527" s="20"/>
      <c r="Q527" s="20"/>
      <c r="R527" s="20"/>
      <c r="S527" s="20"/>
      <c r="T527" s="20"/>
      <c r="AE527" s="21" t="str">
        <f t="shared" si="100"/>
        <v/>
      </c>
      <c r="AF527" s="21" t="str">
        <f t="shared" ref="AF527:AN527" si="532">if(not(isblank(L527)),", "&amp;L527,"")</f>
        <v/>
      </c>
      <c r="AG527" s="21" t="str">
        <f t="shared" si="532"/>
        <v/>
      </c>
      <c r="AH527" s="21" t="str">
        <f t="shared" si="532"/>
        <v/>
      </c>
      <c r="AI527" s="21" t="str">
        <f t="shared" si="532"/>
        <v/>
      </c>
      <c r="AJ527" s="21" t="str">
        <f t="shared" si="532"/>
        <v/>
      </c>
      <c r="AK527" s="21" t="str">
        <f t="shared" si="532"/>
        <v/>
      </c>
      <c r="AL527" s="21" t="str">
        <f t="shared" si="532"/>
        <v/>
      </c>
      <c r="AM527" s="21" t="str">
        <f t="shared" si="532"/>
        <v/>
      </c>
      <c r="AN527" s="21" t="str">
        <f t="shared" si="532"/>
        <v/>
      </c>
      <c r="AO527" s="21" t="str">
        <f t="shared" si="102"/>
        <v/>
      </c>
    </row>
    <row r="528" ht="16.5" customHeight="1">
      <c r="J528" s="18"/>
      <c r="K528" s="19"/>
      <c r="L528" s="20"/>
      <c r="M528" s="20"/>
      <c r="N528" s="20"/>
      <c r="O528" s="20"/>
      <c r="P528" s="20"/>
      <c r="Q528" s="20"/>
      <c r="R528" s="20"/>
      <c r="S528" s="20"/>
      <c r="T528" s="20"/>
      <c r="AE528" s="21" t="str">
        <f t="shared" si="100"/>
        <v/>
      </c>
      <c r="AF528" s="21" t="str">
        <f t="shared" ref="AF528:AN528" si="533">if(not(isblank(L528)),", "&amp;L528,"")</f>
        <v/>
      </c>
      <c r="AG528" s="21" t="str">
        <f t="shared" si="533"/>
        <v/>
      </c>
      <c r="AH528" s="21" t="str">
        <f t="shared" si="533"/>
        <v/>
      </c>
      <c r="AI528" s="21" t="str">
        <f t="shared" si="533"/>
        <v/>
      </c>
      <c r="AJ528" s="21" t="str">
        <f t="shared" si="533"/>
        <v/>
      </c>
      <c r="AK528" s="21" t="str">
        <f t="shared" si="533"/>
        <v/>
      </c>
      <c r="AL528" s="21" t="str">
        <f t="shared" si="533"/>
        <v/>
      </c>
      <c r="AM528" s="21" t="str">
        <f t="shared" si="533"/>
        <v/>
      </c>
      <c r="AN528" s="21" t="str">
        <f t="shared" si="533"/>
        <v/>
      </c>
      <c r="AO528" s="21" t="str">
        <f t="shared" si="102"/>
        <v/>
      </c>
    </row>
    <row r="529" ht="16.5" customHeight="1">
      <c r="J529" s="18"/>
      <c r="K529" s="19"/>
      <c r="L529" s="20"/>
      <c r="M529" s="20"/>
      <c r="N529" s="20"/>
      <c r="O529" s="20"/>
      <c r="P529" s="20"/>
      <c r="Q529" s="20"/>
      <c r="R529" s="20"/>
      <c r="S529" s="20"/>
      <c r="T529" s="20"/>
      <c r="AE529" s="21" t="str">
        <f t="shared" si="100"/>
        <v/>
      </c>
      <c r="AF529" s="21" t="str">
        <f t="shared" ref="AF529:AN529" si="534">if(not(isblank(L529)),", "&amp;L529,"")</f>
        <v/>
      </c>
      <c r="AG529" s="21" t="str">
        <f t="shared" si="534"/>
        <v/>
      </c>
      <c r="AH529" s="21" t="str">
        <f t="shared" si="534"/>
        <v/>
      </c>
      <c r="AI529" s="21" t="str">
        <f t="shared" si="534"/>
        <v/>
      </c>
      <c r="AJ529" s="21" t="str">
        <f t="shared" si="534"/>
        <v/>
      </c>
      <c r="AK529" s="21" t="str">
        <f t="shared" si="534"/>
        <v/>
      </c>
      <c r="AL529" s="21" t="str">
        <f t="shared" si="534"/>
        <v/>
      </c>
      <c r="AM529" s="21" t="str">
        <f t="shared" si="534"/>
        <v/>
      </c>
      <c r="AN529" s="21" t="str">
        <f t="shared" si="534"/>
        <v/>
      </c>
      <c r="AO529" s="21" t="str">
        <f t="shared" si="102"/>
        <v/>
      </c>
    </row>
    <row r="530" ht="16.5" customHeight="1">
      <c r="J530" s="18"/>
      <c r="K530" s="19"/>
      <c r="L530" s="20"/>
      <c r="M530" s="20"/>
      <c r="N530" s="20"/>
      <c r="O530" s="20"/>
      <c r="P530" s="20"/>
      <c r="Q530" s="20"/>
      <c r="R530" s="20"/>
      <c r="S530" s="20"/>
      <c r="T530" s="20"/>
      <c r="AE530" s="21" t="str">
        <f t="shared" si="100"/>
        <v/>
      </c>
      <c r="AF530" s="21" t="str">
        <f t="shared" ref="AF530:AN530" si="535">if(not(isblank(L530)),", "&amp;L530,"")</f>
        <v/>
      </c>
      <c r="AG530" s="21" t="str">
        <f t="shared" si="535"/>
        <v/>
      </c>
      <c r="AH530" s="21" t="str">
        <f t="shared" si="535"/>
        <v/>
      </c>
      <c r="AI530" s="21" t="str">
        <f t="shared" si="535"/>
        <v/>
      </c>
      <c r="AJ530" s="21" t="str">
        <f t="shared" si="535"/>
        <v/>
      </c>
      <c r="AK530" s="21" t="str">
        <f t="shared" si="535"/>
        <v/>
      </c>
      <c r="AL530" s="21" t="str">
        <f t="shared" si="535"/>
        <v/>
      </c>
      <c r="AM530" s="21" t="str">
        <f t="shared" si="535"/>
        <v/>
      </c>
      <c r="AN530" s="21" t="str">
        <f t="shared" si="535"/>
        <v/>
      </c>
      <c r="AO530" s="21" t="str">
        <f t="shared" si="102"/>
        <v/>
      </c>
    </row>
    <row r="531" ht="16.5" customHeight="1">
      <c r="J531" s="18"/>
      <c r="K531" s="19"/>
      <c r="L531" s="20"/>
      <c r="M531" s="20"/>
      <c r="N531" s="20"/>
      <c r="O531" s="20"/>
      <c r="P531" s="20"/>
      <c r="Q531" s="20"/>
      <c r="R531" s="20"/>
      <c r="S531" s="20"/>
      <c r="T531" s="20"/>
      <c r="AE531" s="21" t="str">
        <f t="shared" si="100"/>
        <v/>
      </c>
      <c r="AF531" s="21" t="str">
        <f t="shared" ref="AF531:AN531" si="536">if(not(isblank(L531)),", "&amp;L531,"")</f>
        <v/>
      </c>
      <c r="AG531" s="21" t="str">
        <f t="shared" si="536"/>
        <v/>
      </c>
      <c r="AH531" s="21" t="str">
        <f t="shared" si="536"/>
        <v/>
      </c>
      <c r="AI531" s="21" t="str">
        <f t="shared" si="536"/>
        <v/>
      </c>
      <c r="AJ531" s="21" t="str">
        <f t="shared" si="536"/>
        <v/>
      </c>
      <c r="AK531" s="21" t="str">
        <f t="shared" si="536"/>
        <v/>
      </c>
      <c r="AL531" s="21" t="str">
        <f t="shared" si="536"/>
        <v/>
      </c>
      <c r="AM531" s="21" t="str">
        <f t="shared" si="536"/>
        <v/>
      </c>
      <c r="AN531" s="21" t="str">
        <f t="shared" si="536"/>
        <v/>
      </c>
      <c r="AO531" s="21" t="str">
        <f t="shared" si="102"/>
        <v/>
      </c>
    </row>
    <row r="532" ht="16.5" customHeight="1">
      <c r="J532" s="18"/>
      <c r="K532" s="19"/>
      <c r="L532" s="20"/>
      <c r="M532" s="20"/>
      <c r="N532" s="20"/>
      <c r="O532" s="20"/>
      <c r="P532" s="20"/>
      <c r="Q532" s="20"/>
      <c r="R532" s="20"/>
      <c r="S532" s="20"/>
      <c r="T532" s="20"/>
      <c r="AE532" s="21" t="str">
        <f t="shared" si="100"/>
        <v/>
      </c>
      <c r="AF532" s="21" t="str">
        <f t="shared" ref="AF532:AN532" si="537">if(not(isblank(L532)),", "&amp;L532,"")</f>
        <v/>
      </c>
      <c r="AG532" s="21" t="str">
        <f t="shared" si="537"/>
        <v/>
      </c>
      <c r="AH532" s="21" t="str">
        <f t="shared" si="537"/>
        <v/>
      </c>
      <c r="AI532" s="21" t="str">
        <f t="shared" si="537"/>
        <v/>
      </c>
      <c r="AJ532" s="21" t="str">
        <f t="shared" si="537"/>
        <v/>
      </c>
      <c r="AK532" s="21" t="str">
        <f t="shared" si="537"/>
        <v/>
      </c>
      <c r="AL532" s="21" t="str">
        <f t="shared" si="537"/>
        <v/>
      </c>
      <c r="AM532" s="21" t="str">
        <f t="shared" si="537"/>
        <v/>
      </c>
      <c r="AN532" s="21" t="str">
        <f t="shared" si="537"/>
        <v/>
      </c>
      <c r="AO532" s="21" t="str">
        <f t="shared" si="102"/>
        <v/>
      </c>
    </row>
    <row r="533" ht="16.5" customHeight="1">
      <c r="J533" s="18"/>
      <c r="K533" s="19"/>
      <c r="L533" s="20"/>
      <c r="M533" s="20"/>
      <c r="N533" s="20"/>
      <c r="O533" s="20"/>
      <c r="P533" s="20"/>
      <c r="Q533" s="20"/>
      <c r="R533" s="20"/>
      <c r="S533" s="20"/>
      <c r="T533" s="20"/>
      <c r="AE533" s="21" t="str">
        <f t="shared" si="100"/>
        <v/>
      </c>
      <c r="AF533" s="21" t="str">
        <f t="shared" ref="AF533:AN533" si="538">if(not(isblank(L533)),", "&amp;L533,"")</f>
        <v/>
      </c>
      <c r="AG533" s="21" t="str">
        <f t="shared" si="538"/>
        <v/>
      </c>
      <c r="AH533" s="21" t="str">
        <f t="shared" si="538"/>
        <v/>
      </c>
      <c r="AI533" s="21" t="str">
        <f t="shared" si="538"/>
        <v/>
      </c>
      <c r="AJ533" s="21" t="str">
        <f t="shared" si="538"/>
        <v/>
      </c>
      <c r="AK533" s="21" t="str">
        <f t="shared" si="538"/>
        <v/>
      </c>
      <c r="AL533" s="21" t="str">
        <f t="shared" si="538"/>
        <v/>
      </c>
      <c r="AM533" s="21" t="str">
        <f t="shared" si="538"/>
        <v/>
      </c>
      <c r="AN533" s="21" t="str">
        <f t="shared" si="538"/>
        <v/>
      </c>
      <c r="AO533" s="21" t="str">
        <f t="shared" si="102"/>
        <v/>
      </c>
    </row>
    <row r="534" ht="16.5" customHeight="1">
      <c r="J534" s="18"/>
      <c r="K534" s="19"/>
      <c r="L534" s="20"/>
      <c r="M534" s="20"/>
      <c r="N534" s="20"/>
      <c r="O534" s="20"/>
      <c r="P534" s="20"/>
      <c r="Q534" s="20"/>
      <c r="R534" s="20"/>
      <c r="S534" s="20"/>
      <c r="T534" s="20"/>
      <c r="AE534" s="21" t="str">
        <f t="shared" si="100"/>
        <v/>
      </c>
      <c r="AF534" s="21" t="str">
        <f t="shared" ref="AF534:AN534" si="539">if(not(isblank(L534)),", "&amp;L534,"")</f>
        <v/>
      </c>
      <c r="AG534" s="21" t="str">
        <f t="shared" si="539"/>
        <v/>
      </c>
      <c r="AH534" s="21" t="str">
        <f t="shared" si="539"/>
        <v/>
      </c>
      <c r="AI534" s="21" t="str">
        <f t="shared" si="539"/>
        <v/>
      </c>
      <c r="AJ534" s="21" t="str">
        <f t="shared" si="539"/>
        <v/>
      </c>
      <c r="AK534" s="21" t="str">
        <f t="shared" si="539"/>
        <v/>
      </c>
      <c r="AL534" s="21" t="str">
        <f t="shared" si="539"/>
        <v/>
      </c>
      <c r="AM534" s="21" t="str">
        <f t="shared" si="539"/>
        <v/>
      </c>
      <c r="AN534" s="21" t="str">
        <f t="shared" si="539"/>
        <v/>
      </c>
      <c r="AO534" s="21" t="str">
        <f t="shared" si="102"/>
        <v/>
      </c>
    </row>
    <row r="535" ht="16.5" customHeight="1">
      <c r="J535" s="18"/>
      <c r="K535" s="19"/>
      <c r="L535" s="20"/>
      <c r="M535" s="20"/>
      <c r="N535" s="20"/>
      <c r="O535" s="20"/>
      <c r="P535" s="20"/>
      <c r="Q535" s="20"/>
      <c r="R535" s="20"/>
      <c r="S535" s="20"/>
      <c r="T535" s="20"/>
      <c r="AE535" s="21" t="str">
        <f t="shared" si="100"/>
        <v/>
      </c>
      <c r="AF535" s="21" t="str">
        <f t="shared" ref="AF535:AN535" si="540">if(not(isblank(L535)),", "&amp;L535,"")</f>
        <v/>
      </c>
      <c r="AG535" s="21" t="str">
        <f t="shared" si="540"/>
        <v/>
      </c>
      <c r="AH535" s="21" t="str">
        <f t="shared" si="540"/>
        <v/>
      </c>
      <c r="AI535" s="21" t="str">
        <f t="shared" si="540"/>
        <v/>
      </c>
      <c r="AJ535" s="21" t="str">
        <f t="shared" si="540"/>
        <v/>
      </c>
      <c r="AK535" s="21" t="str">
        <f t="shared" si="540"/>
        <v/>
      </c>
      <c r="AL535" s="21" t="str">
        <f t="shared" si="540"/>
        <v/>
      </c>
      <c r="AM535" s="21" t="str">
        <f t="shared" si="540"/>
        <v/>
      </c>
      <c r="AN535" s="21" t="str">
        <f t="shared" si="540"/>
        <v/>
      </c>
      <c r="AO535" s="21" t="str">
        <f t="shared" si="102"/>
        <v/>
      </c>
    </row>
    <row r="536" ht="16.5" customHeight="1">
      <c r="J536" s="18"/>
      <c r="K536" s="19"/>
      <c r="L536" s="20"/>
      <c r="M536" s="20"/>
      <c r="N536" s="20"/>
      <c r="O536" s="20"/>
      <c r="P536" s="20"/>
      <c r="Q536" s="20"/>
      <c r="R536" s="20"/>
      <c r="S536" s="20"/>
      <c r="T536" s="20"/>
      <c r="AE536" s="21" t="str">
        <f t="shared" si="100"/>
        <v/>
      </c>
      <c r="AF536" s="21" t="str">
        <f t="shared" ref="AF536:AN536" si="541">if(not(isblank(L536)),", "&amp;L536,"")</f>
        <v/>
      </c>
      <c r="AG536" s="21" t="str">
        <f t="shared" si="541"/>
        <v/>
      </c>
      <c r="AH536" s="21" t="str">
        <f t="shared" si="541"/>
        <v/>
      </c>
      <c r="AI536" s="21" t="str">
        <f t="shared" si="541"/>
        <v/>
      </c>
      <c r="AJ536" s="21" t="str">
        <f t="shared" si="541"/>
        <v/>
      </c>
      <c r="AK536" s="21" t="str">
        <f t="shared" si="541"/>
        <v/>
      </c>
      <c r="AL536" s="21" t="str">
        <f t="shared" si="541"/>
        <v/>
      </c>
      <c r="AM536" s="21" t="str">
        <f t="shared" si="541"/>
        <v/>
      </c>
      <c r="AN536" s="21" t="str">
        <f t="shared" si="541"/>
        <v/>
      </c>
      <c r="AO536" s="21" t="str">
        <f t="shared" si="102"/>
        <v/>
      </c>
    </row>
    <row r="537" ht="16.5" customHeight="1">
      <c r="J537" s="18"/>
      <c r="K537" s="19"/>
      <c r="L537" s="20"/>
      <c r="M537" s="20"/>
      <c r="N537" s="20"/>
      <c r="O537" s="20"/>
      <c r="P537" s="20"/>
      <c r="Q537" s="20"/>
      <c r="R537" s="20"/>
      <c r="S537" s="20"/>
      <c r="T537" s="20"/>
      <c r="AE537" s="21" t="str">
        <f t="shared" si="100"/>
        <v/>
      </c>
      <c r="AF537" s="21" t="str">
        <f t="shared" ref="AF537:AN537" si="542">if(not(isblank(L537)),", "&amp;L537,"")</f>
        <v/>
      </c>
      <c r="AG537" s="21" t="str">
        <f t="shared" si="542"/>
        <v/>
      </c>
      <c r="AH537" s="21" t="str">
        <f t="shared" si="542"/>
        <v/>
      </c>
      <c r="AI537" s="21" t="str">
        <f t="shared" si="542"/>
        <v/>
      </c>
      <c r="AJ537" s="21" t="str">
        <f t="shared" si="542"/>
        <v/>
      </c>
      <c r="AK537" s="21" t="str">
        <f t="shared" si="542"/>
        <v/>
      </c>
      <c r="AL537" s="21" t="str">
        <f t="shared" si="542"/>
        <v/>
      </c>
      <c r="AM537" s="21" t="str">
        <f t="shared" si="542"/>
        <v/>
      </c>
      <c r="AN537" s="21" t="str">
        <f t="shared" si="542"/>
        <v/>
      </c>
      <c r="AO537" s="21" t="str">
        <f t="shared" si="102"/>
        <v/>
      </c>
    </row>
    <row r="538" ht="16.5" customHeight="1">
      <c r="J538" s="18"/>
      <c r="K538" s="19"/>
      <c r="L538" s="20"/>
      <c r="M538" s="20"/>
      <c r="N538" s="20"/>
      <c r="O538" s="20"/>
      <c r="P538" s="20"/>
      <c r="Q538" s="20"/>
      <c r="R538" s="20"/>
      <c r="S538" s="20"/>
      <c r="T538" s="20"/>
      <c r="AE538" s="21" t="str">
        <f t="shared" si="100"/>
        <v/>
      </c>
      <c r="AF538" s="21" t="str">
        <f t="shared" ref="AF538:AN538" si="543">if(not(isblank(L538)),", "&amp;L538,"")</f>
        <v/>
      </c>
      <c r="AG538" s="21" t="str">
        <f t="shared" si="543"/>
        <v/>
      </c>
      <c r="AH538" s="21" t="str">
        <f t="shared" si="543"/>
        <v/>
      </c>
      <c r="AI538" s="21" t="str">
        <f t="shared" si="543"/>
        <v/>
      </c>
      <c r="AJ538" s="21" t="str">
        <f t="shared" si="543"/>
        <v/>
      </c>
      <c r="AK538" s="21" t="str">
        <f t="shared" si="543"/>
        <v/>
      </c>
      <c r="AL538" s="21" t="str">
        <f t="shared" si="543"/>
        <v/>
      </c>
      <c r="AM538" s="21" t="str">
        <f t="shared" si="543"/>
        <v/>
      </c>
      <c r="AN538" s="21" t="str">
        <f t="shared" si="543"/>
        <v/>
      </c>
      <c r="AO538" s="21" t="str">
        <f t="shared" si="102"/>
        <v/>
      </c>
    </row>
    <row r="539" ht="16.5" customHeight="1">
      <c r="J539" s="18"/>
      <c r="K539" s="19"/>
      <c r="L539" s="20"/>
      <c r="M539" s="20"/>
      <c r="N539" s="20"/>
      <c r="O539" s="20"/>
      <c r="P539" s="20"/>
      <c r="Q539" s="20"/>
      <c r="R539" s="20"/>
      <c r="S539" s="20"/>
      <c r="T539" s="20"/>
      <c r="AE539" s="21" t="str">
        <f t="shared" si="100"/>
        <v/>
      </c>
      <c r="AF539" s="21" t="str">
        <f t="shared" ref="AF539:AN539" si="544">if(not(isblank(L539)),", "&amp;L539,"")</f>
        <v/>
      </c>
      <c r="AG539" s="21" t="str">
        <f t="shared" si="544"/>
        <v/>
      </c>
      <c r="AH539" s="21" t="str">
        <f t="shared" si="544"/>
        <v/>
      </c>
      <c r="AI539" s="21" t="str">
        <f t="shared" si="544"/>
        <v/>
      </c>
      <c r="AJ539" s="21" t="str">
        <f t="shared" si="544"/>
        <v/>
      </c>
      <c r="AK539" s="21" t="str">
        <f t="shared" si="544"/>
        <v/>
      </c>
      <c r="AL539" s="21" t="str">
        <f t="shared" si="544"/>
        <v/>
      </c>
      <c r="AM539" s="21" t="str">
        <f t="shared" si="544"/>
        <v/>
      </c>
      <c r="AN539" s="21" t="str">
        <f t="shared" si="544"/>
        <v/>
      </c>
      <c r="AO539" s="21" t="str">
        <f t="shared" si="102"/>
        <v/>
      </c>
    </row>
    <row r="540" ht="16.5" customHeight="1">
      <c r="J540" s="18"/>
      <c r="K540" s="19"/>
      <c r="L540" s="20"/>
      <c r="M540" s="20"/>
      <c r="N540" s="20"/>
      <c r="O540" s="20"/>
      <c r="P540" s="20"/>
      <c r="Q540" s="20"/>
      <c r="R540" s="20"/>
      <c r="S540" s="20"/>
      <c r="T540" s="20"/>
      <c r="AE540" s="21" t="str">
        <f t="shared" si="100"/>
        <v/>
      </c>
      <c r="AF540" s="21" t="str">
        <f t="shared" ref="AF540:AN540" si="545">if(not(isblank(L540)),", "&amp;L540,"")</f>
        <v/>
      </c>
      <c r="AG540" s="21" t="str">
        <f t="shared" si="545"/>
        <v/>
      </c>
      <c r="AH540" s="21" t="str">
        <f t="shared" si="545"/>
        <v/>
      </c>
      <c r="AI540" s="21" t="str">
        <f t="shared" si="545"/>
        <v/>
      </c>
      <c r="AJ540" s="21" t="str">
        <f t="shared" si="545"/>
        <v/>
      </c>
      <c r="AK540" s="21" t="str">
        <f t="shared" si="545"/>
        <v/>
      </c>
      <c r="AL540" s="21" t="str">
        <f t="shared" si="545"/>
        <v/>
      </c>
      <c r="AM540" s="21" t="str">
        <f t="shared" si="545"/>
        <v/>
      </c>
      <c r="AN540" s="21" t="str">
        <f t="shared" si="545"/>
        <v/>
      </c>
      <c r="AO540" s="21" t="str">
        <f t="shared" si="102"/>
        <v/>
      </c>
    </row>
    <row r="541" ht="16.5" customHeight="1">
      <c r="J541" s="18"/>
      <c r="K541" s="19"/>
      <c r="L541" s="20"/>
      <c r="M541" s="20"/>
      <c r="N541" s="20"/>
      <c r="O541" s="20"/>
      <c r="P541" s="20"/>
      <c r="Q541" s="20"/>
      <c r="R541" s="20"/>
      <c r="S541" s="20"/>
      <c r="T541" s="20"/>
      <c r="AE541" s="21" t="str">
        <f t="shared" si="100"/>
        <v/>
      </c>
      <c r="AF541" s="21" t="str">
        <f t="shared" ref="AF541:AN541" si="546">if(not(isblank(L541)),", "&amp;L541,"")</f>
        <v/>
      </c>
      <c r="AG541" s="21" t="str">
        <f t="shared" si="546"/>
        <v/>
      </c>
      <c r="AH541" s="21" t="str">
        <f t="shared" si="546"/>
        <v/>
      </c>
      <c r="AI541" s="21" t="str">
        <f t="shared" si="546"/>
        <v/>
      </c>
      <c r="AJ541" s="21" t="str">
        <f t="shared" si="546"/>
        <v/>
      </c>
      <c r="AK541" s="21" t="str">
        <f t="shared" si="546"/>
        <v/>
      </c>
      <c r="AL541" s="21" t="str">
        <f t="shared" si="546"/>
        <v/>
      </c>
      <c r="AM541" s="21" t="str">
        <f t="shared" si="546"/>
        <v/>
      </c>
      <c r="AN541" s="21" t="str">
        <f t="shared" si="546"/>
        <v/>
      </c>
      <c r="AO541" s="21" t="str">
        <f t="shared" si="102"/>
        <v/>
      </c>
    </row>
    <row r="542" ht="16.5" customHeight="1">
      <c r="J542" s="18"/>
      <c r="K542" s="19"/>
      <c r="L542" s="20"/>
      <c r="M542" s="20"/>
      <c r="N542" s="20"/>
      <c r="O542" s="20"/>
      <c r="P542" s="20"/>
      <c r="Q542" s="20"/>
      <c r="R542" s="20"/>
      <c r="S542" s="20"/>
      <c r="T542" s="20"/>
      <c r="AE542" s="21" t="str">
        <f t="shared" si="100"/>
        <v/>
      </c>
      <c r="AF542" s="21" t="str">
        <f t="shared" ref="AF542:AN542" si="547">if(not(isblank(L542)),", "&amp;L542,"")</f>
        <v/>
      </c>
      <c r="AG542" s="21" t="str">
        <f t="shared" si="547"/>
        <v/>
      </c>
      <c r="AH542" s="21" t="str">
        <f t="shared" si="547"/>
        <v/>
      </c>
      <c r="AI542" s="21" t="str">
        <f t="shared" si="547"/>
        <v/>
      </c>
      <c r="AJ542" s="21" t="str">
        <f t="shared" si="547"/>
        <v/>
      </c>
      <c r="AK542" s="21" t="str">
        <f t="shared" si="547"/>
        <v/>
      </c>
      <c r="AL542" s="21" t="str">
        <f t="shared" si="547"/>
        <v/>
      </c>
      <c r="AM542" s="21" t="str">
        <f t="shared" si="547"/>
        <v/>
      </c>
      <c r="AN542" s="21" t="str">
        <f t="shared" si="547"/>
        <v/>
      </c>
      <c r="AO542" s="21" t="str">
        <f t="shared" si="102"/>
        <v/>
      </c>
    </row>
    <row r="543" ht="16.5" customHeight="1">
      <c r="J543" s="18"/>
      <c r="K543" s="19"/>
      <c r="L543" s="20"/>
      <c r="M543" s="20"/>
      <c r="N543" s="20"/>
      <c r="O543" s="20"/>
      <c r="P543" s="20"/>
      <c r="Q543" s="20"/>
      <c r="R543" s="20"/>
      <c r="S543" s="20"/>
      <c r="T543" s="20"/>
      <c r="AE543" s="21" t="str">
        <f t="shared" si="100"/>
        <v/>
      </c>
      <c r="AF543" s="21" t="str">
        <f t="shared" ref="AF543:AN543" si="548">if(not(isblank(L543)),", "&amp;L543,"")</f>
        <v/>
      </c>
      <c r="AG543" s="21" t="str">
        <f t="shared" si="548"/>
        <v/>
      </c>
      <c r="AH543" s="21" t="str">
        <f t="shared" si="548"/>
        <v/>
      </c>
      <c r="AI543" s="21" t="str">
        <f t="shared" si="548"/>
        <v/>
      </c>
      <c r="AJ543" s="21" t="str">
        <f t="shared" si="548"/>
        <v/>
      </c>
      <c r="AK543" s="21" t="str">
        <f t="shared" si="548"/>
        <v/>
      </c>
      <c r="AL543" s="21" t="str">
        <f t="shared" si="548"/>
        <v/>
      </c>
      <c r="AM543" s="21" t="str">
        <f t="shared" si="548"/>
        <v/>
      </c>
      <c r="AN543" s="21" t="str">
        <f t="shared" si="548"/>
        <v/>
      </c>
      <c r="AO543" s="21" t="str">
        <f t="shared" si="102"/>
        <v/>
      </c>
    </row>
    <row r="544" ht="16.5" customHeight="1">
      <c r="J544" s="18"/>
      <c r="K544" s="19"/>
      <c r="L544" s="20"/>
      <c r="M544" s="20"/>
      <c r="N544" s="20"/>
      <c r="O544" s="20"/>
      <c r="P544" s="20"/>
      <c r="Q544" s="20"/>
      <c r="R544" s="20"/>
      <c r="S544" s="20"/>
      <c r="T544" s="20"/>
      <c r="AE544" s="21" t="str">
        <f t="shared" si="100"/>
        <v/>
      </c>
      <c r="AF544" s="21" t="str">
        <f t="shared" ref="AF544:AN544" si="549">if(not(isblank(L544)),", "&amp;L544,"")</f>
        <v/>
      </c>
      <c r="AG544" s="21" t="str">
        <f t="shared" si="549"/>
        <v/>
      </c>
      <c r="AH544" s="21" t="str">
        <f t="shared" si="549"/>
        <v/>
      </c>
      <c r="AI544" s="21" t="str">
        <f t="shared" si="549"/>
        <v/>
      </c>
      <c r="AJ544" s="21" t="str">
        <f t="shared" si="549"/>
        <v/>
      </c>
      <c r="AK544" s="21" t="str">
        <f t="shared" si="549"/>
        <v/>
      </c>
      <c r="AL544" s="21" t="str">
        <f t="shared" si="549"/>
        <v/>
      </c>
      <c r="AM544" s="21" t="str">
        <f t="shared" si="549"/>
        <v/>
      </c>
      <c r="AN544" s="21" t="str">
        <f t="shared" si="549"/>
        <v/>
      </c>
      <c r="AO544" s="21" t="str">
        <f t="shared" si="102"/>
        <v/>
      </c>
    </row>
    <row r="545" ht="16.5" customHeight="1">
      <c r="J545" s="18"/>
      <c r="K545" s="19"/>
      <c r="L545" s="20"/>
      <c r="M545" s="20"/>
      <c r="N545" s="20"/>
      <c r="O545" s="20"/>
      <c r="P545" s="20"/>
      <c r="Q545" s="20"/>
      <c r="R545" s="20"/>
      <c r="S545" s="20"/>
      <c r="T545" s="20"/>
      <c r="AE545" s="21" t="str">
        <f t="shared" si="100"/>
        <v/>
      </c>
      <c r="AF545" s="21" t="str">
        <f t="shared" ref="AF545:AN545" si="550">if(not(isblank(L545)),", "&amp;L545,"")</f>
        <v/>
      </c>
      <c r="AG545" s="21" t="str">
        <f t="shared" si="550"/>
        <v/>
      </c>
      <c r="AH545" s="21" t="str">
        <f t="shared" si="550"/>
        <v/>
      </c>
      <c r="AI545" s="21" t="str">
        <f t="shared" si="550"/>
        <v/>
      </c>
      <c r="AJ545" s="21" t="str">
        <f t="shared" si="550"/>
        <v/>
      </c>
      <c r="AK545" s="21" t="str">
        <f t="shared" si="550"/>
        <v/>
      </c>
      <c r="AL545" s="21" t="str">
        <f t="shared" si="550"/>
        <v/>
      </c>
      <c r="AM545" s="21" t="str">
        <f t="shared" si="550"/>
        <v/>
      </c>
      <c r="AN545" s="21" t="str">
        <f t="shared" si="550"/>
        <v/>
      </c>
      <c r="AO545" s="21" t="str">
        <f t="shared" si="102"/>
        <v/>
      </c>
    </row>
    <row r="546" ht="16.5" customHeight="1">
      <c r="J546" s="18"/>
      <c r="K546" s="19"/>
      <c r="L546" s="20"/>
      <c r="M546" s="20"/>
      <c r="N546" s="20"/>
      <c r="O546" s="20"/>
      <c r="P546" s="20"/>
      <c r="Q546" s="20"/>
      <c r="R546" s="20"/>
      <c r="S546" s="20"/>
      <c r="T546" s="20"/>
      <c r="AE546" s="21" t="str">
        <f t="shared" si="100"/>
        <v/>
      </c>
      <c r="AF546" s="21" t="str">
        <f t="shared" ref="AF546:AN546" si="551">if(not(isblank(L546)),", "&amp;L546,"")</f>
        <v/>
      </c>
      <c r="AG546" s="21" t="str">
        <f t="shared" si="551"/>
        <v/>
      </c>
      <c r="AH546" s="21" t="str">
        <f t="shared" si="551"/>
        <v/>
      </c>
      <c r="AI546" s="21" t="str">
        <f t="shared" si="551"/>
        <v/>
      </c>
      <c r="AJ546" s="21" t="str">
        <f t="shared" si="551"/>
        <v/>
      </c>
      <c r="AK546" s="21" t="str">
        <f t="shared" si="551"/>
        <v/>
      </c>
      <c r="AL546" s="21" t="str">
        <f t="shared" si="551"/>
        <v/>
      </c>
      <c r="AM546" s="21" t="str">
        <f t="shared" si="551"/>
        <v/>
      </c>
      <c r="AN546" s="21" t="str">
        <f t="shared" si="551"/>
        <v/>
      </c>
      <c r="AO546" s="21" t="str">
        <f t="shared" si="102"/>
        <v/>
      </c>
    </row>
    <row r="547" ht="16.5" customHeight="1">
      <c r="J547" s="18"/>
      <c r="K547" s="19"/>
      <c r="L547" s="20"/>
      <c r="M547" s="20"/>
      <c r="N547" s="20"/>
      <c r="O547" s="20"/>
      <c r="P547" s="20"/>
      <c r="Q547" s="20"/>
      <c r="R547" s="20"/>
      <c r="S547" s="20"/>
      <c r="T547" s="20"/>
      <c r="AE547" s="21" t="str">
        <f t="shared" si="100"/>
        <v/>
      </c>
      <c r="AF547" s="21" t="str">
        <f t="shared" ref="AF547:AN547" si="552">if(not(isblank(L547)),", "&amp;L547,"")</f>
        <v/>
      </c>
      <c r="AG547" s="21" t="str">
        <f t="shared" si="552"/>
        <v/>
      </c>
      <c r="AH547" s="21" t="str">
        <f t="shared" si="552"/>
        <v/>
      </c>
      <c r="AI547" s="21" t="str">
        <f t="shared" si="552"/>
        <v/>
      </c>
      <c r="AJ547" s="21" t="str">
        <f t="shared" si="552"/>
        <v/>
      </c>
      <c r="AK547" s="21" t="str">
        <f t="shared" si="552"/>
        <v/>
      </c>
      <c r="AL547" s="21" t="str">
        <f t="shared" si="552"/>
        <v/>
      </c>
      <c r="AM547" s="21" t="str">
        <f t="shared" si="552"/>
        <v/>
      </c>
      <c r="AN547" s="21" t="str">
        <f t="shared" si="552"/>
        <v/>
      </c>
      <c r="AO547" s="21" t="str">
        <f t="shared" si="102"/>
        <v/>
      </c>
    </row>
    <row r="548" ht="16.5" customHeight="1">
      <c r="J548" s="18"/>
      <c r="K548" s="19"/>
      <c r="L548" s="20"/>
      <c r="M548" s="20"/>
      <c r="N548" s="20"/>
      <c r="O548" s="20"/>
      <c r="P548" s="20"/>
      <c r="Q548" s="20"/>
      <c r="R548" s="20"/>
      <c r="S548" s="20"/>
      <c r="T548" s="20"/>
      <c r="AE548" s="21" t="str">
        <f t="shared" si="100"/>
        <v/>
      </c>
      <c r="AF548" s="21" t="str">
        <f t="shared" ref="AF548:AN548" si="553">if(not(isblank(L548)),", "&amp;L548,"")</f>
        <v/>
      </c>
      <c r="AG548" s="21" t="str">
        <f t="shared" si="553"/>
        <v/>
      </c>
      <c r="AH548" s="21" t="str">
        <f t="shared" si="553"/>
        <v/>
      </c>
      <c r="AI548" s="21" t="str">
        <f t="shared" si="553"/>
        <v/>
      </c>
      <c r="AJ548" s="21" t="str">
        <f t="shared" si="553"/>
        <v/>
      </c>
      <c r="AK548" s="21" t="str">
        <f t="shared" si="553"/>
        <v/>
      </c>
      <c r="AL548" s="21" t="str">
        <f t="shared" si="553"/>
        <v/>
      </c>
      <c r="AM548" s="21" t="str">
        <f t="shared" si="553"/>
        <v/>
      </c>
      <c r="AN548" s="21" t="str">
        <f t="shared" si="553"/>
        <v/>
      </c>
      <c r="AO548" s="21" t="str">
        <f t="shared" si="102"/>
        <v/>
      </c>
    </row>
    <row r="549" ht="16.5" customHeight="1">
      <c r="J549" s="18"/>
      <c r="K549" s="19"/>
      <c r="L549" s="20"/>
      <c r="M549" s="20"/>
      <c r="N549" s="20"/>
      <c r="O549" s="20"/>
      <c r="P549" s="20"/>
      <c r="Q549" s="20"/>
      <c r="R549" s="20"/>
      <c r="S549" s="20"/>
      <c r="T549" s="20"/>
      <c r="AE549" s="21" t="str">
        <f t="shared" si="100"/>
        <v/>
      </c>
      <c r="AF549" s="21" t="str">
        <f t="shared" ref="AF549:AN549" si="554">if(not(isblank(L549)),", "&amp;L549,"")</f>
        <v/>
      </c>
      <c r="AG549" s="21" t="str">
        <f t="shared" si="554"/>
        <v/>
      </c>
      <c r="AH549" s="21" t="str">
        <f t="shared" si="554"/>
        <v/>
      </c>
      <c r="AI549" s="21" t="str">
        <f t="shared" si="554"/>
        <v/>
      </c>
      <c r="AJ549" s="21" t="str">
        <f t="shared" si="554"/>
        <v/>
      </c>
      <c r="AK549" s="21" t="str">
        <f t="shared" si="554"/>
        <v/>
      </c>
      <c r="AL549" s="21" t="str">
        <f t="shared" si="554"/>
        <v/>
      </c>
      <c r="AM549" s="21" t="str">
        <f t="shared" si="554"/>
        <v/>
      </c>
      <c r="AN549" s="21" t="str">
        <f t="shared" si="554"/>
        <v/>
      </c>
      <c r="AO549" s="21" t="str">
        <f t="shared" si="102"/>
        <v/>
      </c>
    </row>
    <row r="550" ht="16.5" customHeight="1">
      <c r="J550" s="18"/>
      <c r="K550" s="19"/>
      <c r="L550" s="20"/>
      <c r="M550" s="20"/>
      <c r="N550" s="20"/>
      <c r="O550" s="20"/>
      <c r="P550" s="20"/>
      <c r="Q550" s="20"/>
      <c r="R550" s="20"/>
      <c r="S550" s="20"/>
      <c r="T550" s="20"/>
      <c r="AE550" s="21" t="str">
        <f t="shared" si="100"/>
        <v/>
      </c>
      <c r="AF550" s="21" t="str">
        <f t="shared" ref="AF550:AN550" si="555">if(not(isblank(L550)),", "&amp;L550,"")</f>
        <v/>
      </c>
      <c r="AG550" s="21" t="str">
        <f t="shared" si="555"/>
        <v/>
      </c>
      <c r="AH550" s="21" t="str">
        <f t="shared" si="555"/>
        <v/>
      </c>
      <c r="AI550" s="21" t="str">
        <f t="shared" si="555"/>
        <v/>
      </c>
      <c r="AJ550" s="21" t="str">
        <f t="shared" si="555"/>
        <v/>
      </c>
      <c r="AK550" s="21" t="str">
        <f t="shared" si="555"/>
        <v/>
      </c>
      <c r="AL550" s="21" t="str">
        <f t="shared" si="555"/>
        <v/>
      </c>
      <c r="AM550" s="21" t="str">
        <f t="shared" si="555"/>
        <v/>
      </c>
      <c r="AN550" s="21" t="str">
        <f t="shared" si="555"/>
        <v/>
      </c>
      <c r="AO550" s="21" t="str">
        <f t="shared" si="102"/>
        <v/>
      </c>
    </row>
    <row r="551" ht="16.5" customHeight="1">
      <c r="J551" s="18"/>
      <c r="K551" s="19"/>
      <c r="L551" s="20"/>
      <c r="M551" s="20"/>
      <c r="N551" s="20"/>
      <c r="O551" s="20"/>
      <c r="P551" s="20"/>
      <c r="Q551" s="20"/>
      <c r="R551" s="20"/>
      <c r="S551" s="20"/>
      <c r="T551" s="20"/>
      <c r="AE551" s="21" t="str">
        <f t="shared" si="100"/>
        <v/>
      </c>
      <c r="AF551" s="21" t="str">
        <f t="shared" ref="AF551:AN551" si="556">if(not(isblank(L551)),", "&amp;L551,"")</f>
        <v/>
      </c>
      <c r="AG551" s="21" t="str">
        <f t="shared" si="556"/>
        <v/>
      </c>
      <c r="AH551" s="21" t="str">
        <f t="shared" si="556"/>
        <v/>
      </c>
      <c r="AI551" s="21" t="str">
        <f t="shared" si="556"/>
        <v/>
      </c>
      <c r="AJ551" s="21" t="str">
        <f t="shared" si="556"/>
        <v/>
      </c>
      <c r="AK551" s="21" t="str">
        <f t="shared" si="556"/>
        <v/>
      </c>
      <c r="AL551" s="21" t="str">
        <f t="shared" si="556"/>
        <v/>
      </c>
      <c r="AM551" s="21" t="str">
        <f t="shared" si="556"/>
        <v/>
      </c>
      <c r="AN551" s="21" t="str">
        <f t="shared" si="556"/>
        <v/>
      </c>
      <c r="AO551" s="21" t="str">
        <f t="shared" si="102"/>
        <v/>
      </c>
    </row>
    <row r="552" ht="16.5" customHeight="1">
      <c r="J552" s="18"/>
      <c r="K552" s="19"/>
      <c r="L552" s="20"/>
      <c r="M552" s="20"/>
      <c r="N552" s="20"/>
      <c r="O552" s="20"/>
      <c r="P552" s="20"/>
      <c r="Q552" s="20"/>
      <c r="R552" s="20"/>
      <c r="S552" s="20"/>
      <c r="T552" s="20"/>
      <c r="AE552" s="21" t="str">
        <f t="shared" si="100"/>
        <v/>
      </c>
      <c r="AF552" s="21" t="str">
        <f t="shared" ref="AF552:AN552" si="557">if(not(isblank(L552)),", "&amp;L552,"")</f>
        <v/>
      </c>
      <c r="AG552" s="21" t="str">
        <f t="shared" si="557"/>
        <v/>
      </c>
      <c r="AH552" s="21" t="str">
        <f t="shared" si="557"/>
        <v/>
      </c>
      <c r="AI552" s="21" t="str">
        <f t="shared" si="557"/>
        <v/>
      </c>
      <c r="AJ552" s="21" t="str">
        <f t="shared" si="557"/>
        <v/>
      </c>
      <c r="AK552" s="21" t="str">
        <f t="shared" si="557"/>
        <v/>
      </c>
      <c r="AL552" s="21" t="str">
        <f t="shared" si="557"/>
        <v/>
      </c>
      <c r="AM552" s="21" t="str">
        <f t="shared" si="557"/>
        <v/>
      </c>
      <c r="AN552" s="21" t="str">
        <f t="shared" si="557"/>
        <v/>
      </c>
      <c r="AO552" s="21" t="str">
        <f t="shared" si="102"/>
        <v/>
      </c>
    </row>
    <row r="553" ht="16.5" customHeight="1">
      <c r="J553" s="18"/>
      <c r="K553" s="19"/>
      <c r="L553" s="20"/>
      <c r="M553" s="20"/>
      <c r="N553" s="20"/>
      <c r="O553" s="20"/>
      <c r="P553" s="20"/>
      <c r="Q553" s="20"/>
      <c r="R553" s="20"/>
      <c r="S553" s="20"/>
      <c r="T553" s="20"/>
      <c r="AE553" s="21" t="str">
        <f t="shared" si="100"/>
        <v/>
      </c>
      <c r="AF553" s="21" t="str">
        <f t="shared" ref="AF553:AN553" si="558">if(not(isblank(L553)),", "&amp;L553,"")</f>
        <v/>
      </c>
      <c r="AG553" s="21" t="str">
        <f t="shared" si="558"/>
        <v/>
      </c>
      <c r="AH553" s="21" t="str">
        <f t="shared" si="558"/>
        <v/>
      </c>
      <c r="AI553" s="21" t="str">
        <f t="shared" si="558"/>
        <v/>
      </c>
      <c r="AJ553" s="21" t="str">
        <f t="shared" si="558"/>
        <v/>
      </c>
      <c r="AK553" s="21" t="str">
        <f t="shared" si="558"/>
        <v/>
      </c>
      <c r="AL553" s="21" t="str">
        <f t="shared" si="558"/>
        <v/>
      </c>
      <c r="AM553" s="21" t="str">
        <f t="shared" si="558"/>
        <v/>
      </c>
      <c r="AN553" s="21" t="str">
        <f t="shared" si="558"/>
        <v/>
      </c>
      <c r="AO553" s="21" t="str">
        <f t="shared" si="102"/>
        <v/>
      </c>
    </row>
    <row r="554" ht="16.5" customHeight="1">
      <c r="J554" s="18"/>
      <c r="K554" s="19"/>
      <c r="L554" s="20"/>
      <c r="M554" s="20"/>
      <c r="N554" s="20"/>
      <c r="O554" s="20"/>
      <c r="P554" s="20"/>
      <c r="Q554" s="20"/>
      <c r="R554" s="20"/>
      <c r="S554" s="20"/>
      <c r="T554" s="20"/>
      <c r="AE554" s="21" t="str">
        <f t="shared" si="100"/>
        <v/>
      </c>
      <c r="AF554" s="21" t="str">
        <f t="shared" ref="AF554:AN554" si="559">if(not(isblank(L554)),", "&amp;L554,"")</f>
        <v/>
      </c>
      <c r="AG554" s="21" t="str">
        <f t="shared" si="559"/>
        <v/>
      </c>
      <c r="AH554" s="21" t="str">
        <f t="shared" si="559"/>
        <v/>
      </c>
      <c r="AI554" s="21" t="str">
        <f t="shared" si="559"/>
        <v/>
      </c>
      <c r="AJ554" s="21" t="str">
        <f t="shared" si="559"/>
        <v/>
      </c>
      <c r="AK554" s="21" t="str">
        <f t="shared" si="559"/>
        <v/>
      </c>
      <c r="AL554" s="21" t="str">
        <f t="shared" si="559"/>
        <v/>
      </c>
      <c r="AM554" s="21" t="str">
        <f t="shared" si="559"/>
        <v/>
      </c>
      <c r="AN554" s="21" t="str">
        <f t="shared" si="559"/>
        <v/>
      </c>
      <c r="AO554" s="21" t="str">
        <f t="shared" si="102"/>
        <v/>
      </c>
    </row>
    <row r="555" ht="16.5" customHeight="1">
      <c r="J555" s="18"/>
      <c r="K555" s="19"/>
      <c r="L555" s="20"/>
      <c r="M555" s="20"/>
      <c r="N555" s="20"/>
      <c r="O555" s="20"/>
      <c r="P555" s="20"/>
      <c r="Q555" s="20"/>
      <c r="R555" s="20"/>
      <c r="S555" s="20"/>
      <c r="T555" s="20"/>
      <c r="AE555" s="21" t="str">
        <f t="shared" si="100"/>
        <v/>
      </c>
      <c r="AF555" s="21" t="str">
        <f t="shared" ref="AF555:AN555" si="560">if(not(isblank(L555)),", "&amp;L555,"")</f>
        <v/>
      </c>
      <c r="AG555" s="21" t="str">
        <f t="shared" si="560"/>
        <v/>
      </c>
      <c r="AH555" s="21" t="str">
        <f t="shared" si="560"/>
        <v/>
      </c>
      <c r="AI555" s="21" t="str">
        <f t="shared" si="560"/>
        <v/>
      </c>
      <c r="AJ555" s="21" t="str">
        <f t="shared" si="560"/>
        <v/>
      </c>
      <c r="AK555" s="21" t="str">
        <f t="shared" si="560"/>
        <v/>
      </c>
      <c r="AL555" s="21" t="str">
        <f t="shared" si="560"/>
        <v/>
      </c>
      <c r="AM555" s="21" t="str">
        <f t="shared" si="560"/>
        <v/>
      </c>
      <c r="AN555" s="21" t="str">
        <f t="shared" si="560"/>
        <v/>
      </c>
      <c r="AO555" s="21" t="str">
        <f t="shared" si="102"/>
        <v/>
      </c>
    </row>
    <row r="556" ht="16.5" customHeight="1">
      <c r="J556" s="18"/>
      <c r="K556" s="19"/>
      <c r="L556" s="20"/>
      <c r="M556" s="20"/>
      <c r="N556" s="20"/>
      <c r="O556" s="20"/>
      <c r="P556" s="20"/>
      <c r="Q556" s="20"/>
      <c r="R556" s="20"/>
      <c r="S556" s="20"/>
      <c r="T556" s="20"/>
      <c r="AE556" s="21" t="str">
        <f t="shared" si="100"/>
        <v/>
      </c>
      <c r="AF556" s="21" t="str">
        <f t="shared" ref="AF556:AN556" si="561">if(not(isblank(L556)),", "&amp;L556,"")</f>
        <v/>
      </c>
      <c r="AG556" s="21" t="str">
        <f t="shared" si="561"/>
        <v/>
      </c>
      <c r="AH556" s="21" t="str">
        <f t="shared" si="561"/>
        <v/>
      </c>
      <c r="AI556" s="21" t="str">
        <f t="shared" si="561"/>
        <v/>
      </c>
      <c r="AJ556" s="21" t="str">
        <f t="shared" si="561"/>
        <v/>
      </c>
      <c r="AK556" s="21" t="str">
        <f t="shared" si="561"/>
        <v/>
      </c>
      <c r="AL556" s="21" t="str">
        <f t="shared" si="561"/>
        <v/>
      </c>
      <c r="AM556" s="21" t="str">
        <f t="shared" si="561"/>
        <v/>
      </c>
      <c r="AN556" s="21" t="str">
        <f t="shared" si="561"/>
        <v/>
      </c>
      <c r="AO556" s="21" t="str">
        <f t="shared" si="102"/>
        <v/>
      </c>
    </row>
    <row r="557" ht="16.5" customHeight="1">
      <c r="J557" s="18"/>
      <c r="K557" s="19"/>
      <c r="L557" s="20"/>
      <c r="M557" s="20"/>
      <c r="N557" s="20"/>
      <c r="O557" s="20"/>
      <c r="P557" s="20"/>
      <c r="Q557" s="20"/>
      <c r="R557" s="20"/>
      <c r="S557" s="20"/>
      <c r="T557" s="20"/>
      <c r="AE557" s="21" t="str">
        <f t="shared" si="100"/>
        <v/>
      </c>
      <c r="AF557" s="21" t="str">
        <f t="shared" ref="AF557:AN557" si="562">if(not(isblank(L557)),", "&amp;L557,"")</f>
        <v/>
      </c>
      <c r="AG557" s="21" t="str">
        <f t="shared" si="562"/>
        <v/>
      </c>
      <c r="AH557" s="21" t="str">
        <f t="shared" si="562"/>
        <v/>
      </c>
      <c r="AI557" s="21" t="str">
        <f t="shared" si="562"/>
        <v/>
      </c>
      <c r="AJ557" s="21" t="str">
        <f t="shared" si="562"/>
        <v/>
      </c>
      <c r="AK557" s="21" t="str">
        <f t="shared" si="562"/>
        <v/>
      </c>
      <c r="AL557" s="21" t="str">
        <f t="shared" si="562"/>
        <v/>
      </c>
      <c r="AM557" s="21" t="str">
        <f t="shared" si="562"/>
        <v/>
      </c>
      <c r="AN557" s="21" t="str">
        <f t="shared" si="562"/>
        <v/>
      </c>
      <c r="AO557" s="21" t="str">
        <f t="shared" si="102"/>
        <v/>
      </c>
    </row>
    <row r="558" ht="16.5" customHeight="1">
      <c r="J558" s="18"/>
      <c r="K558" s="19"/>
      <c r="L558" s="20"/>
      <c r="M558" s="20"/>
      <c r="N558" s="20"/>
      <c r="O558" s="20"/>
      <c r="P558" s="20"/>
      <c r="Q558" s="20"/>
      <c r="R558" s="20"/>
      <c r="S558" s="20"/>
      <c r="T558" s="20"/>
      <c r="AE558" s="21" t="str">
        <f t="shared" si="100"/>
        <v/>
      </c>
      <c r="AF558" s="21" t="str">
        <f t="shared" ref="AF558:AN558" si="563">if(not(isblank(L558)),", "&amp;L558,"")</f>
        <v/>
      </c>
      <c r="AG558" s="21" t="str">
        <f t="shared" si="563"/>
        <v/>
      </c>
      <c r="AH558" s="21" t="str">
        <f t="shared" si="563"/>
        <v/>
      </c>
      <c r="AI558" s="21" t="str">
        <f t="shared" si="563"/>
        <v/>
      </c>
      <c r="AJ558" s="21" t="str">
        <f t="shared" si="563"/>
        <v/>
      </c>
      <c r="AK558" s="21" t="str">
        <f t="shared" si="563"/>
        <v/>
      </c>
      <c r="AL558" s="21" t="str">
        <f t="shared" si="563"/>
        <v/>
      </c>
      <c r="AM558" s="21" t="str">
        <f t="shared" si="563"/>
        <v/>
      </c>
      <c r="AN558" s="21" t="str">
        <f t="shared" si="563"/>
        <v/>
      </c>
      <c r="AO558" s="21" t="str">
        <f t="shared" si="102"/>
        <v/>
      </c>
    </row>
    <row r="559" ht="16.5" customHeight="1">
      <c r="J559" s="18"/>
      <c r="K559" s="19"/>
      <c r="L559" s="20"/>
      <c r="M559" s="20"/>
      <c r="N559" s="20"/>
      <c r="O559" s="20"/>
      <c r="P559" s="20"/>
      <c r="Q559" s="20"/>
      <c r="R559" s="20"/>
      <c r="S559" s="20"/>
      <c r="T559" s="20"/>
      <c r="AE559" s="21" t="str">
        <f t="shared" si="100"/>
        <v/>
      </c>
      <c r="AF559" s="21" t="str">
        <f t="shared" ref="AF559:AN559" si="564">if(not(isblank(L559)),", "&amp;L559,"")</f>
        <v/>
      </c>
      <c r="AG559" s="21" t="str">
        <f t="shared" si="564"/>
        <v/>
      </c>
      <c r="AH559" s="21" t="str">
        <f t="shared" si="564"/>
        <v/>
      </c>
      <c r="AI559" s="21" t="str">
        <f t="shared" si="564"/>
        <v/>
      </c>
      <c r="AJ559" s="21" t="str">
        <f t="shared" si="564"/>
        <v/>
      </c>
      <c r="AK559" s="21" t="str">
        <f t="shared" si="564"/>
        <v/>
      </c>
      <c r="AL559" s="21" t="str">
        <f t="shared" si="564"/>
        <v/>
      </c>
      <c r="AM559" s="21" t="str">
        <f t="shared" si="564"/>
        <v/>
      </c>
      <c r="AN559" s="21" t="str">
        <f t="shared" si="564"/>
        <v/>
      </c>
      <c r="AO559" s="21" t="str">
        <f t="shared" si="102"/>
        <v/>
      </c>
    </row>
    <row r="560" ht="16.5" customHeight="1">
      <c r="J560" s="18"/>
      <c r="K560" s="19"/>
      <c r="L560" s="20"/>
      <c r="M560" s="20"/>
      <c r="N560" s="20"/>
      <c r="O560" s="20"/>
      <c r="P560" s="20"/>
      <c r="Q560" s="20"/>
      <c r="R560" s="20"/>
      <c r="S560" s="20"/>
      <c r="T560" s="20"/>
      <c r="AE560" s="21" t="str">
        <f t="shared" si="100"/>
        <v/>
      </c>
      <c r="AF560" s="21" t="str">
        <f t="shared" ref="AF560:AN560" si="565">if(not(isblank(L560)),", "&amp;L560,"")</f>
        <v/>
      </c>
      <c r="AG560" s="21" t="str">
        <f t="shared" si="565"/>
        <v/>
      </c>
      <c r="AH560" s="21" t="str">
        <f t="shared" si="565"/>
        <v/>
      </c>
      <c r="AI560" s="21" t="str">
        <f t="shared" si="565"/>
        <v/>
      </c>
      <c r="AJ560" s="21" t="str">
        <f t="shared" si="565"/>
        <v/>
      </c>
      <c r="AK560" s="21" t="str">
        <f t="shared" si="565"/>
        <v/>
      </c>
      <c r="AL560" s="21" t="str">
        <f t="shared" si="565"/>
        <v/>
      </c>
      <c r="AM560" s="21" t="str">
        <f t="shared" si="565"/>
        <v/>
      </c>
      <c r="AN560" s="21" t="str">
        <f t="shared" si="565"/>
        <v/>
      </c>
      <c r="AO560" s="21" t="str">
        <f t="shared" si="102"/>
        <v/>
      </c>
    </row>
    <row r="561" ht="16.5" customHeight="1">
      <c r="J561" s="18"/>
      <c r="K561" s="19"/>
      <c r="L561" s="20"/>
      <c r="M561" s="20"/>
      <c r="N561" s="20"/>
      <c r="O561" s="20"/>
      <c r="P561" s="20"/>
      <c r="Q561" s="20"/>
      <c r="R561" s="20"/>
      <c r="S561" s="20"/>
      <c r="T561" s="20"/>
      <c r="AE561" s="21" t="str">
        <f t="shared" si="100"/>
        <v/>
      </c>
      <c r="AF561" s="21" t="str">
        <f t="shared" ref="AF561:AN561" si="566">if(not(isblank(L561)),", "&amp;L561,"")</f>
        <v/>
      </c>
      <c r="AG561" s="21" t="str">
        <f t="shared" si="566"/>
        <v/>
      </c>
      <c r="AH561" s="21" t="str">
        <f t="shared" si="566"/>
        <v/>
      </c>
      <c r="AI561" s="21" t="str">
        <f t="shared" si="566"/>
        <v/>
      </c>
      <c r="AJ561" s="21" t="str">
        <f t="shared" si="566"/>
        <v/>
      </c>
      <c r="AK561" s="21" t="str">
        <f t="shared" si="566"/>
        <v/>
      </c>
      <c r="AL561" s="21" t="str">
        <f t="shared" si="566"/>
        <v/>
      </c>
      <c r="AM561" s="21" t="str">
        <f t="shared" si="566"/>
        <v/>
      </c>
      <c r="AN561" s="21" t="str">
        <f t="shared" si="566"/>
        <v/>
      </c>
      <c r="AO561" s="21" t="str">
        <f t="shared" si="102"/>
        <v/>
      </c>
    </row>
    <row r="562" ht="16.5" customHeight="1">
      <c r="J562" s="18"/>
      <c r="K562" s="19"/>
      <c r="L562" s="20"/>
      <c r="M562" s="20"/>
      <c r="N562" s="20"/>
      <c r="O562" s="20"/>
      <c r="P562" s="20"/>
      <c r="Q562" s="20"/>
      <c r="R562" s="20"/>
      <c r="S562" s="20"/>
      <c r="T562" s="20"/>
      <c r="AE562" s="21" t="str">
        <f t="shared" si="100"/>
        <v/>
      </c>
      <c r="AF562" s="21" t="str">
        <f t="shared" ref="AF562:AN562" si="567">if(not(isblank(L562)),", "&amp;L562,"")</f>
        <v/>
      </c>
      <c r="AG562" s="21" t="str">
        <f t="shared" si="567"/>
        <v/>
      </c>
      <c r="AH562" s="21" t="str">
        <f t="shared" si="567"/>
        <v/>
      </c>
      <c r="AI562" s="21" t="str">
        <f t="shared" si="567"/>
        <v/>
      </c>
      <c r="AJ562" s="21" t="str">
        <f t="shared" si="567"/>
        <v/>
      </c>
      <c r="AK562" s="21" t="str">
        <f t="shared" si="567"/>
        <v/>
      </c>
      <c r="AL562" s="21" t="str">
        <f t="shared" si="567"/>
        <v/>
      </c>
      <c r="AM562" s="21" t="str">
        <f t="shared" si="567"/>
        <v/>
      </c>
      <c r="AN562" s="21" t="str">
        <f t="shared" si="567"/>
        <v/>
      </c>
      <c r="AO562" s="21" t="str">
        <f t="shared" si="102"/>
        <v/>
      </c>
    </row>
    <row r="563" ht="16.5" customHeight="1">
      <c r="J563" s="18"/>
      <c r="K563" s="19"/>
      <c r="L563" s="20"/>
      <c r="M563" s="20"/>
      <c r="N563" s="20"/>
      <c r="O563" s="20"/>
      <c r="P563" s="20"/>
      <c r="Q563" s="20"/>
      <c r="R563" s="20"/>
      <c r="S563" s="20"/>
      <c r="T563" s="20"/>
      <c r="AE563" s="21" t="str">
        <f t="shared" si="100"/>
        <v/>
      </c>
      <c r="AF563" s="21" t="str">
        <f t="shared" ref="AF563:AN563" si="568">if(not(isblank(L563)),", "&amp;L563,"")</f>
        <v/>
      </c>
      <c r="AG563" s="21" t="str">
        <f t="shared" si="568"/>
        <v/>
      </c>
      <c r="AH563" s="21" t="str">
        <f t="shared" si="568"/>
        <v/>
      </c>
      <c r="AI563" s="21" t="str">
        <f t="shared" si="568"/>
        <v/>
      </c>
      <c r="AJ563" s="21" t="str">
        <f t="shared" si="568"/>
        <v/>
      </c>
      <c r="AK563" s="21" t="str">
        <f t="shared" si="568"/>
        <v/>
      </c>
      <c r="AL563" s="21" t="str">
        <f t="shared" si="568"/>
        <v/>
      </c>
      <c r="AM563" s="21" t="str">
        <f t="shared" si="568"/>
        <v/>
      </c>
      <c r="AN563" s="21" t="str">
        <f t="shared" si="568"/>
        <v/>
      </c>
      <c r="AO563" s="21" t="str">
        <f t="shared" si="102"/>
        <v/>
      </c>
    </row>
    <row r="564" ht="16.5" customHeight="1">
      <c r="J564" s="18"/>
      <c r="K564" s="19"/>
      <c r="L564" s="20"/>
      <c r="M564" s="20"/>
      <c r="N564" s="20"/>
      <c r="O564" s="20"/>
      <c r="P564" s="20"/>
      <c r="Q564" s="20"/>
      <c r="R564" s="20"/>
      <c r="S564" s="20"/>
      <c r="T564" s="20"/>
      <c r="AE564" s="21" t="str">
        <f t="shared" si="100"/>
        <v/>
      </c>
      <c r="AF564" s="21" t="str">
        <f t="shared" ref="AF564:AN564" si="569">if(not(isblank(L564)),", "&amp;L564,"")</f>
        <v/>
      </c>
      <c r="AG564" s="21" t="str">
        <f t="shared" si="569"/>
        <v/>
      </c>
      <c r="AH564" s="21" t="str">
        <f t="shared" si="569"/>
        <v/>
      </c>
      <c r="AI564" s="21" t="str">
        <f t="shared" si="569"/>
        <v/>
      </c>
      <c r="AJ564" s="21" t="str">
        <f t="shared" si="569"/>
        <v/>
      </c>
      <c r="AK564" s="21" t="str">
        <f t="shared" si="569"/>
        <v/>
      </c>
      <c r="AL564" s="21" t="str">
        <f t="shared" si="569"/>
        <v/>
      </c>
      <c r="AM564" s="21" t="str">
        <f t="shared" si="569"/>
        <v/>
      </c>
      <c r="AN564" s="21" t="str">
        <f t="shared" si="569"/>
        <v/>
      </c>
      <c r="AO564" s="21" t="str">
        <f t="shared" si="102"/>
        <v/>
      </c>
    </row>
    <row r="565" ht="16.5" customHeight="1">
      <c r="J565" s="18"/>
      <c r="K565" s="19"/>
      <c r="L565" s="20"/>
      <c r="M565" s="20"/>
      <c r="N565" s="20"/>
      <c r="O565" s="20"/>
      <c r="P565" s="20"/>
      <c r="Q565" s="20"/>
      <c r="R565" s="20"/>
      <c r="S565" s="20"/>
      <c r="T565" s="20"/>
      <c r="AE565" s="21" t="str">
        <f t="shared" si="100"/>
        <v/>
      </c>
      <c r="AF565" s="21" t="str">
        <f t="shared" ref="AF565:AN565" si="570">if(not(isblank(L565)),", "&amp;L565,"")</f>
        <v/>
      </c>
      <c r="AG565" s="21" t="str">
        <f t="shared" si="570"/>
        <v/>
      </c>
      <c r="AH565" s="21" t="str">
        <f t="shared" si="570"/>
        <v/>
      </c>
      <c r="AI565" s="21" t="str">
        <f t="shared" si="570"/>
        <v/>
      </c>
      <c r="AJ565" s="21" t="str">
        <f t="shared" si="570"/>
        <v/>
      </c>
      <c r="AK565" s="21" t="str">
        <f t="shared" si="570"/>
        <v/>
      </c>
      <c r="AL565" s="21" t="str">
        <f t="shared" si="570"/>
        <v/>
      </c>
      <c r="AM565" s="21" t="str">
        <f t="shared" si="570"/>
        <v/>
      </c>
      <c r="AN565" s="21" t="str">
        <f t="shared" si="570"/>
        <v/>
      </c>
      <c r="AO565" s="21" t="str">
        <f t="shared" si="102"/>
        <v/>
      </c>
    </row>
    <row r="566" ht="16.5" customHeight="1">
      <c r="J566" s="18"/>
      <c r="K566" s="19"/>
      <c r="L566" s="20"/>
      <c r="M566" s="20"/>
      <c r="N566" s="20"/>
      <c r="O566" s="20"/>
      <c r="P566" s="20"/>
      <c r="Q566" s="20"/>
      <c r="R566" s="20"/>
      <c r="S566" s="20"/>
      <c r="T566" s="20"/>
      <c r="AE566" s="21" t="str">
        <f t="shared" si="100"/>
        <v/>
      </c>
      <c r="AF566" s="21" t="str">
        <f t="shared" ref="AF566:AN566" si="571">if(not(isblank(L566)),", "&amp;L566,"")</f>
        <v/>
      </c>
      <c r="AG566" s="21" t="str">
        <f t="shared" si="571"/>
        <v/>
      </c>
      <c r="AH566" s="21" t="str">
        <f t="shared" si="571"/>
        <v/>
      </c>
      <c r="AI566" s="21" t="str">
        <f t="shared" si="571"/>
        <v/>
      </c>
      <c r="AJ566" s="21" t="str">
        <f t="shared" si="571"/>
        <v/>
      </c>
      <c r="AK566" s="21" t="str">
        <f t="shared" si="571"/>
        <v/>
      </c>
      <c r="AL566" s="21" t="str">
        <f t="shared" si="571"/>
        <v/>
      </c>
      <c r="AM566" s="21" t="str">
        <f t="shared" si="571"/>
        <v/>
      </c>
      <c r="AN566" s="21" t="str">
        <f t="shared" si="571"/>
        <v/>
      </c>
      <c r="AO566" s="21" t="str">
        <f t="shared" si="102"/>
        <v/>
      </c>
    </row>
    <row r="567" ht="16.5" customHeight="1">
      <c r="J567" s="18"/>
      <c r="K567" s="19"/>
      <c r="L567" s="20"/>
      <c r="M567" s="20"/>
      <c r="N567" s="20"/>
      <c r="O567" s="20"/>
      <c r="P567" s="20"/>
      <c r="Q567" s="20"/>
      <c r="R567" s="20"/>
      <c r="S567" s="20"/>
      <c r="T567" s="20"/>
      <c r="AE567" s="21" t="str">
        <f t="shared" si="100"/>
        <v/>
      </c>
      <c r="AF567" s="21" t="str">
        <f t="shared" ref="AF567:AN567" si="572">if(not(isblank(L567)),", "&amp;L567,"")</f>
        <v/>
      </c>
      <c r="AG567" s="21" t="str">
        <f t="shared" si="572"/>
        <v/>
      </c>
      <c r="AH567" s="21" t="str">
        <f t="shared" si="572"/>
        <v/>
      </c>
      <c r="AI567" s="21" t="str">
        <f t="shared" si="572"/>
        <v/>
      </c>
      <c r="AJ567" s="21" t="str">
        <f t="shared" si="572"/>
        <v/>
      </c>
      <c r="AK567" s="21" t="str">
        <f t="shared" si="572"/>
        <v/>
      </c>
      <c r="AL567" s="21" t="str">
        <f t="shared" si="572"/>
        <v/>
      </c>
      <c r="AM567" s="21" t="str">
        <f t="shared" si="572"/>
        <v/>
      </c>
      <c r="AN567" s="21" t="str">
        <f t="shared" si="572"/>
        <v/>
      </c>
      <c r="AO567" s="21" t="str">
        <f t="shared" si="102"/>
        <v/>
      </c>
    </row>
    <row r="568" ht="16.5" customHeight="1">
      <c r="J568" s="18"/>
      <c r="K568" s="19"/>
      <c r="L568" s="20"/>
      <c r="M568" s="20"/>
      <c r="N568" s="20"/>
      <c r="O568" s="20"/>
      <c r="P568" s="20"/>
      <c r="Q568" s="20"/>
      <c r="R568" s="20"/>
      <c r="S568" s="20"/>
      <c r="T568" s="20"/>
      <c r="AE568" s="21" t="str">
        <f t="shared" si="100"/>
        <v/>
      </c>
      <c r="AF568" s="21" t="str">
        <f t="shared" ref="AF568:AN568" si="573">if(not(isblank(L568)),", "&amp;L568,"")</f>
        <v/>
      </c>
      <c r="AG568" s="21" t="str">
        <f t="shared" si="573"/>
        <v/>
      </c>
      <c r="AH568" s="21" t="str">
        <f t="shared" si="573"/>
        <v/>
      </c>
      <c r="AI568" s="21" t="str">
        <f t="shared" si="573"/>
        <v/>
      </c>
      <c r="AJ568" s="21" t="str">
        <f t="shared" si="573"/>
        <v/>
      </c>
      <c r="AK568" s="21" t="str">
        <f t="shared" si="573"/>
        <v/>
      </c>
      <c r="AL568" s="21" t="str">
        <f t="shared" si="573"/>
        <v/>
      </c>
      <c r="AM568" s="21" t="str">
        <f t="shared" si="573"/>
        <v/>
      </c>
      <c r="AN568" s="21" t="str">
        <f t="shared" si="573"/>
        <v/>
      </c>
      <c r="AO568" s="21" t="str">
        <f t="shared" si="102"/>
        <v/>
      </c>
    </row>
    <row r="569" ht="16.5" customHeight="1">
      <c r="J569" s="18"/>
      <c r="K569" s="19"/>
      <c r="L569" s="20"/>
      <c r="M569" s="20"/>
      <c r="N569" s="20"/>
      <c r="O569" s="20"/>
      <c r="P569" s="20"/>
      <c r="Q569" s="20"/>
      <c r="R569" s="20"/>
      <c r="S569" s="20"/>
      <c r="T569" s="20"/>
      <c r="AE569" s="21" t="str">
        <f t="shared" si="100"/>
        <v/>
      </c>
      <c r="AF569" s="21" t="str">
        <f t="shared" ref="AF569:AN569" si="574">if(not(isblank(L569)),", "&amp;L569,"")</f>
        <v/>
      </c>
      <c r="AG569" s="21" t="str">
        <f t="shared" si="574"/>
        <v/>
      </c>
      <c r="AH569" s="21" t="str">
        <f t="shared" si="574"/>
        <v/>
      </c>
      <c r="AI569" s="21" t="str">
        <f t="shared" si="574"/>
        <v/>
      </c>
      <c r="AJ569" s="21" t="str">
        <f t="shared" si="574"/>
        <v/>
      </c>
      <c r="AK569" s="21" t="str">
        <f t="shared" si="574"/>
        <v/>
      </c>
      <c r="AL569" s="21" t="str">
        <f t="shared" si="574"/>
        <v/>
      </c>
      <c r="AM569" s="21" t="str">
        <f t="shared" si="574"/>
        <v/>
      </c>
      <c r="AN569" s="21" t="str">
        <f t="shared" si="574"/>
        <v/>
      </c>
      <c r="AO569" s="21" t="str">
        <f t="shared" si="102"/>
        <v/>
      </c>
    </row>
    <row r="570" ht="16.5" customHeight="1">
      <c r="J570" s="18"/>
      <c r="K570" s="19"/>
      <c r="L570" s="20"/>
      <c r="M570" s="20"/>
      <c r="N570" s="20"/>
      <c r="O570" s="20"/>
      <c r="P570" s="20"/>
      <c r="Q570" s="20"/>
      <c r="R570" s="20"/>
      <c r="S570" s="20"/>
      <c r="T570" s="20"/>
      <c r="AE570" s="21" t="str">
        <f t="shared" si="100"/>
        <v/>
      </c>
      <c r="AF570" s="21" t="str">
        <f t="shared" ref="AF570:AN570" si="575">if(not(isblank(L570)),", "&amp;L570,"")</f>
        <v/>
      </c>
      <c r="AG570" s="21" t="str">
        <f t="shared" si="575"/>
        <v/>
      </c>
      <c r="AH570" s="21" t="str">
        <f t="shared" si="575"/>
        <v/>
      </c>
      <c r="AI570" s="21" t="str">
        <f t="shared" si="575"/>
        <v/>
      </c>
      <c r="AJ570" s="21" t="str">
        <f t="shared" si="575"/>
        <v/>
      </c>
      <c r="AK570" s="21" t="str">
        <f t="shared" si="575"/>
        <v/>
      </c>
      <c r="AL570" s="21" t="str">
        <f t="shared" si="575"/>
        <v/>
      </c>
      <c r="AM570" s="21" t="str">
        <f t="shared" si="575"/>
        <v/>
      </c>
      <c r="AN570" s="21" t="str">
        <f t="shared" si="575"/>
        <v/>
      </c>
      <c r="AO570" s="21" t="str">
        <f t="shared" si="102"/>
        <v/>
      </c>
    </row>
    <row r="571" ht="16.5" customHeight="1">
      <c r="J571" s="18"/>
      <c r="K571" s="19"/>
      <c r="L571" s="20"/>
      <c r="M571" s="20"/>
      <c r="N571" s="20"/>
      <c r="O571" s="20"/>
      <c r="P571" s="20"/>
      <c r="Q571" s="20"/>
      <c r="R571" s="20"/>
      <c r="S571" s="20"/>
      <c r="T571" s="20"/>
      <c r="AE571" s="21" t="str">
        <f t="shared" si="100"/>
        <v/>
      </c>
      <c r="AF571" s="21" t="str">
        <f t="shared" ref="AF571:AN571" si="576">if(not(isblank(L571)),", "&amp;L571,"")</f>
        <v/>
      </c>
      <c r="AG571" s="21" t="str">
        <f t="shared" si="576"/>
        <v/>
      </c>
      <c r="AH571" s="21" t="str">
        <f t="shared" si="576"/>
        <v/>
      </c>
      <c r="AI571" s="21" t="str">
        <f t="shared" si="576"/>
        <v/>
      </c>
      <c r="AJ571" s="21" t="str">
        <f t="shared" si="576"/>
        <v/>
      </c>
      <c r="AK571" s="21" t="str">
        <f t="shared" si="576"/>
        <v/>
      </c>
      <c r="AL571" s="21" t="str">
        <f t="shared" si="576"/>
        <v/>
      </c>
      <c r="AM571" s="21" t="str">
        <f t="shared" si="576"/>
        <v/>
      </c>
      <c r="AN571" s="21" t="str">
        <f t="shared" si="576"/>
        <v/>
      </c>
      <c r="AO571" s="21" t="str">
        <f t="shared" si="102"/>
        <v/>
      </c>
    </row>
    <row r="572" ht="16.5" customHeight="1">
      <c r="J572" s="18"/>
      <c r="K572" s="19"/>
      <c r="L572" s="20"/>
      <c r="M572" s="20"/>
      <c r="N572" s="20"/>
      <c r="O572" s="20"/>
      <c r="P572" s="20"/>
      <c r="Q572" s="20"/>
      <c r="R572" s="20"/>
      <c r="S572" s="20"/>
      <c r="T572" s="20"/>
      <c r="AE572" s="21" t="str">
        <f t="shared" si="100"/>
        <v/>
      </c>
      <c r="AF572" s="21" t="str">
        <f t="shared" ref="AF572:AN572" si="577">if(not(isblank(L572)),", "&amp;L572,"")</f>
        <v/>
      </c>
      <c r="AG572" s="21" t="str">
        <f t="shared" si="577"/>
        <v/>
      </c>
      <c r="AH572" s="21" t="str">
        <f t="shared" si="577"/>
        <v/>
      </c>
      <c r="AI572" s="21" t="str">
        <f t="shared" si="577"/>
        <v/>
      </c>
      <c r="AJ572" s="21" t="str">
        <f t="shared" si="577"/>
        <v/>
      </c>
      <c r="AK572" s="21" t="str">
        <f t="shared" si="577"/>
        <v/>
      </c>
      <c r="AL572" s="21" t="str">
        <f t="shared" si="577"/>
        <v/>
      </c>
      <c r="AM572" s="21" t="str">
        <f t="shared" si="577"/>
        <v/>
      </c>
      <c r="AN572" s="21" t="str">
        <f t="shared" si="577"/>
        <v/>
      </c>
      <c r="AO572" s="21" t="str">
        <f t="shared" si="102"/>
        <v/>
      </c>
    </row>
    <row r="573" ht="16.5" customHeight="1">
      <c r="J573" s="18"/>
      <c r="K573" s="19"/>
      <c r="L573" s="20"/>
      <c r="M573" s="20"/>
      <c r="N573" s="20"/>
      <c r="O573" s="20"/>
      <c r="P573" s="20"/>
      <c r="Q573" s="20"/>
      <c r="R573" s="20"/>
      <c r="S573" s="20"/>
      <c r="T573" s="20"/>
      <c r="AE573" s="21" t="str">
        <f t="shared" si="100"/>
        <v/>
      </c>
      <c r="AF573" s="21" t="str">
        <f t="shared" ref="AF573:AN573" si="578">if(not(isblank(L573)),", "&amp;L573,"")</f>
        <v/>
      </c>
      <c r="AG573" s="21" t="str">
        <f t="shared" si="578"/>
        <v/>
      </c>
      <c r="AH573" s="21" t="str">
        <f t="shared" si="578"/>
        <v/>
      </c>
      <c r="AI573" s="21" t="str">
        <f t="shared" si="578"/>
        <v/>
      </c>
      <c r="AJ573" s="21" t="str">
        <f t="shared" si="578"/>
        <v/>
      </c>
      <c r="AK573" s="21" t="str">
        <f t="shared" si="578"/>
        <v/>
      </c>
      <c r="AL573" s="21" t="str">
        <f t="shared" si="578"/>
        <v/>
      </c>
      <c r="AM573" s="21" t="str">
        <f t="shared" si="578"/>
        <v/>
      </c>
      <c r="AN573" s="21" t="str">
        <f t="shared" si="578"/>
        <v/>
      </c>
      <c r="AO573" s="21" t="str">
        <f t="shared" si="102"/>
        <v/>
      </c>
    </row>
    <row r="574" ht="16.5" customHeight="1">
      <c r="J574" s="18"/>
      <c r="K574" s="19"/>
      <c r="L574" s="20"/>
      <c r="M574" s="20"/>
      <c r="N574" s="20"/>
      <c r="O574" s="20"/>
      <c r="P574" s="20"/>
      <c r="Q574" s="20"/>
      <c r="R574" s="20"/>
      <c r="S574" s="20"/>
      <c r="T574" s="20"/>
      <c r="AE574" s="21" t="str">
        <f t="shared" si="100"/>
        <v/>
      </c>
      <c r="AF574" s="21" t="str">
        <f t="shared" ref="AF574:AN574" si="579">if(not(isblank(L574)),", "&amp;L574,"")</f>
        <v/>
      </c>
      <c r="AG574" s="21" t="str">
        <f t="shared" si="579"/>
        <v/>
      </c>
      <c r="AH574" s="21" t="str">
        <f t="shared" si="579"/>
        <v/>
      </c>
      <c r="AI574" s="21" t="str">
        <f t="shared" si="579"/>
        <v/>
      </c>
      <c r="AJ574" s="21" t="str">
        <f t="shared" si="579"/>
        <v/>
      </c>
      <c r="AK574" s="21" t="str">
        <f t="shared" si="579"/>
        <v/>
      </c>
      <c r="AL574" s="21" t="str">
        <f t="shared" si="579"/>
        <v/>
      </c>
      <c r="AM574" s="21" t="str">
        <f t="shared" si="579"/>
        <v/>
      </c>
      <c r="AN574" s="21" t="str">
        <f t="shared" si="579"/>
        <v/>
      </c>
      <c r="AO574" s="21" t="str">
        <f t="shared" si="102"/>
        <v/>
      </c>
    </row>
    <row r="575" ht="16.5" customHeight="1">
      <c r="J575" s="18"/>
      <c r="K575" s="19"/>
      <c r="L575" s="20"/>
      <c r="M575" s="20"/>
      <c r="N575" s="20"/>
      <c r="O575" s="20"/>
      <c r="P575" s="20"/>
      <c r="Q575" s="20"/>
      <c r="R575" s="20"/>
      <c r="S575" s="20"/>
      <c r="T575" s="20"/>
      <c r="AE575" s="21" t="str">
        <f t="shared" si="100"/>
        <v/>
      </c>
      <c r="AF575" s="21" t="str">
        <f t="shared" ref="AF575:AN575" si="580">if(not(isblank(L575)),", "&amp;L575,"")</f>
        <v/>
      </c>
      <c r="AG575" s="21" t="str">
        <f t="shared" si="580"/>
        <v/>
      </c>
      <c r="AH575" s="21" t="str">
        <f t="shared" si="580"/>
        <v/>
      </c>
      <c r="AI575" s="21" t="str">
        <f t="shared" si="580"/>
        <v/>
      </c>
      <c r="AJ575" s="21" t="str">
        <f t="shared" si="580"/>
        <v/>
      </c>
      <c r="AK575" s="21" t="str">
        <f t="shared" si="580"/>
        <v/>
      </c>
      <c r="AL575" s="21" t="str">
        <f t="shared" si="580"/>
        <v/>
      </c>
      <c r="AM575" s="21" t="str">
        <f t="shared" si="580"/>
        <v/>
      </c>
      <c r="AN575" s="21" t="str">
        <f t="shared" si="580"/>
        <v/>
      </c>
      <c r="AO575" s="21" t="str">
        <f t="shared" si="102"/>
        <v/>
      </c>
    </row>
    <row r="576" ht="16.5" customHeight="1">
      <c r="J576" s="18"/>
      <c r="K576" s="19"/>
      <c r="L576" s="20"/>
      <c r="M576" s="20"/>
      <c r="N576" s="20"/>
      <c r="O576" s="20"/>
      <c r="P576" s="20"/>
      <c r="Q576" s="20"/>
      <c r="R576" s="20"/>
      <c r="S576" s="20"/>
      <c r="T576" s="20"/>
      <c r="AE576" s="21" t="str">
        <f t="shared" si="100"/>
        <v/>
      </c>
      <c r="AF576" s="21" t="str">
        <f t="shared" ref="AF576:AN576" si="581">if(not(isblank(L576)),", "&amp;L576,"")</f>
        <v/>
      </c>
      <c r="AG576" s="21" t="str">
        <f t="shared" si="581"/>
        <v/>
      </c>
      <c r="AH576" s="21" t="str">
        <f t="shared" si="581"/>
        <v/>
      </c>
      <c r="AI576" s="21" t="str">
        <f t="shared" si="581"/>
        <v/>
      </c>
      <c r="AJ576" s="21" t="str">
        <f t="shared" si="581"/>
        <v/>
      </c>
      <c r="AK576" s="21" t="str">
        <f t="shared" si="581"/>
        <v/>
      </c>
      <c r="AL576" s="21" t="str">
        <f t="shared" si="581"/>
        <v/>
      </c>
      <c r="AM576" s="21" t="str">
        <f t="shared" si="581"/>
        <v/>
      </c>
      <c r="AN576" s="21" t="str">
        <f t="shared" si="581"/>
        <v/>
      </c>
      <c r="AO576" s="21" t="str">
        <f t="shared" si="102"/>
        <v/>
      </c>
    </row>
    <row r="577" ht="16.5" customHeight="1">
      <c r="J577" s="18"/>
      <c r="K577" s="19"/>
      <c r="L577" s="20"/>
      <c r="M577" s="20"/>
      <c r="N577" s="20"/>
      <c r="O577" s="20"/>
      <c r="P577" s="20"/>
      <c r="Q577" s="20"/>
      <c r="R577" s="20"/>
      <c r="S577" s="20"/>
      <c r="T577" s="20"/>
      <c r="AE577" s="21" t="str">
        <f t="shared" si="100"/>
        <v/>
      </c>
      <c r="AF577" s="21" t="str">
        <f t="shared" ref="AF577:AN577" si="582">if(not(isblank(L577)),", "&amp;L577,"")</f>
        <v/>
      </c>
      <c r="AG577" s="21" t="str">
        <f t="shared" si="582"/>
        <v/>
      </c>
      <c r="AH577" s="21" t="str">
        <f t="shared" si="582"/>
        <v/>
      </c>
      <c r="AI577" s="21" t="str">
        <f t="shared" si="582"/>
        <v/>
      </c>
      <c r="AJ577" s="21" t="str">
        <f t="shared" si="582"/>
        <v/>
      </c>
      <c r="AK577" s="21" t="str">
        <f t="shared" si="582"/>
        <v/>
      </c>
      <c r="AL577" s="21" t="str">
        <f t="shared" si="582"/>
        <v/>
      </c>
      <c r="AM577" s="21" t="str">
        <f t="shared" si="582"/>
        <v/>
      </c>
      <c r="AN577" s="21" t="str">
        <f t="shared" si="582"/>
        <v/>
      </c>
      <c r="AO577" s="21" t="str">
        <f t="shared" si="102"/>
        <v/>
      </c>
    </row>
    <row r="578" ht="16.5" customHeight="1">
      <c r="J578" s="18"/>
      <c r="K578" s="19"/>
      <c r="L578" s="20"/>
      <c r="M578" s="20"/>
      <c r="N578" s="20"/>
      <c r="O578" s="20"/>
      <c r="P578" s="20"/>
      <c r="Q578" s="20"/>
      <c r="R578" s="20"/>
      <c r="S578" s="20"/>
      <c r="T578" s="20"/>
      <c r="AE578" s="21" t="str">
        <f t="shared" si="100"/>
        <v/>
      </c>
      <c r="AF578" s="21" t="str">
        <f t="shared" ref="AF578:AN578" si="583">if(not(isblank(L578)),", "&amp;L578,"")</f>
        <v/>
      </c>
      <c r="AG578" s="21" t="str">
        <f t="shared" si="583"/>
        <v/>
      </c>
      <c r="AH578" s="21" t="str">
        <f t="shared" si="583"/>
        <v/>
      </c>
      <c r="AI578" s="21" t="str">
        <f t="shared" si="583"/>
        <v/>
      </c>
      <c r="AJ578" s="21" t="str">
        <f t="shared" si="583"/>
        <v/>
      </c>
      <c r="AK578" s="21" t="str">
        <f t="shared" si="583"/>
        <v/>
      </c>
      <c r="AL578" s="21" t="str">
        <f t="shared" si="583"/>
        <v/>
      </c>
      <c r="AM578" s="21" t="str">
        <f t="shared" si="583"/>
        <v/>
      </c>
      <c r="AN578" s="21" t="str">
        <f t="shared" si="583"/>
        <v/>
      </c>
      <c r="AO578" s="21" t="str">
        <f t="shared" si="102"/>
        <v/>
      </c>
    </row>
    <row r="579" ht="16.5" customHeight="1">
      <c r="J579" s="18"/>
      <c r="K579" s="19"/>
      <c r="L579" s="20"/>
      <c r="M579" s="20"/>
      <c r="N579" s="20"/>
      <c r="O579" s="20"/>
      <c r="P579" s="20"/>
      <c r="Q579" s="20"/>
      <c r="R579" s="20"/>
      <c r="S579" s="20"/>
      <c r="T579" s="20"/>
      <c r="AE579" s="21" t="str">
        <f t="shared" si="100"/>
        <v/>
      </c>
      <c r="AF579" s="21" t="str">
        <f t="shared" ref="AF579:AN579" si="584">if(not(isblank(L579)),", "&amp;L579,"")</f>
        <v/>
      </c>
      <c r="AG579" s="21" t="str">
        <f t="shared" si="584"/>
        <v/>
      </c>
      <c r="AH579" s="21" t="str">
        <f t="shared" si="584"/>
        <v/>
      </c>
      <c r="AI579" s="21" t="str">
        <f t="shared" si="584"/>
        <v/>
      </c>
      <c r="AJ579" s="21" t="str">
        <f t="shared" si="584"/>
        <v/>
      </c>
      <c r="AK579" s="21" t="str">
        <f t="shared" si="584"/>
        <v/>
      </c>
      <c r="AL579" s="21" t="str">
        <f t="shared" si="584"/>
        <v/>
      </c>
      <c r="AM579" s="21" t="str">
        <f t="shared" si="584"/>
        <v/>
      </c>
      <c r="AN579" s="21" t="str">
        <f t="shared" si="584"/>
        <v/>
      </c>
      <c r="AO579" s="21" t="str">
        <f t="shared" si="102"/>
        <v/>
      </c>
    </row>
    <row r="580" ht="16.5" customHeight="1">
      <c r="J580" s="18"/>
      <c r="K580" s="19"/>
      <c r="L580" s="20"/>
      <c r="M580" s="20"/>
      <c r="N580" s="20"/>
      <c r="O580" s="20"/>
      <c r="P580" s="20"/>
      <c r="Q580" s="20"/>
      <c r="R580" s="20"/>
      <c r="S580" s="20"/>
      <c r="T580" s="20"/>
      <c r="AE580" s="21" t="str">
        <f t="shared" si="100"/>
        <v/>
      </c>
      <c r="AF580" s="21" t="str">
        <f t="shared" ref="AF580:AN580" si="585">if(not(isblank(L580)),", "&amp;L580,"")</f>
        <v/>
      </c>
      <c r="AG580" s="21" t="str">
        <f t="shared" si="585"/>
        <v/>
      </c>
      <c r="AH580" s="21" t="str">
        <f t="shared" si="585"/>
        <v/>
      </c>
      <c r="AI580" s="21" t="str">
        <f t="shared" si="585"/>
        <v/>
      </c>
      <c r="AJ580" s="21" t="str">
        <f t="shared" si="585"/>
        <v/>
      </c>
      <c r="AK580" s="21" t="str">
        <f t="shared" si="585"/>
        <v/>
      </c>
      <c r="AL580" s="21" t="str">
        <f t="shared" si="585"/>
        <v/>
      </c>
      <c r="AM580" s="21" t="str">
        <f t="shared" si="585"/>
        <v/>
      </c>
      <c r="AN580" s="21" t="str">
        <f t="shared" si="585"/>
        <v/>
      </c>
      <c r="AO580" s="21" t="str">
        <f t="shared" si="102"/>
        <v/>
      </c>
    </row>
    <row r="581" ht="16.5" customHeight="1">
      <c r="J581" s="18"/>
      <c r="K581" s="19"/>
      <c r="L581" s="20"/>
      <c r="M581" s="20"/>
      <c r="N581" s="20"/>
      <c r="O581" s="20"/>
      <c r="P581" s="20"/>
      <c r="Q581" s="20"/>
      <c r="R581" s="20"/>
      <c r="S581" s="20"/>
      <c r="T581" s="20"/>
      <c r="AE581" s="21" t="str">
        <f t="shared" si="100"/>
        <v/>
      </c>
      <c r="AF581" s="21" t="str">
        <f t="shared" ref="AF581:AN581" si="586">if(not(isblank(L581)),", "&amp;L581,"")</f>
        <v/>
      </c>
      <c r="AG581" s="21" t="str">
        <f t="shared" si="586"/>
        <v/>
      </c>
      <c r="AH581" s="21" t="str">
        <f t="shared" si="586"/>
        <v/>
      </c>
      <c r="AI581" s="21" t="str">
        <f t="shared" si="586"/>
        <v/>
      </c>
      <c r="AJ581" s="21" t="str">
        <f t="shared" si="586"/>
        <v/>
      </c>
      <c r="AK581" s="21" t="str">
        <f t="shared" si="586"/>
        <v/>
      </c>
      <c r="AL581" s="21" t="str">
        <f t="shared" si="586"/>
        <v/>
      </c>
      <c r="AM581" s="21" t="str">
        <f t="shared" si="586"/>
        <v/>
      </c>
      <c r="AN581" s="21" t="str">
        <f t="shared" si="586"/>
        <v/>
      </c>
      <c r="AO581" s="21" t="str">
        <f t="shared" si="102"/>
        <v/>
      </c>
    </row>
    <row r="582" ht="16.5" customHeight="1">
      <c r="J582" s="18"/>
      <c r="K582" s="19"/>
      <c r="L582" s="20"/>
      <c r="M582" s="20"/>
      <c r="N582" s="20"/>
      <c r="O582" s="20"/>
      <c r="P582" s="20"/>
      <c r="Q582" s="20"/>
      <c r="R582" s="20"/>
      <c r="S582" s="20"/>
      <c r="T582" s="20"/>
      <c r="AE582" s="21" t="str">
        <f t="shared" si="100"/>
        <v/>
      </c>
      <c r="AF582" s="21" t="str">
        <f t="shared" ref="AF582:AN582" si="587">if(not(isblank(L582)),", "&amp;L582,"")</f>
        <v/>
      </c>
      <c r="AG582" s="21" t="str">
        <f t="shared" si="587"/>
        <v/>
      </c>
      <c r="AH582" s="21" t="str">
        <f t="shared" si="587"/>
        <v/>
      </c>
      <c r="AI582" s="21" t="str">
        <f t="shared" si="587"/>
        <v/>
      </c>
      <c r="AJ582" s="21" t="str">
        <f t="shared" si="587"/>
        <v/>
      </c>
      <c r="AK582" s="21" t="str">
        <f t="shared" si="587"/>
        <v/>
      </c>
      <c r="AL582" s="21" t="str">
        <f t="shared" si="587"/>
        <v/>
      </c>
      <c r="AM582" s="21" t="str">
        <f t="shared" si="587"/>
        <v/>
      </c>
      <c r="AN582" s="21" t="str">
        <f t="shared" si="587"/>
        <v/>
      </c>
      <c r="AO582" s="21" t="str">
        <f t="shared" si="102"/>
        <v/>
      </c>
    </row>
    <row r="583" ht="16.5" customHeight="1">
      <c r="J583" s="18"/>
      <c r="K583" s="19"/>
      <c r="L583" s="20"/>
      <c r="M583" s="20"/>
      <c r="N583" s="20"/>
      <c r="O583" s="20"/>
      <c r="P583" s="20"/>
      <c r="Q583" s="20"/>
      <c r="R583" s="20"/>
      <c r="S583" s="20"/>
      <c r="T583" s="20"/>
      <c r="AE583" s="21" t="str">
        <f t="shared" si="100"/>
        <v/>
      </c>
      <c r="AF583" s="21" t="str">
        <f t="shared" ref="AF583:AN583" si="588">if(not(isblank(L583)),", "&amp;L583,"")</f>
        <v/>
      </c>
      <c r="AG583" s="21" t="str">
        <f t="shared" si="588"/>
        <v/>
      </c>
      <c r="AH583" s="21" t="str">
        <f t="shared" si="588"/>
        <v/>
      </c>
      <c r="AI583" s="21" t="str">
        <f t="shared" si="588"/>
        <v/>
      </c>
      <c r="AJ583" s="21" t="str">
        <f t="shared" si="588"/>
        <v/>
      </c>
      <c r="AK583" s="21" t="str">
        <f t="shared" si="588"/>
        <v/>
      </c>
      <c r="AL583" s="21" t="str">
        <f t="shared" si="588"/>
        <v/>
      </c>
      <c r="AM583" s="21" t="str">
        <f t="shared" si="588"/>
        <v/>
      </c>
      <c r="AN583" s="21" t="str">
        <f t="shared" si="588"/>
        <v/>
      </c>
      <c r="AO583" s="21" t="str">
        <f t="shared" si="102"/>
        <v/>
      </c>
    </row>
    <row r="584" ht="16.5" customHeight="1">
      <c r="J584" s="18"/>
      <c r="K584" s="19"/>
      <c r="L584" s="20"/>
      <c r="M584" s="20"/>
      <c r="N584" s="20"/>
      <c r="O584" s="20"/>
      <c r="P584" s="20"/>
      <c r="Q584" s="20"/>
      <c r="R584" s="20"/>
      <c r="S584" s="20"/>
      <c r="T584" s="20"/>
      <c r="AE584" s="21" t="str">
        <f t="shared" si="100"/>
        <v/>
      </c>
      <c r="AF584" s="21" t="str">
        <f t="shared" ref="AF584:AN584" si="589">if(not(isblank(L584)),", "&amp;L584,"")</f>
        <v/>
      </c>
      <c r="AG584" s="21" t="str">
        <f t="shared" si="589"/>
        <v/>
      </c>
      <c r="AH584" s="21" t="str">
        <f t="shared" si="589"/>
        <v/>
      </c>
      <c r="AI584" s="21" t="str">
        <f t="shared" si="589"/>
        <v/>
      </c>
      <c r="AJ584" s="21" t="str">
        <f t="shared" si="589"/>
        <v/>
      </c>
      <c r="AK584" s="21" t="str">
        <f t="shared" si="589"/>
        <v/>
      </c>
      <c r="AL584" s="21" t="str">
        <f t="shared" si="589"/>
        <v/>
      </c>
      <c r="AM584" s="21" t="str">
        <f t="shared" si="589"/>
        <v/>
      </c>
      <c r="AN584" s="21" t="str">
        <f t="shared" si="589"/>
        <v/>
      </c>
      <c r="AO584" s="21" t="str">
        <f t="shared" si="102"/>
        <v/>
      </c>
    </row>
    <row r="585" ht="16.5" customHeight="1">
      <c r="J585" s="18"/>
      <c r="K585" s="19"/>
      <c r="L585" s="20"/>
      <c r="M585" s="20"/>
      <c r="N585" s="20"/>
      <c r="O585" s="20"/>
      <c r="P585" s="20"/>
      <c r="Q585" s="20"/>
      <c r="R585" s="20"/>
      <c r="S585" s="20"/>
      <c r="T585" s="20"/>
      <c r="AE585" s="21" t="str">
        <f t="shared" si="100"/>
        <v/>
      </c>
      <c r="AF585" s="21" t="str">
        <f t="shared" ref="AF585:AN585" si="590">if(not(isblank(L585)),", "&amp;L585,"")</f>
        <v/>
      </c>
      <c r="AG585" s="21" t="str">
        <f t="shared" si="590"/>
        <v/>
      </c>
      <c r="AH585" s="21" t="str">
        <f t="shared" si="590"/>
        <v/>
      </c>
      <c r="AI585" s="21" t="str">
        <f t="shared" si="590"/>
        <v/>
      </c>
      <c r="AJ585" s="21" t="str">
        <f t="shared" si="590"/>
        <v/>
      </c>
      <c r="AK585" s="21" t="str">
        <f t="shared" si="590"/>
        <v/>
      </c>
      <c r="AL585" s="21" t="str">
        <f t="shared" si="590"/>
        <v/>
      </c>
      <c r="AM585" s="21" t="str">
        <f t="shared" si="590"/>
        <v/>
      </c>
      <c r="AN585" s="21" t="str">
        <f t="shared" si="590"/>
        <v/>
      </c>
      <c r="AO585" s="21" t="str">
        <f t="shared" si="102"/>
        <v/>
      </c>
    </row>
    <row r="586" ht="16.5" customHeight="1">
      <c r="J586" s="18"/>
      <c r="K586" s="19"/>
      <c r="L586" s="20"/>
      <c r="M586" s="20"/>
      <c r="N586" s="20"/>
      <c r="O586" s="20"/>
      <c r="P586" s="20"/>
      <c r="Q586" s="20"/>
      <c r="R586" s="20"/>
      <c r="S586" s="20"/>
      <c r="T586" s="20"/>
      <c r="AE586" s="21" t="str">
        <f t="shared" si="100"/>
        <v/>
      </c>
      <c r="AF586" s="21" t="str">
        <f t="shared" ref="AF586:AN586" si="591">if(not(isblank(L586)),", "&amp;L586,"")</f>
        <v/>
      </c>
      <c r="AG586" s="21" t="str">
        <f t="shared" si="591"/>
        <v/>
      </c>
      <c r="AH586" s="21" t="str">
        <f t="shared" si="591"/>
        <v/>
      </c>
      <c r="AI586" s="21" t="str">
        <f t="shared" si="591"/>
        <v/>
      </c>
      <c r="AJ586" s="21" t="str">
        <f t="shared" si="591"/>
        <v/>
      </c>
      <c r="AK586" s="21" t="str">
        <f t="shared" si="591"/>
        <v/>
      </c>
      <c r="AL586" s="21" t="str">
        <f t="shared" si="591"/>
        <v/>
      </c>
      <c r="AM586" s="21" t="str">
        <f t="shared" si="591"/>
        <v/>
      </c>
      <c r="AN586" s="21" t="str">
        <f t="shared" si="591"/>
        <v/>
      </c>
      <c r="AO586" s="21" t="str">
        <f t="shared" si="102"/>
        <v/>
      </c>
    </row>
    <row r="587" ht="16.5" customHeight="1">
      <c r="J587" s="18"/>
      <c r="K587" s="19"/>
      <c r="L587" s="20"/>
      <c r="M587" s="20"/>
      <c r="N587" s="20"/>
      <c r="O587" s="20"/>
      <c r="P587" s="20"/>
      <c r="Q587" s="20"/>
      <c r="R587" s="20"/>
      <c r="S587" s="20"/>
      <c r="T587" s="20"/>
      <c r="AE587" s="21" t="str">
        <f t="shared" si="100"/>
        <v/>
      </c>
      <c r="AF587" s="21" t="str">
        <f t="shared" ref="AF587:AN587" si="592">if(not(isblank(L587)),", "&amp;L587,"")</f>
        <v/>
      </c>
      <c r="AG587" s="21" t="str">
        <f t="shared" si="592"/>
        <v/>
      </c>
      <c r="AH587" s="21" t="str">
        <f t="shared" si="592"/>
        <v/>
      </c>
      <c r="AI587" s="21" t="str">
        <f t="shared" si="592"/>
        <v/>
      </c>
      <c r="AJ587" s="21" t="str">
        <f t="shared" si="592"/>
        <v/>
      </c>
      <c r="AK587" s="21" t="str">
        <f t="shared" si="592"/>
        <v/>
      </c>
      <c r="AL587" s="21" t="str">
        <f t="shared" si="592"/>
        <v/>
      </c>
      <c r="AM587" s="21" t="str">
        <f t="shared" si="592"/>
        <v/>
      </c>
      <c r="AN587" s="21" t="str">
        <f t="shared" si="592"/>
        <v/>
      </c>
      <c r="AO587" s="21" t="str">
        <f t="shared" si="102"/>
        <v/>
      </c>
    </row>
    <row r="588" ht="16.5" customHeight="1">
      <c r="J588" s="18"/>
      <c r="K588" s="19"/>
      <c r="L588" s="20"/>
      <c r="M588" s="20"/>
      <c r="N588" s="20"/>
      <c r="O588" s="20"/>
      <c r="P588" s="20"/>
      <c r="Q588" s="20"/>
      <c r="R588" s="20"/>
      <c r="S588" s="20"/>
      <c r="T588" s="20"/>
      <c r="AE588" s="21" t="str">
        <f t="shared" si="100"/>
        <v/>
      </c>
      <c r="AF588" s="21" t="str">
        <f t="shared" ref="AF588:AN588" si="593">if(not(isblank(L588)),", "&amp;L588,"")</f>
        <v/>
      </c>
      <c r="AG588" s="21" t="str">
        <f t="shared" si="593"/>
        <v/>
      </c>
      <c r="AH588" s="21" t="str">
        <f t="shared" si="593"/>
        <v/>
      </c>
      <c r="AI588" s="21" t="str">
        <f t="shared" si="593"/>
        <v/>
      </c>
      <c r="AJ588" s="21" t="str">
        <f t="shared" si="593"/>
        <v/>
      </c>
      <c r="AK588" s="21" t="str">
        <f t="shared" si="593"/>
        <v/>
      </c>
      <c r="AL588" s="21" t="str">
        <f t="shared" si="593"/>
        <v/>
      </c>
      <c r="AM588" s="21" t="str">
        <f t="shared" si="593"/>
        <v/>
      </c>
      <c r="AN588" s="21" t="str">
        <f t="shared" si="593"/>
        <v/>
      </c>
      <c r="AO588" s="21" t="str">
        <f t="shared" si="102"/>
        <v/>
      </c>
    </row>
    <row r="589" ht="16.5" customHeight="1">
      <c r="J589" s="18"/>
      <c r="K589" s="19"/>
      <c r="L589" s="20"/>
      <c r="M589" s="20"/>
      <c r="N589" s="20"/>
      <c r="O589" s="20"/>
      <c r="P589" s="20"/>
      <c r="Q589" s="20"/>
      <c r="R589" s="20"/>
      <c r="S589" s="20"/>
      <c r="T589" s="20"/>
      <c r="AE589" s="21" t="str">
        <f t="shared" si="100"/>
        <v/>
      </c>
      <c r="AF589" s="21" t="str">
        <f t="shared" ref="AF589:AN589" si="594">if(not(isblank(L589)),", "&amp;L589,"")</f>
        <v/>
      </c>
      <c r="AG589" s="21" t="str">
        <f t="shared" si="594"/>
        <v/>
      </c>
      <c r="AH589" s="21" t="str">
        <f t="shared" si="594"/>
        <v/>
      </c>
      <c r="AI589" s="21" t="str">
        <f t="shared" si="594"/>
        <v/>
      </c>
      <c r="AJ589" s="21" t="str">
        <f t="shared" si="594"/>
        <v/>
      </c>
      <c r="AK589" s="21" t="str">
        <f t="shared" si="594"/>
        <v/>
      </c>
      <c r="AL589" s="21" t="str">
        <f t="shared" si="594"/>
        <v/>
      </c>
      <c r="AM589" s="21" t="str">
        <f t="shared" si="594"/>
        <v/>
      </c>
      <c r="AN589" s="21" t="str">
        <f t="shared" si="594"/>
        <v/>
      </c>
      <c r="AO589" s="21" t="str">
        <f t="shared" si="102"/>
        <v/>
      </c>
    </row>
    <row r="590" ht="16.5" customHeight="1">
      <c r="J590" s="18"/>
      <c r="K590" s="19"/>
      <c r="L590" s="20"/>
      <c r="M590" s="20"/>
      <c r="N590" s="20"/>
      <c r="O590" s="20"/>
      <c r="P590" s="20"/>
      <c r="Q590" s="20"/>
      <c r="R590" s="20"/>
      <c r="S590" s="20"/>
      <c r="T590" s="20"/>
      <c r="AE590" s="21" t="str">
        <f t="shared" si="100"/>
        <v/>
      </c>
      <c r="AF590" s="21" t="str">
        <f t="shared" ref="AF590:AN590" si="595">if(not(isblank(L590)),", "&amp;L590,"")</f>
        <v/>
      </c>
      <c r="AG590" s="21" t="str">
        <f t="shared" si="595"/>
        <v/>
      </c>
      <c r="AH590" s="21" t="str">
        <f t="shared" si="595"/>
        <v/>
      </c>
      <c r="AI590" s="21" t="str">
        <f t="shared" si="595"/>
        <v/>
      </c>
      <c r="AJ590" s="21" t="str">
        <f t="shared" si="595"/>
        <v/>
      </c>
      <c r="AK590" s="21" t="str">
        <f t="shared" si="595"/>
        <v/>
      </c>
      <c r="AL590" s="21" t="str">
        <f t="shared" si="595"/>
        <v/>
      </c>
      <c r="AM590" s="21" t="str">
        <f t="shared" si="595"/>
        <v/>
      </c>
      <c r="AN590" s="21" t="str">
        <f t="shared" si="595"/>
        <v/>
      </c>
      <c r="AO590" s="21" t="str">
        <f t="shared" si="102"/>
        <v/>
      </c>
    </row>
    <row r="591" ht="16.5" customHeight="1">
      <c r="J591" s="18"/>
      <c r="K591" s="19"/>
      <c r="L591" s="20"/>
      <c r="M591" s="20"/>
      <c r="N591" s="20"/>
      <c r="O591" s="20"/>
      <c r="P591" s="20"/>
      <c r="Q591" s="20"/>
      <c r="R591" s="20"/>
      <c r="S591" s="20"/>
      <c r="T591" s="20"/>
      <c r="AE591" s="21" t="str">
        <f t="shared" si="100"/>
        <v/>
      </c>
      <c r="AF591" s="21" t="str">
        <f t="shared" ref="AF591:AN591" si="596">if(not(isblank(L591)),", "&amp;L591,"")</f>
        <v/>
      </c>
      <c r="AG591" s="21" t="str">
        <f t="shared" si="596"/>
        <v/>
      </c>
      <c r="AH591" s="21" t="str">
        <f t="shared" si="596"/>
        <v/>
      </c>
      <c r="AI591" s="21" t="str">
        <f t="shared" si="596"/>
        <v/>
      </c>
      <c r="AJ591" s="21" t="str">
        <f t="shared" si="596"/>
        <v/>
      </c>
      <c r="AK591" s="21" t="str">
        <f t="shared" si="596"/>
        <v/>
      </c>
      <c r="AL591" s="21" t="str">
        <f t="shared" si="596"/>
        <v/>
      </c>
      <c r="AM591" s="21" t="str">
        <f t="shared" si="596"/>
        <v/>
      </c>
      <c r="AN591" s="21" t="str">
        <f t="shared" si="596"/>
        <v/>
      </c>
      <c r="AO591" s="21" t="str">
        <f t="shared" si="102"/>
        <v/>
      </c>
    </row>
    <row r="592" ht="16.5" customHeight="1">
      <c r="J592" s="18"/>
      <c r="K592" s="19"/>
      <c r="L592" s="20"/>
      <c r="M592" s="20"/>
      <c r="N592" s="20"/>
      <c r="O592" s="20"/>
      <c r="P592" s="20"/>
      <c r="Q592" s="20"/>
      <c r="R592" s="20"/>
      <c r="S592" s="20"/>
      <c r="T592" s="20"/>
      <c r="AE592" s="21" t="str">
        <f t="shared" si="100"/>
        <v/>
      </c>
      <c r="AF592" s="21" t="str">
        <f t="shared" ref="AF592:AN592" si="597">if(not(isblank(L592)),", "&amp;L592,"")</f>
        <v/>
      </c>
      <c r="AG592" s="21" t="str">
        <f t="shared" si="597"/>
        <v/>
      </c>
      <c r="AH592" s="21" t="str">
        <f t="shared" si="597"/>
        <v/>
      </c>
      <c r="AI592" s="21" t="str">
        <f t="shared" si="597"/>
        <v/>
      </c>
      <c r="AJ592" s="21" t="str">
        <f t="shared" si="597"/>
        <v/>
      </c>
      <c r="AK592" s="21" t="str">
        <f t="shared" si="597"/>
        <v/>
      </c>
      <c r="AL592" s="21" t="str">
        <f t="shared" si="597"/>
        <v/>
      </c>
      <c r="AM592" s="21" t="str">
        <f t="shared" si="597"/>
        <v/>
      </c>
      <c r="AN592" s="21" t="str">
        <f t="shared" si="597"/>
        <v/>
      </c>
      <c r="AO592" s="21" t="str">
        <f t="shared" si="102"/>
        <v/>
      </c>
    </row>
    <row r="593" ht="16.5" customHeight="1">
      <c r="J593" s="18"/>
      <c r="K593" s="19"/>
      <c r="L593" s="20"/>
      <c r="M593" s="20"/>
      <c r="N593" s="20"/>
      <c r="O593" s="20"/>
      <c r="P593" s="20"/>
      <c r="Q593" s="20"/>
      <c r="R593" s="20"/>
      <c r="S593" s="20"/>
      <c r="T593" s="20"/>
      <c r="AE593" s="21" t="str">
        <f t="shared" si="100"/>
        <v/>
      </c>
      <c r="AF593" s="21" t="str">
        <f t="shared" ref="AF593:AN593" si="598">if(not(isblank(L593)),", "&amp;L593,"")</f>
        <v/>
      </c>
      <c r="AG593" s="21" t="str">
        <f t="shared" si="598"/>
        <v/>
      </c>
      <c r="AH593" s="21" t="str">
        <f t="shared" si="598"/>
        <v/>
      </c>
      <c r="AI593" s="21" t="str">
        <f t="shared" si="598"/>
        <v/>
      </c>
      <c r="AJ593" s="21" t="str">
        <f t="shared" si="598"/>
        <v/>
      </c>
      <c r="AK593" s="21" t="str">
        <f t="shared" si="598"/>
        <v/>
      </c>
      <c r="AL593" s="21" t="str">
        <f t="shared" si="598"/>
        <v/>
      </c>
      <c r="AM593" s="21" t="str">
        <f t="shared" si="598"/>
        <v/>
      </c>
      <c r="AN593" s="21" t="str">
        <f t="shared" si="598"/>
        <v/>
      </c>
      <c r="AO593" s="21" t="str">
        <f t="shared" si="102"/>
        <v/>
      </c>
    </row>
    <row r="594" ht="16.5" customHeight="1">
      <c r="J594" s="18"/>
      <c r="K594" s="19"/>
      <c r="L594" s="20"/>
      <c r="M594" s="20"/>
      <c r="N594" s="20"/>
      <c r="O594" s="20"/>
      <c r="P594" s="20"/>
      <c r="Q594" s="20"/>
      <c r="R594" s="20"/>
      <c r="S594" s="20"/>
      <c r="T594" s="20"/>
      <c r="AE594" s="21" t="str">
        <f t="shared" si="100"/>
        <v/>
      </c>
      <c r="AF594" s="21" t="str">
        <f t="shared" ref="AF594:AN594" si="599">if(not(isblank(L594)),", "&amp;L594,"")</f>
        <v/>
      </c>
      <c r="AG594" s="21" t="str">
        <f t="shared" si="599"/>
        <v/>
      </c>
      <c r="AH594" s="21" t="str">
        <f t="shared" si="599"/>
        <v/>
      </c>
      <c r="AI594" s="21" t="str">
        <f t="shared" si="599"/>
        <v/>
      </c>
      <c r="AJ594" s="21" t="str">
        <f t="shared" si="599"/>
        <v/>
      </c>
      <c r="AK594" s="21" t="str">
        <f t="shared" si="599"/>
        <v/>
      </c>
      <c r="AL594" s="21" t="str">
        <f t="shared" si="599"/>
        <v/>
      </c>
      <c r="AM594" s="21" t="str">
        <f t="shared" si="599"/>
        <v/>
      </c>
      <c r="AN594" s="21" t="str">
        <f t="shared" si="599"/>
        <v/>
      </c>
      <c r="AO594" s="21" t="str">
        <f t="shared" si="102"/>
        <v/>
      </c>
    </row>
    <row r="595" ht="16.5" customHeight="1">
      <c r="J595" s="18"/>
      <c r="K595" s="19"/>
      <c r="L595" s="20"/>
      <c r="M595" s="20"/>
      <c r="N595" s="20"/>
      <c r="O595" s="20"/>
      <c r="P595" s="20"/>
      <c r="Q595" s="20"/>
      <c r="R595" s="20"/>
      <c r="S595" s="20"/>
      <c r="T595" s="20"/>
      <c r="AE595" s="21" t="str">
        <f t="shared" si="100"/>
        <v/>
      </c>
      <c r="AF595" s="21" t="str">
        <f t="shared" ref="AF595:AN595" si="600">if(not(isblank(L595)),", "&amp;L595,"")</f>
        <v/>
      </c>
      <c r="AG595" s="21" t="str">
        <f t="shared" si="600"/>
        <v/>
      </c>
      <c r="AH595" s="21" t="str">
        <f t="shared" si="600"/>
        <v/>
      </c>
      <c r="AI595" s="21" t="str">
        <f t="shared" si="600"/>
        <v/>
      </c>
      <c r="AJ595" s="21" t="str">
        <f t="shared" si="600"/>
        <v/>
      </c>
      <c r="AK595" s="21" t="str">
        <f t="shared" si="600"/>
        <v/>
      </c>
      <c r="AL595" s="21" t="str">
        <f t="shared" si="600"/>
        <v/>
      </c>
      <c r="AM595" s="21" t="str">
        <f t="shared" si="600"/>
        <v/>
      </c>
      <c r="AN595" s="21" t="str">
        <f t="shared" si="600"/>
        <v/>
      </c>
      <c r="AO595" s="21" t="str">
        <f t="shared" si="102"/>
        <v/>
      </c>
    </row>
    <row r="596" ht="16.5" customHeight="1">
      <c r="J596" s="18"/>
      <c r="K596" s="19"/>
      <c r="L596" s="20"/>
      <c r="M596" s="20"/>
      <c r="N596" s="20"/>
      <c r="O596" s="20"/>
      <c r="P596" s="20"/>
      <c r="Q596" s="20"/>
      <c r="R596" s="20"/>
      <c r="S596" s="20"/>
      <c r="T596" s="20"/>
      <c r="AE596" s="21" t="str">
        <f t="shared" si="100"/>
        <v/>
      </c>
      <c r="AF596" s="21" t="str">
        <f t="shared" ref="AF596:AN596" si="601">if(not(isblank(L596)),", "&amp;L596,"")</f>
        <v/>
      </c>
      <c r="AG596" s="21" t="str">
        <f t="shared" si="601"/>
        <v/>
      </c>
      <c r="AH596" s="21" t="str">
        <f t="shared" si="601"/>
        <v/>
      </c>
      <c r="AI596" s="21" t="str">
        <f t="shared" si="601"/>
        <v/>
      </c>
      <c r="AJ596" s="21" t="str">
        <f t="shared" si="601"/>
        <v/>
      </c>
      <c r="AK596" s="21" t="str">
        <f t="shared" si="601"/>
        <v/>
      </c>
      <c r="AL596" s="21" t="str">
        <f t="shared" si="601"/>
        <v/>
      </c>
      <c r="AM596" s="21" t="str">
        <f t="shared" si="601"/>
        <v/>
      </c>
      <c r="AN596" s="21" t="str">
        <f t="shared" si="601"/>
        <v/>
      </c>
      <c r="AO596" s="21" t="str">
        <f t="shared" si="102"/>
        <v/>
      </c>
    </row>
    <row r="597" ht="16.5" customHeight="1">
      <c r="J597" s="18"/>
      <c r="K597" s="19"/>
      <c r="L597" s="20"/>
      <c r="M597" s="20"/>
      <c r="N597" s="20"/>
      <c r="O597" s="20"/>
      <c r="P597" s="20"/>
      <c r="Q597" s="20"/>
      <c r="R597" s="20"/>
      <c r="S597" s="20"/>
      <c r="T597" s="20"/>
      <c r="AE597" s="21" t="str">
        <f t="shared" si="100"/>
        <v/>
      </c>
      <c r="AF597" s="21" t="str">
        <f t="shared" ref="AF597:AN597" si="602">if(not(isblank(L597)),", "&amp;L597,"")</f>
        <v/>
      </c>
      <c r="AG597" s="21" t="str">
        <f t="shared" si="602"/>
        <v/>
      </c>
      <c r="AH597" s="21" t="str">
        <f t="shared" si="602"/>
        <v/>
      </c>
      <c r="AI597" s="21" t="str">
        <f t="shared" si="602"/>
        <v/>
      </c>
      <c r="AJ597" s="21" t="str">
        <f t="shared" si="602"/>
        <v/>
      </c>
      <c r="AK597" s="21" t="str">
        <f t="shared" si="602"/>
        <v/>
      </c>
      <c r="AL597" s="21" t="str">
        <f t="shared" si="602"/>
        <v/>
      </c>
      <c r="AM597" s="21" t="str">
        <f t="shared" si="602"/>
        <v/>
      </c>
      <c r="AN597" s="21" t="str">
        <f t="shared" si="602"/>
        <v/>
      </c>
      <c r="AO597" s="21" t="str">
        <f t="shared" si="102"/>
        <v/>
      </c>
    </row>
    <row r="598" ht="16.5" customHeight="1">
      <c r="J598" s="18"/>
      <c r="K598" s="19"/>
      <c r="L598" s="20"/>
      <c r="M598" s="20"/>
      <c r="N598" s="20"/>
      <c r="O598" s="20"/>
      <c r="P598" s="20"/>
      <c r="Q598" s="20"/>
      <c r="R598" s="20"/>
      <c r="S598" s="20"/>
      <c r="T598" s="20"/>
      <c r="AE598" s="21" t="str">
        <f t="shared" si="100"/>
        <v/>
      </c>
      <c r="AF598" s="21" t="str">
        <f t="shared" ref="AF598:AN598" si="603">if(not(isblank(L598)),", "&amp;L598,"")</f>
        <v/>
      </c>
      <c r="AG598" s="21" t="str">
        <f t="shared" si="603"/>
        <v/>
      </c>
      <c r="AH598" s="21" t="str">
        <f t="shared" si="603"/>
        <v/>
      </c>
      <c r="AI598" s="21" t="str">
        <f t="shared" si="603"/>
        <v/>
      </c>
      <c r="AJ598" s="21" t="str">
        <f t="shared" si="603"/>
        <v/>
      </c>
      <c r="AK598" s="21" t="str">
        <f t="shared" si="603"/>
        <v/>
      </c>
      <c r="AL598" s="21" t="str">
        <f t="shared" si="603"/>
        <v/>
      </c>
      <c r="AM598" s="21" t="str">
        <f t="shared" si="603"/>
        <v/>
      </c>
      <c r="AN598" s="21" t="str">
        <f t="shared" si="603"/>
        <v/>
      </c>
      <c r="AO598" s="21" t="str">
        <f t="shared" si="102"/>
        <v/>
      </c>
    </row>
    <row r="599" ht="16.5" customHeight="1">
      <c r="J599" s="18"/>
      <c r="K599" s="19"/>
      <c r="L599" s="20"/>
      <c r="M599" s="20"/>
      <c r="N599" s="20"/>
      <c r="O599" s="20"/>
      <c r="P599" s="20"/>
      <c r="Q599" s="20"/>
      <c r="R599" s="20"/>
      <c r="S599" s="20"/>
      <c r="T599" s="20"/>
      <c r="AE599" s="21" t="str">
        <f t="shared" si="100"/>
        <v/>
      </c>
      <c r="AF599" s="21" t="str">
        <f t="shared" ref="AF599:AN599" si="604">if(not(isblank(L599)),", "&amp;L599,"")</f>
        <v/>
      </c>
      <c r="AG599" s="21" t="str">
        <f t="shared" si="604"/>
        <v/>
      </c>
      <c r="AH599" s="21" t="str">
        <f t="shared" si="604"/>
        <v/>
      </c>
      <c r="AI599" s="21" t="str">
        <f t="shared" si="604"/>
        <v/>
      </c>
      <c r="AJ599" s="21" t="str">
        <f t="shared" si="604"/>
        <v/>
      </c>
      <c r="AK599" s="21" t="str">
        <f t="shared" si="604"/>
        <v/>
      </c>
      <c r="AL599" s="21" t="str">
        <f t="shared" si="604"/>
        <v/>
      </c>
      <c r="AM599" s="21" t="str">
        <f t="shared" si="604"/>
        <v/>
      </c>
      <c r="AN599" s="21" t="str">
        <f t="shared" si="604"/>
        <v/>
      </c>
      <c r="AO599" s="21" t="str">
        <f t="shared" si="102"/>
        <v/>
      </c>
    </row>
    <row r="600" ht="16.5" customHeight="1">
      <c r="J600" s="18"/>
      <c r="K600" s="19"/>
      <c r="L600" s="20"/>
      <c r="M600" s="20"/>
      <c r="N600" s="20"/>
      <c r="O600" s="20"/>
      <c r="P600" s="20"/>
      <c r="Q600" s="20"/>
      <c r="R600" s="20"/>
      <c r="S600" s="20"/>
      <c r="T600" s="20"/>
      <c r="AE600" s="21" t="str">
        <f t="shared" si="100"/>
        <v/>
      </c>
      <c r="AF600" s="21" t="str">
        <f t="shared" ref="AF600:AN600" si="605">if(not(isblank(L600)),", "&amp;L600,"")</f>
        <v/>
      </c>
      <c r="AG600" s="21" t="str">
        <f t="shared" si="605"/>
        <v/>
      </c>
      <c r="AH600" s="21" t="str">
        <f t="shared" si="605"/>
        <v/>
      </c>
      <c r="AI600" s="21" t="str">
        <f t="shared" si="605"/>
        <v/>
      </c>
      <c r="AJ600" s="21" t="str">
        <f t="shared" si="605"/>
        <v/>
      </c>
      <c r="AK600" s="21" t="str">
        <f t="shared" si="605"/>
        <v/>
      </c>
      <c r="AL600" s="21" t="str">
        <f t="shared" si="605"/>
        <v/>
      </c>
      <c r="AM600" s="21" t="str">
        <f t="shared" si="605"/>
        <v/>
      </c>
      <c r="AN600" s="21" t="str">
        <f t="shared" si="605"/>
        <v/>
      </c>
      <c r="AO600" s="21" t="str">
        <f t="shared" si="102"/>
        <v/>
      </c>
    </row>
    <row r="601" ht="16.5" customHeight="1">
      <c r="J601" s="18"/>
      <c r="K601" s="19"/>
      <c r="L601" s="20"/>
      <c r="M601" s="20"/>
      <c r="N601" s="20"/>
      <c r="O601" s="20"/>
      <c r="P601" s="20"/>
      <c r="Q601" s="20"/>
      <c r="R601" s="20"/>
      <c r="S601" s="20"/>
      <c r="T601" s="20"/>
      <c r="AE601" s="21" t="str">
        <f t="shared" si="100"/>
        <v/>
      </c>
      <c r="AF601" s="21" t="str">
        <f t="shared" ref="AF601:AN601" si="606">if(not(isblank(L601)),", "&amp;L601,"")</f>
        <v/>
      </c>
      <c r="AG601" s="21" t="str">
        <f t="shared" si="606"/>
        <v/>
      </c>
      <c r="AH601" s="21" t="str">
        <f t="shared" si="606"/>
        <v/>
      </c>
      <c r="AI601" s="21" t="str">
        <f t="shared" si="606"/>
        <v/>
      </c>
      <c r="AJ601" s="21" t="str">
        <f t="shared" si="606"/>
        <v/>
      </c>
      <c r="AK601" s="21" t="str">
        <f t="shared" si="606"/>
        <v/>
      </c>
      <c r="AL601" s="21" t="str">
        <f t="shared" si="606"/>
        <v/>
      </c>
      <c r="AM601" s="21" t="str">
        <f t="shared" si="606"/>
        <v/>
      </c>
      <c r="AN601" s="21" t="str">
        <f t="shared" si="606"/>
        <v/>
      </c>
      <c r="AO601" s="21" t="str">
        <f t="shared" si="102"/>
        <v/>
      </c>
    </row>
    <row r="602" ht="16.5" customHeight="1">
      <c r="J602" s="18"/>
      <c r="K602" s="19"/>
      <c r="L602" s="20"/>
      <c r="M602" s="20"/>
      <c r="N602" s="20"/>
      <c r="O602" s="20"/>
      <c r="P602" s="20"/>
      <c r="Q602" s="20"/>
      <c r="R602" s="20"/>
      <c r="S602" s="20"/>
      <c r="T602" s="20"/>
      <c r="AE602" s="21" t="str">
        <f t="shared" si="100"/>
        <v/>
      </c>
      <c r="AF602" s="21" t="str">
        <f t="shared" ref="AF602:AN602" si="607">if(not(isblank(L602)),", "&amp;L602,"")</f>
        <v/>
      </c>
      <c r="AG602" s="21" t="str">
        <f t="shared" si="607"/>
        <v/>
      </c>
      <c r="AH602" s="21" t="str">
        <f t="shared" si="607"/>
        <v/>
      </c>
      <c r="AI602" s="21" t="str">
        <f t="shared" si="607"/>
        <v/>
      </c>
      <c r="AJ602" s="21" t="str">
        <f t="shared" si="607"/>
        <v/>
      </c>
      <c r="AK602" s="21" t="str">
        <f t="shared" si="607"/>
        <v/>
      </c>
      <c r="AL602" s="21" t="str">
        <f t="shared" si="607"/>
        <v/>
      </c>
      <c r="AM602" s="21" t="str">
        <f t="shared" si="607"/>
        <v/>
      </c>
      <c r="AN602" s="21" t="str">
        <f t="shared" si="607"/>
        <v/>
      </c>
      <c r="AO602" s="21" t="str">
        <f t="shared" si="102"/>
        <v/>
      </c>
    </row>
    <row r="603" ht="16.5" customHeight="1">
      <c r="J603" s="18"/>
      <c r="K603" s="19"/>
      <c r="L603" s="20"/>
      <c r="M603" s="20"/>
      <c r="N603" s="20"/>
      <c r="O603" s="20"/>
      <c r="P603" s="20"/>
      <c r="Q603" s="20"/>
      <c r="R603" s="20"/>
      <c r="S603" s="20"/>
      <c r="T603" s="20"/>
      <c r="AE603" s="21" t="str">
        <f t="shared" si="100"/>
        <v/>
      </c>
      <c r="AF603" s="21" t="str">
        <f t="shared" ref="AF603:AN603" si="608">if(not(isblank(L603)),", "&amp;L603,"")</f>
        <v/>
      </c>
      <c r="AG603" s="21" t="str">
        <f t="shared" si="608"/>
        <v/>
      </c>
      <c r="AH603" s="21" t="str">
        <f t="shared" si="608"/>
        <v/>
      </c>
      <c r="AI603" s="21" t="str">
        <f t="shared" si="608"/>
        <v/>
      </c>
      <c r="AJ603" s="21" t="str">
        <f t="shared" si="608"/>
        <v/>
      </c>
      <c r="AK603" s="21" t="str">
        <f t="shared" si="608"/>
        <v/>
      </c>
      <c r="AL603" s="21" t="str">
        <f t="shared" si="608"/>
        <v/>
      </c>
      <c r="AM603" s="21" t="str">
        <f t="shared" si="608"/>
        <v/>
      </c>
      <c r="AN603" s="21" t="str">
        <f t="shared" si="608"/>
        <v/>
      </c>
      <c r="AO603" s="21" t="str">
        <f t="shared" si="102"/>
        <v/>
      </c>
    </row>
    <row r="604" ht="16.5" customHeight="1">
      <c r="J604" s="18"/>
      <c r="K604" s="19"/>
      <c r="L604" s="20"/>
      <c r="M604" s="20"/>
      <c r="N604" s="20"/>
      <c r="O604" s="20"/>
      <c r="P604" s="20"/>
      <c r="Q604" s="20"/>
      <c r="R604" s="20"/>
      <c r="S604" s="20"/>
      <c r="T604" s="20"/>
      <c r="AE604" s="21" t="str">
        <f t="shared" si="100"/>
        <v/>
      </c>
      <c r="AF604" s="21" t="str">
        <f t="shared" ref="AF604:AN604" si="609">if(not(isblank(L604)),", "&amp;L604,"")</f>
        <v/>
      </c>
      <c r="AG604" s="21" t="str">
        <f t="shared" si="609"/>
        <v/>
      </c>
      <c r="AH604" s="21" t="str">
        <f t="shared" si="609"/>
        <v/>
      </c>
      <c r="AI604" s="21" t="str">
        <f t="shared" si="609"/>
        <v/>
      </c>
      <c r="AJ604" s="21" t="str">
        <f t="shared" si="609"/>
        <v/>
      </c>
      <c r="AK604" s="21" t="str">
        <f t="shared" si="609"/>
        <v/>
      </c>
      <c r="AL604" s="21" t="str">
        <f t="shared" si="609"/>
        <v/>
      </c>
      <c r="AM604" s="21" t="str">
        <f t="shared" si="609"/>
        <v/>
      </c>
      <c r="AN604" s="21" t="str">
        <f t="shared" si="609"/>
        <v/>
      </c>
      <c r="AO604" s="21" t="str">
        <f t="shared" si="102"/>
        <v/>
      </c>
    </row>
    <row r="605" ht="16.5" customHeight="1">
      <c r="J605" s="18"/>
      <c r="K605" s="19"/>
      <c r="L605" s="20"/>
      <c r="M605" s="20"/>
      <c r="N605" s="20"/>
      <c r="O605" s="20"/>
      <c r="P605" s="20"/>
      <c r="Q605" s="20"/>
      <c r="R605" s="20"/>
      <c r="S605" s="20"/>
      <c r="T605" s="20"/>
      <c r="AE605" s="21" t="str">
        <f t="shared" si="100"/>
        <v/>
      </c>
      <c r="AF605" s="21" t="str">
        <f t="shared" ref="AF605:AN605" si="610">if(not(isblank(L605)),", "&amp;L605,"")</f>
        <v/>
      </c>
      <c r="AG605" s="21" t="str">
        <f t="shared" si="610"/>
        <v/>
      </c>
      <c r="AH605" s="21" t="str">
        <f t="shared" si="610"/>
        <v/>
      </c>
      <c r="AI605" s="21" t="str">
        <f t="shared" si="610"/>
        <v/>
      </c>
      <c r="AJ605" s="21" t="str">
        <f t="shared" si="610"/>
        <v/>
      </c>
      <c r="AK605" s="21" t="str">
        <f t="shared" si="610"/>
        <v/>
      </c>
      <c r="AL605" s="21" t="str">
        <f t="shared" si="610"/>
        <v/>
      </c>
      <c r="AM605" s="21" t="str">
        <f t="shared" si="610"/>
        <v/>
      </c>
      <c r="AN605" s="21" t="str">
        <f t="shared" si="610"/>
        <v/>
      </c>
      <c r="AO605" s="21" t="str">
        <f t="shared" si="102"/>
        <v/>
      </c>
    </row>
    <row r="606" ht="16.5" customHeight="1">
      <c r="J606" s="18"/>
      <c r="K606" s="19"/>
      <c r="L606" s="20"/>
      <c r="M606" s="20"/>
      <c r="N606" s="20"/>
      <c r="O606" s="20"/>
      <c r="P606" s="20"/>
      <c r="Q606" s="20"/>
      <c r="R606" s="20"/>
      <c r="S606" s="20"/>
      <c r="T606" s="20"/>
      <c r="AE606" s="21" t="str">
        <f t="shared" si="100"/>
        <v/>
      </c>
      <c r="AF606" s="21" t="str">
        <f t="shared" ref="AF606:AN606" si="611">if(not(isblank(L606)),", "&amp;L606,"")</f>
        <v/>
      </c>
      <c r="AG606" s="21" t="str">
        <f t="shared" si="611"/>
        <v/>
      </c>
      <c r="AH606" s="21" t="str">
        <f t="shared" si="611"/>
        <v/>
      </c>
      <c r="AI606" s="21" t="str">
        <f t="shared" si="611"/>
        <v/>
      </c>
      <c r="AJ606" s="21" t="str">
        <f t="shared" si="611"/>
        <v/>
      </c>
      <c r="AK606" s="21" t="str">
        <f t="shared" si="611"/>
        <v/>
      </c>
      <c r="AL606" s="21" t="str">
        <f t="shared" si="611"/>
        <v/>
      </c>
      <c r="AM606" s="21" t="str">
        <f t="shared" si="611"/>
        <v/>
      </c>
      <c r="AN606" s="21" t="str">
        <f t="shared" si="611"/>
        <v/>
      </c>
      <c r="AO606" s="21" t="str">
        <f t="shared" si="102"/>
        <v/>
      </c>
    </row>
    <row r="607" ht="16.5" customHeight="1">
      <c r="J607" s="18"/>
      <c r="K607" s="19"/>
      <c r="L607" s="20"/>
      <c r="M607" s="20"/>
      <c r="N607" s="20"/>
      <c r="O607" s="20"/>
      <c r="P607" s="20"/>
      <c r="Q607" s="20"/>
      <c r="R607" s="20"/>
      <c r="S607" s="20"/>
      <c r="T607" s="20"/>
      <c r="AE607" s="21" t="str">
        <f t="shared" si="100"/>
        <v/>
      </c>
      <c r="AF607" s="21" t="str">
        <f t="shared" ref="AF607:AN607" si="612">if(not(isblank(L607)),", "&amp;L607,"")</f>
        <v/>
      </c>
      <c r="AG607" s="21" t="str">
        <f t="shared" si="612"/>
        <v/>
      </c>
      <c r="AH607" s="21" t="str">
        <f t="shared" si="612"/>
        <v/>
      </c>
      <c r="AI607" s="21" t="str">
        <f t="shared" si="612"/>
        <v/>
      </c>
      <c r="AJ607" s="21" t="str">
        <f t="shared" si="612"/>
        <v/>
      </c>
      <c r="AK607" s="21" t="str">
        <f t="shared" si="612"/>
        <v/>
      </c>
      <c r="AL607" s="21" t="str">
        <f t="shared" si="612"/>
        <v/>
      </c>
      <c r="AM607" s="21" t="str">
        <f t="shared" si="612"/>
        <v/>
      </c>
      <c r="AN607" s="21" t="str">
        <f t="shared" si="612"/>
        <v/>
      </c>
      <c r="AO607" s="21" t="str">
        <f t="shared" si="102"/>
        <v/>
      </c>
    </row>
    <row r="608" ht="16.5" customHeight="1">
      <c r="J608" s="18"/>
      <c r="K608" s="19"/>
      <c r="L608" s="20"/>
      <c r="M608" s="20"/>
      <c r="N608" s="20"/>
      <c r="O608" s="20"/>
      <c r="P608" s="20"/>
      <c r="Q608" s="20"/>
      <c r="R608" s="20"/>
      <c r="S608" s="20"/>
      <c r="T608" s="20"/>
      <c r="AE608" s="21" t="str">
        <f t="shared" si="100"/>
        <v/>
      </c>
      <c r="AF608" s="21" t="str">
        <f t="shared" ref="AF608:AN608" si="613">if(not(isblank(L608)),", "&amp;L608,"")</f>
        <v/>
      </c>
      <c r="AG608" s="21" t="str">
        <f t="shared" si="613"/>
        <v/>
      </c>
      <c r="AH608" s="21" t="str">
        <f t="shared" si="613"/>
        <v/>
      </c>
      <c r="AI608" s="21" t="str">
        <f t="shared" si="613"/>
        <v/>
      </c>
      <c r="AJ608" s="21" t="str">
        <f t="shared" si="613"/>
        <v/>
      </c>
      <c r="AK608" s="21" t="str">
        <f t="shared" si="613"/>
        <v/>
      </c>
      <c r="AL608" s="21" t="str">
        <f t="shared" si="613"/>
        <v/>
      </c>
      <c r="AM608" s="21" t="str">
        <f t="shared" si="613"/>
        <v/>
      </c>
      <c r="AN608" s="21" t="str">
        <f t="shared" si="613"/>
        <v/>
      </c>
      <c r="AO608" s="21" t="str">
        <f t="shared" si="102"/>
        <v/>
      </c>
    </row>
    <row r="609" ht="16.5" customHeight="1">
      <c r="J609" s="18"/>
      <c r="K609" s="19"/>
      <c r="L609" s="20"/>
      <c r="M609" s="20"/>
      <c r="N609" s="20"/>
      <c r="O609" s="20"/>
      <c r="P609" s="20"/>
      <c r="Q609" s="20"/>
      <c r="R609" s="20"/>
      <c r="S609" s="20"/>
      <c r="T609" s="20"/>
      <c r="AE609" s="21" t="str">
        <f t="shared" si="100"/>
        <v/>
      </c>
      <c r="AF609" s="21" t="str">
        <f t="shared" ref="AF609:AN609" si="614">if(not(isblank(L609)),", "&amp;L609,"")</f>
        <v/>
      </c>
      <c r="AG609" s="21" t="str">
        <f t="shared" si="614"/>
        <v/>
      </c>
      <c r="AH609" s="21" t="str">
        <f t="shared" si="614"/>
        <v/>
      </c>
      <c r="AI609" s="21" t="str">
        <f t="shared" si="614"/>
        <v/>
      </c>
      <c r="AJ609" s="21" t="str">
        <f t="shared" si="614"/>
        <v/>
      </c>
      <c r="AK609" s="21" t="str">
        <f t="shared" si="614"/>
        <v/>
      </c>
      <c r="AL609" s="21" t="str">
        <f t="shared" si="614"/>
        <v/>
      </c>
      <c r="AM609" s="21" t="str">
        <f t="shared" si="614"/>
        <v/>
      </c>
      <c r="AN609" s="21" t="str">
        <f t="shared" si="614"/>
        <v/>
      </c>
      <c r="AO609" s="21" t="str">
        <f t="shared" si="102"/>
        <v/>
      </c>
    </row>
    <row r="610" ht="16.5" customHeight="1">
      <c r="J610" s="18"/>
      <c r="K610" s="19"/>
      <c r="L610" s="20"/>
      <c r="M610" s="20"/>
      <c r="N610" s="20"/>
      <c r="O610" s="20"/>
      <c r="P610" s="20"/>
      <c r="Q610" s="20"/>
      <c r="R610" s="20"/>
      <c r="S610" s="20"/>
      <c r="T610" s="20"/>
      <c r="AE610" s="21" t="str">
        <f t="shared" si="100"/>
        <v/>
      </c>
      <c r="AF610" s="21" t="str">
        <f t="shared" ref="AF610:AN610" si="615">if(not(isblank(L610)),", "&amp;L610,"")</f>
        <v/>
      </c>
      <c r="AG610" s="21" t="str">
        <f t="shared" si="615"/>
        <v/>
      </c>
      <c r="AH610" s="21" t="str">
        <f t="shared" si="615"/>
        <v/>
      </c>
      <c r="AI610" s="21" t="str">
        <f t="shared" si="615"/>
        <v/>
      </c>
      <c r="AJ610" s="21" t="str">
        <f t="shared" si="615"/>
        <v/>
      </c>
      <c r="AK610" s="21" t="str">
        <f t="shared" si="615"/>
        <v/>
      </c>
      <c r="AL610" s="21" t="str">
        <f t="shared" si="615"/>
        <v/>
      </c>
      <c r="AM610" s="21" t="str">
        <f t="shared" si="615"/>
        <v/>
      </c>
      <c r="AN610" s="21" t="str">
        <f t="shared" si="615"/>
        <v/>
      </c>
      <c r="AO610" s="21" t="str">
        <f t="shared" si="102"/>
        <v/>
      </c>
    </row>
    <row r="611" ht="16.5" customHeight="1">
      <c r="J611" s="18"/>
      <c r="K611" s="19"/>
      <c r="L611" s="20"/>
      <c r="M611" s="20"/>
      <c r="N611" s="20"/>
      <c r="O611" s="20"/>
      <c r="P611" s="20"/>
      <c r="Q611" s="20"/>
      <c r="R611" s="20"/>
      <c r="S611" s="20"/>
      <c r="T611" s="20"/>
      <c r="AE611" s="21" t="str">
        <f t="shared" si="100"/>
        <v/>
      </c>
      <c r="AF611" s="21" t="str">
        <f t="shared" ref="AF611:AN611" si="616">if(not(isblank(L611)),", "&amp;L611,"")</f>
        <v/>
      </c>
      <c r="AG611" s="21" t="str">
        <f t="shared" si="616"/>
        <v/>
      </c>
      <c r="AH611" s="21" t="str">
        <f t="shared" si="616"/>
        <v/>
      </c>
      <c r="AI611" s="21" t="str">
        <f t="shared" si="616"/>
        <v/>
      </c>
      <c r="AJ611" s="21" t="str">
        <f t="shared" si="616"/>
        <v/>
      </c>
      <c r="AK611" s="21" t="str">
        <f t="shared" si="616"/>
        <v/>
      </c>
      <c r="AL611" s="21" t="str">
        <f t="shared" si="616"/>
        <v/>
      </c>
      <c r="AM611" s="21" t="str">
        <f t="shared" si="616"/>
        <v/>
      </c>
      <c r="AN611" s="21" t="str">
        <f t="shared" si="616"/>
        <v/>
      </c>
      <c r="AO611" s="21" t="str">
        <f t="shared" si="102"/>
        <v/>
      </c>
    </row>
    <row r="612" ht="16.5" customHeight="1">
      <c r="J612" s="18"/>
      <c r="K612" s="19"/>
      <c r="L612" s="20"/>
      <c r="M612" s="20"/>
      <c r="N612" s="20"/>
      <c r="O612" s="20"/>
      <c r="P612" s="20"/>
      <c r="Q612" s="20"/>
      <c r="R612" s="20"/>
      <c r="S612" s="20"/>
      <c r="T612" s="20"/>
      <c r="AE612" s="21" t="str">
        <f t="shared" si="100"/>
        <v/>
      </c>
      <c r="AF612" s="21" t="str">
        <f t="shared" ref="AF612:AN612" si="617">if(not(isblank(L612)),", "&amp;L612,"")</f>
        <v/>
      </c>
      <c r="AG612" s="21" t="str">
        <f t="shared" si="617"/>
        <v/>
      </c>
      <c r="AH612" s="21" t="str">
        <f t="shared" si="617"/>
        <v/>
      </c>
      <c r="AI612" s="21" t="str">
        <f t="shared" si="617"/>
        <v/>
      </c>
      <c r="AJ612" s="21" t="str">
        <f t="shared" si="617"/>
        <v/>
      </c>
      <c r="AK612" s="21" t="str">
        <f t="shared" si="617"/>
        <v/>
      </c>
      <c r="AL612" s="21" t="str">
        <f t="shared" si="617"/>
        <v/>
      </c>
      <c r="AM612" s="21" t="str">
        <f t="shared" si="617"/>
        <v/>
      </c>
      <c r="AN612" s="21" t="str">
        <f t="shared" si="617"/>
        <v/>
      </c>
      <c r="AO612" s="21" t="str">
        <f t="shared" si="102"/>
        <v/>
      </c>
    </row>
    <row r="613" ht="16.5" customHeight="1">
      <c r="J613" s="18"/>
      <c r="K613" s="19"/>
      <c r="L613" s="20"/>
      <c r="M613" s="20"/>
      <c r="N613" s="20"/>
      <c r="O613" s="20"/>
      <c r="P613" s="20"/>
      <c r="Q613" s="20"/>
      <c r="R613" s="20"/>
      <c r="S613" s="20"/>
      <c r="T613" s="20"/>
      <c r="AE613" s="21" t="str">
        <f t="shared" si="100"/>
        <v/>
      </c>
      <c r="AF613" s="21" t="str">
        <f t="shared" ref="AF613:AN613" si="618">if(not(isblank(L613)),", "&amp;L613,"")</f>
        <v/>
      </c>
      <c r="AG613" s="21" t="str">
        <f t="shared" si="618"/>
        <v/>
      </c>
      <c r="AH613" s="21" t="str">
        <f t="shared" si="618"/>
        <v/>
      </c>
      <c r="AI613" s="21" t="str">
        <f t="shared" si="618"/>
        <v/>
      </c>
      <c r="AJ613" s="21" t="str">
        <f t="shared" si="618"/>
        <v/>
      </c>
      <c r="AK613" s="21" t="str">
        <f t="shared" si="618"/>
        <v/>
      </c>
      <c r="AL613" s="21" t="str">
        <f t="shared" si="618"/>
        <v/>
      </c>
      <c r="AM613" s="21" t="str">
        <f t="shared" si="618"/>
        <v/>
      </c>
      <c r="AN613" s="21" t="str">
        <f t="shared" si="618"/>
        <v/>
      </c>
      <c r="AO613" s="21" t="str">
        <f t="shared" si="102"/>
        <v/>
      </c>
    </row>
    <row r="614" ht="16.5" customHeight="1">
      <c r="J614" s="18"/>
      <c r="K614" s="19"/>
      <c r="L614" s="20"/>
      <c r="M614" s="20"/>
      <c r="N614" s="20"/>
      <c r="O614" s="20"/>
      <c r="P614" s="20"/>
      <c r="Q614" s="20"/>
      <c r="R614" s="20"/>
      <c r="S614" s="20"/>
      <c r="T614" s="20"/>
      <c r="AE614" s="21" t="str">
        <f t="shared" si="100"/>
        <v/>
      </c>
      <c r="AF614" s="21" t="str">
        <f t="shared" ref="AF614:AN614" si="619">if(not(isblank(L614)),", "&amp;L614,"")</f>
        <v/>
      </c>
      <c r="AG614" s="21" t="str">
        <f t="shared" si="619"/>
        <v/>
      </c>
      <c r="AH614" s="21" t="str">
        <f t="shared" si="619"/>
        <v/>
      </c>
      <c r="AI614" s="21" t="str">
        <f t="shared" si="619"/>
        <v/>
      </c>
      <c r="AJ614" s="21" t="str">
        <f t="shared" si="619"/>
        <v/>
      </c>
      <c r="AK614" s="21" t="str">
        <f t="shared" si="619"/>
        <v/>
      </c>
      <c r="AL614" s="21" t="str">
        <f t="shared" si="619"/>
        <v/>
      </c>
      <c r="AM614" s="21" t="str">
        <f t="shared" si="619"/>
        <v/>
      </c>
      <c r="AN614" s="21" t="str">
        <f t="shared" si="619"/>
        <v/>
      </c>
      <c r="AO614" s="21" t="str">
        <f t="shared" si="102"/>
        <v/>
      </c>
    </row>
    <row r="615" ht="16.5" customHeight="1">
      <c r="J615" s="18"/>
      <c r="K615" s="19"/>
      <c r="L615" s="20"/>
      <c r="M615" s="20"/>
      <c r="N615" s="20"/>
      <c r="O615" s="20"/>
      <c r="P615" s="20"/>
      <c r="Q615" s="20"/>
      <c r="R615" s="20"/>
      <c r="S615" s="20"/>
      <c r="T615" s="20"/>
      <c r="AE615" s="21" t="str">
        <f t="shared" si="100"/>
        <v/>
      </c>
      <c r="AF615" s="21" t="str">
        <f t="shared" ref="AF615:AN615" si="620">if(not(isblank(L615)),", "&amp;L615,"")</f>
        <v/>
      </c>
      <c r="AG615" s="21" t="str">
        <f t="shared" si="620"/>
        <v/>
      </c>
      <c r="AH615" s="21" t="str">
        <f t="shared" si="620"/>
        <v/>
      </c>
      <c r="AI615" s="21" t="str">
        <f t="shared" si="620"/>
        <v/>
      </c>
      <c r="AJ615" s="21" t="str">
        <f t="shared" si="620"/>
        <v/>
      </c>
      <c r="AK615" s="21" t="str">
        <f t="shared" si="620"/>
        <v/>
      </c>
      <c r="AL615" s="21" t="str">
        <f t="shared" si="620"/>
        <v/>
      </c>
      <c r="AM615" s="21" t="str">
        <f t="shared" si="620"/>
        <v/>
      </c>
      <c r="AN615" s="21" t="str">
        <f t="shared" si="620"/>
        <v/>
      </c>
      <c r="AO615" s="21" t="str">
        <f t="shared" si="102"/>
        <v/>
      </c>
    </row>
    <row r="616" ht="16.5" customHeight="1">
      <c r="J616" s="18"/>
      <c r="K616" s="19"/>
      <c r="L616" s="20"/>
      <c r="M616" s="20"/>
      <c r="N616" s="20"/>
      <c r="O616" s="20"/>
      <c r="P616" s="20"/>
      <c r="Q616" s="20"/>
      <c r="R616" s="20"/>
      <c r="S616" s="20"/>
      <c r="T616" s="20"/>
      <c r="AE616" s="21" t="str">
        <f t="shared" si="100"/>
        <v/>
      </c>
      <c r="AF616" s="21" t="str">
        <f t="shared" ref="AF616:AN616" si="621">if(not(isblank(L616)),", "&amp;L616,"")</f>
        <v/>
      </c>
      <c r="AG616" s="21" t="str">
        <f t="shared" si="621"/>
        <v/>
      </c>
      <c r="AH616" s="21" t="str">
        <f t="shared" si="621"/>
        <v/>
      </c>
      <c r="AI616" s="21" t="str">
        <f t="shared" si="621"/>
        <v/>
      </c>
      <c r="AJ616" s="21" t="str">
        <f t="shared" si="621"/>
        <v/>
      </c>
      <c r="AK616" s="21" t="str">
        <f t="shared" si="621"/>
        <v/>
      </c>
      <c r="AL616" s="21" t="str">
        <f t="shared" si="621"/>
        <v/>
      </c>
      <c r="AM616" s="21" t="str">
        <f t="shared" si="621"/>
        <v/>
      </c>
      <c r="AN616" s="21" t="str">
        <f t="shared" si="621"/>
        <v/>
      </c>
      <c r="AO616" s="21" t="str">
        <f t="shared" si="102"/>
        <v/>
      </c>
    </row>
    <row r="617" ht="16.5" customHeight="1">
      <c r="J617" s="18"/>
      <c r="K617" s="19"/>
      <c r="L617" s="20"/>
      <c r="M617" s="20"/>
      <c r="N617" s="20"/>
      <c r="O617" s="20"/>
      <c r="P617" s="20"/>
      <c r="Q617" s="20"/>
      <c r="R617" s="20"/>
      <c r="S617" s="20"/>
      <c r="T617" s="20"/>
      <c r="AE617" s="21" t="str">
        <f t="shared" si="100"/>
        <v/>
      </c>
      <c r="AF617" s="21" t="str">
        <f t="shared" ref="AF617:AN617" si="622">if(not(isblank(L617)),", "&amp;L617,"")</f>
        <v/>
      </c>
      <c r="AG617" s="21" t="str">
        <f t="shared" si="622"/>
        <v/>
      </c>
      <c r="AH617" s="21" t="str">
        <f t="shared" si="622"/>
        <v/>
      </c>
      <c r="AI617" s="21" t="str">
        <f t="shared" si="622"/>
        <v/>
      </c>
      <c r="AJ617" s="21" t="str">
        <f t="shared" si="622"/>
        <v/>
      </c>
      <c r="AK617" s="21" t="str">
        <f t="shared" si="622"/>
        <v/>
      </c>
      <c r="AL617" s="21" t="str">
        <f t="shared" si="622"/>
        <v/>
      </c>
      <c r="AM617" s="21" t="str">
        <f t="shared" si="622"/>
        <v/>
      </c>
      <c r="AN617" s="21" t="str">
        <f t="shared" si="622"/>
        <v/>
      </c>
      <c r="AO617" s="21" t="str">
        <f t="shared" si="102"/>
        <v/>
      </c>
    </row>
    <row r="618" ht="16.5" customHeight="1">
      <c r="J618" s="18"/>
      <c r="K618" s="19"/>
      <c r="L618" s="20"/>
      <c r="M618" s="20"/>
      <c r="N618" s="20"/>
      <c r="O618" s="20"/>
      <c r="P618" s="20"/>
      <c r="Q618" s="20"/>
      <c r="R618" s="20"/>
      <c r="S618" s="20"/>
      <c r="T618" s="20"/>
      <c r="AE618" s="21" t="str">
        <f t="shared" si="100"/>
        <v/>
      </c>
      <c r="AF618" s="21" t="str">
        <f t="shared" ref="AF618:AN618" si="623">if(not(isblank(L618)),", "&amp;L618,"")</f>
        <v/>
      </c>
      <c r="AG618" s="21" t="str">
        <f t="shared" si="623"/>
        <v/>
      </c>
      <c r="AH618" s="21" t="str">
        <f t="shared" si="623"/>
        <v/>
      </c>
      <c r="AI618" s="21" t="str">
        <f t="shared" si="623"/>
        <v/>
      </c>
      <c r="AJ618" s="21" t="str">
        <f t="shared" si="623"/>
        <v/>
      </c>
      <c r="AK618" s="21" t="str">
        <f t="shared" si="623"/>
        <v/>
      </c>
      <c r="AL618" s="21" t="str">
        <f t="shared" si="623"/>
        <v/>
      </c>
      <c r="AM618" s="21" t="str">
        <f t="shared" si="623"/>
        <v/>
      </c>
      <c r="AN618" s="21" t="str">
        <f t="shared" si="623"/>
        <v/>
      </c>
      <c r="AO618" s="21" t="str">
        <f t="shared" si="102"/>
        <v/>
      </c>
    </row>
    <row r="619" ht="16.5" customHeight="1">
      <c r="J619" s="18"/>
      <c r="K619" s="19"/>
      <c r="L619" s="20"/>
      <c r="M619" s="20"/>
      <c r="N619" s="20"/>
      <c r="O619" s="20"/>
      <c r="P619" s="20"/>
      <c r="Q619" s="20"/>
      <c r="R619" s="20"/>
      <c r="S619" s="20"/>
      <c r="T619" s="20"/>
      <c r="AE619" s="21" t="str">
        <f t="shared" si="100"/>
        <v/>
      </c>
      <c r="AF619" s="21" t="str">
        <f t="shared" ref="AF619:AN619" si="624">if(not(isblank(L619)),", "&amp;L619,"")</f>
        <v/>
      </c>
      <c r="AG619" s="21" t="str">
        <f t="shared" si="624"/>
        <v/>
      </c>
      <c r="AH619" s="21" t="str">
        <f t="shared" si="624"/>
        <v/>
      </c>
      <c r="AI619" s="21" t="str">
        <f t="shared" si="624"/>
        <v/>
      </c>
      <c r="AJ619" s="21" t="str">
        <f t="shared" si="624"/>
        <v/>
      </c>
      <c r="AK619" s="21" t="str">
        <f t="shared" si="624"/>
        <v/>
      </c>
      <c r="AL619" s="21" t="str">
        <f t="shared" si="624"/>
        <v/>
      </c>
      <c r="AM619" s="21" t="str">
        <f t="shared" si="624"/>
        <v/>
      </c>
      <c r="AN619" s="21" t="str">
        <f t="shared" si="624"/>
        <v/>
      </c>
      <c r="AO619" s="21" t="str">
        <f t="shared" si="102"/>
        <v/>
      </c>
    </row>
    <row r="620" ht="16.5" customHeight="1">
      <c r="J620" s="18"/>
      <c r="K620" s="19"/>
      <c r="L620" s="20"/>
      <c r="M620" s="20"/>
      <c r="N620" s="20"/>
      <c r="O620" s="20"/>
      <c r="P620" s="20"/>
      <c r="Q620" s="20"/>
      <c r="R620" s="20"/>
      <c r="S620" s="20"/>
      <c r="T620" s="20"/>
      <c r="AE620" s="21" t="str">
        <f t="shared" si="100"/>
        <v/>
      </c>
      <c r="AF620" s="21" t="str">
        <f t="shared" ref="AF620:AN620" si="625">if(not(isblank(L620)),", "&amp;L620,"")</f>
        <v/>
      </c>
      <c r="AG620" s="21" t="str">
        <f t="shared" si="625"/>
        <v/>
      </c>
      <c r="AH620" s="21" t="str">
        <f t="shared" si="625"/>
        <v/>
      </c>
      <c r="AI620" s="21" t="str">
        <f t="shared" si="625"/>
        <v/>
      </c>
      <c r="AJ620" s="21" t="str">
        <f t="shared" si="625"/>
        <v/>
      </c>
      <c r="AK620" s="21" t="str">
        <f t="shared" si="625"/>
        <v/>
      </c>
      <c r="AL620" s="21" t="str">
        <f t="shared" si="625"/>
        <v/>
      </c>
      <c r="AM620" s="21" t="str">
        <f t="shared" si="625"/>
        <v/>
      </c>
      <c r="AN620" s="21" t="str">
        <f t="shared" si="625"/>
        <v/>
      </c>
      <c r="AO620" s="21" t="str">
        <f t="shared" si="102"/>
        <v/>
      </c>
    </row>
    <row r="621" ht="16.5" customHeight="1">
      <c r="J621" s="18"/>
      <c r="K621" s="19"/>
      <c r="L621" s="20"/>
      <c r="M621" s="20"/>
      <c r="N621" s="20"/>
      <c r="O621" s="20"/>
      <c r="P621" s="20"/>
      <c r="Q621" s="20"/>
      <c r="R621" s="20"/>
      <c r="S621" s="20"/>
      <c r="T621" s="20"/>
      <c r="AE621" s="21" t="str">
        <f t="shared" si="100"/>
        <v/>
      </c>
      <c r="AF621" s="21" t="str">
        <f t="shared" ref="AF621:AN621" si="626">if(not(isblank(L621)),", "&amp;L621,"")</f>
        <v/>
      </c>
      <c r="AG621" s="21" t="str">
        <f t="shared" si="626"/>
        <v/>
      </c>
      <c r="AH621" s="21" t="str">
        <f t="shared" si="626"/>
        <v/>
      </c>
      <c r="AI621" s="21" t="str">
        <f t="shared" si="626"/>
        <v/>
      </c>
      <c r="AJ621" s="21" t="str">
        <f t="shared" si="626"/>
        <v/>
      </c>
      <c r="AK621" s="21" t="str">
        <f t="shared" si="626"/>
        <v/>
      </c>
      <c r="AL621" s="21" t="str">
        <f t="shared" si="626"/>
        <v/>
      </c>
      <c r="AM621" s="21" t="str">
        <f t="shared" si="626"/>
        <v/>
      </c>
      <c r="AN621" s="21" t="str">
        <f t="shared" si="626"/>
        <v/>
      </c>
      <c r="AO621" s="21" t="str">
        <f t="shared" si="102"/>
        <v/>
      </c>
    </row>
    <row r="622" ht="16.5" customHeight="1">
      <c r="J622" s="18"/>
      <c r="K622" s="19"/>
      <c r="L622" s="20"/>
      <c r="M622" s="20"/>
      <c r="N622" s="20"/>
      <c r="O622" s="20"/>
      <c r="P622" s="20"/>
      <c r="Q622" s="20"/>
      <c r="R622" s="20"/>
      <c r="S622" s="20"/>
      <c r="T622" s="20"/>
      <c r="AE622" s="21" t="str">
        <f t="shared" si="100"/>
        <v/>
      </c>
      <c r="AF622" s="21" t="str">
        <f t="shared" ref="AF622:AN622" si="627">if(not(isblank(L622)),", "&amp;L622,"")</f>
        <v/>
      </c>
      <c r="AG622" s="21" t="str">
        <f t="shared" si="627"/>
        <v/>
      </c>
      <c r="AH622" s="21" t="str">
        <f t="shared" si="627"/>
        <v/>
      </c>
      <c r="AI622" s="21" t="str">
        <f t="shared" si="627"/>
        <v/>
      </c>
      <c r="AJ622" s="21" t="str">
        <f t="shared" si="627"/>
        <v/>
      </c>
      <c r="AK622" s="21" t="str">
        <f t="shared" si="627"/>
        <v/>
      </c>
      <c r="AL622" s="21" t="str">
        <f t="shared" si="627"/>
        <v/>
      </c>
      <c r="AM622" s="21" t="str">
        <f t="shared" si="627"/>
        <v/>
      </c>
      <c r="AN622" s="21" t="str">
        <f t="shared" si="627"/>
        <v/>
      </c>
      <c r="AO622" s="21" t="str">
        <f t="shared" si="102"/>
        <v/>
      </c>
    </row>
    <row r="623" ht="16.5" customHeight="1">
      <c r="J623" s="18"/>
      <c r="K623" s="19"/>
      <c r="L623" s="20"/>
      <c r="M623" s="20"/>
      <c r="N623" s="20"/>
      <c r="O623" s="20"/>
      <c r="P623" s="20"/>
      <c r="Q623" s="20"/>
      <c r="R623" s="20"/>
      <c r="S623" s="20"/>
      <c r="T623" s="20"/>
      <c r="AE623" s="21" t="str">
        <f t="shared" si="100"/>
        <v/>
      </c>
      <c r="AF623" s="21" t="str">
        <f t="shared" ref="AF623:AN623" si="628">if(not(isblank(L623)),", "&amp;L623,"")</f>
        <v/>
      </c>
      <c r="AG623" s="21" t="str">
        <f t="shared" si="628"/>
        <v/>
      </c>
      <c r="AH623" s="21" t="str">
        <f t="shared" si="628"/>
        <v/>
      </c>
      <c r="AI623" s="21" t="str">
        <f t="shared" si="628"/>
        <v/>
      </c>
      <c r="AJ623" s="21" t="str">
        <f t="shared" si="628"/>
        <v/>
      </c>
      <c r="AK623" s="21" t="str">
        <f t="shared" si="628"/>
        <v/>
      </c>
      <c r="AL623" s="21" t="str">
        <f t="shared" si="628"/>
        <v/>
      </c>
      <c r="AM623" s="21" t="str">
        <f t="shared" si="628"/>
        <v/>
      </c>
      <c r="AN623" s="21" t="str">
        <f t="shared" si="628"/>
        <v/>
      </c>
      <c r="AO623" s="21" t="str">
        <f t="shared" si="102"/>
        <v/>
      </c>
    </row>
    <row r="624" ht="16.5" customHeight="1">
      <c r="J624" s="18"/>
      <c r="K624" s="19"/>
      <c r="L624" s="20"/>
      <c r="M624" s="20"/>
      <c r="N624" s="20"/>
      <c r="O624" s="20"/>
      <c r="P624" s="20"/>
      <c r="Q624" s="20"/>
      <c r="R624" s="20"/>
      <c r="S624" s="20"/>
      <c r="T624" s="20"/>
      <c r="AE624" s="21" t="str">
        <f t="shared" si="100"/>
        <v/>
      </c>
      <c r="AF624" s="21" t="str">
        <f t="shared" ref="AF624:AN624" si="629">if(not(isblank(L624)),", "&amp;L624,"")</f>
        <v/>
      </c>
      <c r="AG624" s="21" t="str">
        <f t="shared" si="629"/>
        <v/>
      </c>
      <c r="AH624" s="21" t="str">
        <f t="shared" si="629"/>
        <v/>
      </c>
      <c r="AI624" s="21" t="str">
        <f t="shared" si="629"/>
        <v/>
      </c>
      <c r="AJ624" s="21" t="str">
        <f t="shared" si="629"/>
        <v/>
      </c>
      <c r="AK624" s="21" t="str">
        <f t="shared" si="629"/>
        <v/>
      </c>
      <c r="AL624" s="21" t="str">
        <f t="shared" si="629"/>
        <v/>
      </c>
      <c r="AM624" s="21" t="str">
        <f t="shared" si="629"/>
        <v/>
      </c>
      <c r="AN624" s="21" t="str">
        <f t="shared" si="629"/>
        <v/>
      </c>
      <c r="AO624" s="21" t="str">
        <f t="shared" si="102"/>
        <v/>
      </c>
    </row>
    <row r="625" ht="16.5" customHeight="1">
      <c r="J625" s="18"/>
      <c r="K625" s="19"/>
      <c r="L625" s="20"/>
      <c r="M625" s="20"/>
      <c r="N625" s="20"/>
      <c r="O625" s="20"/>
      <c r="P625" s="20"/>
      <c r="Q625" s="20"/>
      <c r="R625" s="20"/>
      <c r="S625" s="20"/>
      <c r="T625" s="20"/>
      <c r="AE625" s="21" t="str">
        <f t="shared" si="100"/>
        <v/>
      </c>
      <c r="AF625" s="21" t="str">
        <f t="shared" ref="AF625:AN625" si="630">if(not(isblank(L625)),", "&amp;L625,"")</f>
        <v/>
      </c>
      <c r="AG625" s="21" t="str">
        <f t="shared" si="630"/>
        <v/>
      </c>
      <c r="AH625" s="21" t="str">
        <f t="shared" si="630"/>
        <v/>
      </c>
      <c r="AI625" s="21" t="str">
        <f t="shared" si="630"/>
        <v/>
      </c>
      <c r="AJ625" s="21" t="str">
        <f t="shared" si="630"/>
        <v/>
      </c>
      <c r="AK625" s="21" t="str">
        <f t="shared" si="630"/>
        <v/>
      </c>
      <c r="AL625" s="21" t="str">
        <f t="shared" si="630"/>
        <v/>
      </c>
      <c r="AM625" s="21" t="str">
        <f t="shared" si="630"/>
        <v/>
      </c>
      <c r="AN625" s="21" t="str">
        <f t="shared" si="630"/>
        <v/>
      </c>
      <c r="AO625" s="21" t="str">
        <f t="shared" si="102"/>
        <v/>
      </c>
    </row>
    <row r="626" ht="16.5" customHeight="1">
      <c r="J626" s="18"/>
      <c r="K626" s="19"/>
      <c r="L626" s="20"/>
      <c r="M626" s="20"/>
      <c r="N626" s="20"/>
      <c r="O626" s="20"/>
      <c r="P626" s="20"/>
      <c r="Q626" s="20"/>
      <c r="R626" s="20"/>
      <c r="S626" s="20"/>
      <c r="T626" s="20"/>
      <c r="AE626" s="21" t="str">
        <f t="shared" si="100"/>
        <v/>
      </c>
      <c r="AF626" s="21" t="str">
        <f t="shared" ref="AF626:AN626" si="631">if(not(isblank(L626)),", "&amp;L626,"")</f>
        <v/>
      </c>
      <c r="AG626" s="21" t="str">
        <f t="shared" si="631"/>
        <v/>
      </c>
      <c r="AH626" s="21" t="str">
        <f t="shared" si="631"/>
        <v/>
      </c>
      <c r="AI626" s="21" t="str">
        <f t="shared" si="631"/>
        <v/>
      </c>
      <c r="AJ626" s="21" t="str">
        <f t="shared" si="631"/>
        <v/>
      </c>
      <c r="AK626" s="21" t="str">
        <f t="shared" si="631"/>
        <v/>
      </c>
      <c r="AL626" s="21" t="str">
        <f t="shared" si="631"/>
        <v/>
      </c>
      <c r="AM626" s="21" t="str">
        <f t="shared" si="631"/>
        <v/>
      </c>
      <c r="AN626" s="21" t="str">
        <f t="shared" si="631"/>
        <v/>
      </c>
      <c r="AO626" s="21" t="str">
        <f t="shared" si="102"/>
        <v/>
      </c>
    </row>
    <row r="627" ht="16.5" customHeight="1">
      <c r="J627" s="18"/>
      <c r="K627" s="19"/>
      <c r="L627" s="20"/>
      <c r="M627" s="20"/>
      <c r="N627" s="20"/>
      <c r="O627" s="20"/>
      <c r="P627" s="20"/>
      <c r="Q627" s="20"/>
      <c r="R627" s="20"/>
      <c r="S627" s="20"/>
      <c r="T627" s="20"/>
      <c r="AE627" s="21" t="str">
        <f t="shared" si="100"/>
        <v/>
      </c>
      <c r="AF627" s="21" t="str">
        <f t="shared" ref="AF627:AN627" si="632">if(not(isblank(L627)),", "&amp;L627,"")</f>
        <v/>
      </c>
      <c r="AG627" s="21" t="str">
        <f t="shared" si="632"/>
        <v/>
      </c>
      <c r="AH627" s="21" t="str">
        <f t="shared" si="632"/>
        <v/>
      </c>
      <c r="AI627" s="21" t="str">
        <f t="shared" si="632"/>
        <v/>
      </c>
      <c r="AJ627" s="21" t="str">
        <f t="shared" si="632"/>
        <v/>
      </c>
      <c r="AK627" s="21" t="str">
        <f t="shared" si="632"/>
        <v/>
      </c>
      <c r="AL627" s="21" t="str">
        <f t="shared" si="632"/>
        <v/>
      </c>
      <c r="AM627" s="21" t="str">
        <f t="shared" si="632"/>
        <v/>
      </c>
      <c r="AN627" s="21" t="str">
        <f t="shared" si="632"/>
        <v/>
      </c>
      <c r="AO627" s="21" t="str">
        <f t="shared" si="102"/>
        <v/>
      </c>
    </row>
    <row r="628" ht="16.5" customHeight="1">
      <c r="J628" s="18"/>
      <c r="K628" s="19"/>
      <c r="L628" s="20"/>
      <c r="M628" s="20"/>
      <c r="N628" s="20"/>
      <c r="O628" s="20"/>
      <c r="P628" s="20"/>
      <c r="Q628" s="20"/>
      <c r="R628" s="20"/>
      <c r="S628" s="20"/>
      <c r="T628" s="20"/>
      <c r="AE628" s="21" t="str">
        <f t="shared" si="100"/>
        <v/>
      </c>
      <c r="AF628" s="21" t="str">
        <f t="shared" ref="AF628:AN628" si="633">if(not(isblank(L628)),", "&amp;L628,"")</f>
        <v/>
      </c>
      <c r="AG628" s="21" t="str">
        <f t="shared" si="633"/>
        <v/>
      </c>
      <c r="AH628" s="21" t="str">
        <f t="shared" si="633"/>
        <v/>
      </c>
      <c r="AI628" s="21" t="str">
        <f t="shared" si="633"/>
        <v/>
      </c>
      <c r="AJ628" s="21" t="str">
        <f t="shared" si="633"/>
        <v/>
      </c>
      <c r="AK628" s="21" t="str">
        <f t="shared" si="633"/>
        <v/>
      </c>
      <c r="AL628" s="21" t="str">
        <f t="shared" si="633"/>
        <v/>
      </c>
      <c r="AM628" s="21" t="str">
        <f t="shared" si="633"/>
        <v/>
      </c>
      <c r="AN628" s="21" t="str">
        <f t="shared" si="633"/>
        <v/>
      </c>
      <c r="AO628" s="21" t="str">
        <f t="shared" si="102"/>
        <v/>
      </c>
    </row>
    <row r="629" ht="16.5" customHeight="1">
      <c r="J629" s="18"/>
      <c r="K629" s="19"/>
      <c r="L629" s="20"/>
      <c r="M629" s="20"/>
      <c r="N629" s="20"/>
      <c r="O629" s="20"/>
      <c r="P629" s="20"/>
      <c r="Q629" s="20"/>
      <c r="R629" s="20"/>
      <c r="S629" s="20"/>
      <c r="T629" s="20"/>
      <c r="AE629" s="21" t="str">
        <f t="shared" si="100"/>
        <v/>
      </c>
      <c r="AF629" s="21" t="str">
        <f t="shared" ref="AF629:AN629" si="634">if(not(isblank(L629)),", "&amp;L629,"")</f>
        <v/>
      </c>
      <c r="AG629" s="21" t="str">
        <f t="shared" si="634"/>
        <v/>
      </c>
      <c r="AH629" s="21" t="str">
        <f t="shared" si="634"/>
        <v/>
      </c>
      <c r="AI629" s="21" t="str">
        <f t="shared" si="634"/>
        <v/>
      </c>
      <c r="AJ629" s="21" t="str">
        <f t="shared" si="634"/>
        <v/>
      </c>
      <c r="AK629" s="21" t="str">
        <f t="shared" si="634"/>
        <v/>
      </c>
      <c r="AL629" s="21" t="str">
        <f t="shared" si="634"/>
        <v/>
      </c>
      <c r="AM629" s="21" t="str">
        <f t="shared" si="634"/>
        <v/>
      </c>
      <c r="AN629" s="21" t="str">
        <f t="shared" si="634"/>
        <v/>
      </c>
      <c r="AO629" s="21" t="str">
        <f t="shared" si="102"/>
        <v/>
      </c>
    </row>
    <row r="630" ht="16.5" customHeight="1">
      <c r="J630" s="18"/>
      <c r="K630" s="19"/>
      <c r="L630" s="20"/>
      <c r="M630" s="20"/>
      <c r="N630" s="20"/>
      <c r="O630" s="20"/>
      <c r="P630" s="20"/>
      <c r="Q630" s="20"/>
      <c r="R630" s="20"/>
      <c r="S630" s="20"/>
      <c r="T630" s="20"/>
      <c r="AE630" s="21" t="str">
        <f t="shared" si="100"/>
        <v/>
      </c>
      <c r="AF630" s="21" t="str">
        <f t="shared" ref="AF630:AN630" si="635">if(not(isblank(L630)),", "&amp;L630,"")</f>
        <v/>
      </c>
      <c r="AG630" s="21" t="str">
        <f t="shared" si="635"/>
        <v/>
      </c>
      <c r="AH630" s="21" t="str">
        <f t="shared" si="635"/>
        <v/>
      </c>
      <c r="AI630" s="21" t="str">
        <f t="shared" si="635"/>
        <v/>
      </c>
      <c r="AJ630" s="21" t="str">
        <f t="shared" si="635"/>
        <v/>
      </c>
      <c r="AK630" s="21" t="str">
        <f t="shared" si="635"/>
        <v/>
      </c>
      <c r="AL630" s="21" t="str">
        <f t="shared" si="635"/>
        <v/>
      </c>
      <c r="AM630" s="21" t="str">
        <f t="shared" si="635"/>
        <v/>
      </c>
      <c r="AN630" s="21" t="str">
        <f t="shared" si="635"/>
        <v/>
      </c>
      <c r="AO630" s="21" t="str">
        <f t="shared" si="102"/>
        <v/>
      </c>
    </row>
    <row r="631" ht="16.5" customHeight="1">
      <c r="J631" s="18"/>
      <c r="K631" s="19"/>
      <c r="L631" s="20"/>
      <c r="M631" s="20"/>
      <c r="N631" s="20"/>
      <c r="O631" s="20"/>
      <c r="P631" s="20"/>
      <c r="Q631" s="20"/>
      <c r="R631" s="20"/>
      <c r="S631" s="20"/>
      <c r="T631" s="20"/>
      <c r="AE631" s="21" t="str">
        <f t="shared" si="100"/>
        <v/>
      </c>
      <c r="AF631" s="21" t="str">
        <f t="shared" ref="AF631:AN631" si="636">if(not(isblank(L631)),", "&amp;L631,"")</f>
        <v/>
      </c>
      <c r="AG631" s="21" t="str">
        <f t="shared" si="636"/>
        <v/>
      </c>
      <c r="AH631" s="21" t="str">
        <f t="shared" si="636"/>
        <v/>
      </c>
      <c r="AI631" s="21" t="str">
        <f t="shared" si="636"/>
        <v/>
      </c>
      <c r="AJ631" s="21" t="str">
        <f t="shared" si="636"/>
        <v/>
      </c>
      <c r="AK631" s="21" t="str">
        <f t="shared" si="636"/>
        <v/>
      </c>
      <c r="AL631" s="21" t="str">
        <f t="shared" si="636"/>
        <v/>
      </c>
      <c r="AM631" s="21" t="str">
        <f t="shared" si="636"/>
        <v/>
      </c>
      <c r="AN631" s="21" t="str">
        <f t="shared" si="636"/>
        <v/>
      </c>
      <c r="AO631" s="21" t="str">
        <f t="shared" si="102"/>
        <v/>
      </c>
    </row>
    <row r="632" ht="16.5" customHeight="1">
      <c r="J632" s="18"/>
      <c r="K632" s="19"/>
      <c r="L632" s="20"/>
      <c r="M632" s="20"/>
      <c r="N632" s="20"/>
      <c r="O632" s="20"/>
      <c r="P632" s="20"/>
      <c r="Q632" s="20"/>
      <c r="R632" s="20"/>
      <c r="S632" s="20"/>
      <c r="T632" s="20"/>
      <c r="AE632" s="21" t="str">
        <f t="shared" si="100"/>
        <v/>
      </c>
      <c r="AF632" s="21" t="str">
        <f t="shared" ref="AF632:AN632" si="637">if(not(isblank(L632)),", "&amp;L632,"")</f>
        <v/>
      </c>
      <c r="AG632" s="21" t="str">
        <f t="shared" si="637"/>
        <v/>
      </c>
      <c r="AH632" s="21" t="str">
        <f t="shared" si="637"/>
        <v/>
      </c>
      <c r="AI632" s="21" t="str">
        <f t="shared" si="637"/>
        <v/>
      </c>
      <c r="AJ632" s="21" t="str">
        <f t="shared" si="637"/>
        <v/>
      </c>
      <c r="AK632" s="21" t="str">
        <f t="shared" si="637"/>
        <v/>
      </c>
      <c r="AL632" s="21" t="str">
        <f t="shared" si="637"/>
        <v/>
      </c>
      <c r="AM632" s="21" t="str">
        <f t="shared" si="637"/>
        <v/>
      </c>
      <c r="AN632" s="21" t="str">
        <f t="shared" si="637"/>
        <v/>
      </c>
      <c r="AO632" s="21" t="str">
        <f t="shared" si="102"/>
        <v/>
      </c>
    </row>
    <row r="633" ht="16.5" customHeight="1">
      <c r="J633" s="18"/>
      <c r="K633" s="19"/>
      <c r="L633" s="20"/>
      <c r="M633" s="20"/>
      <c r="N633" s="20"/>
      <c r="O633" s="20"/>
      <c r="P633" s="20"/>
      <c r="Q633" s="20"/>
      <c r="R633" s="20"/>
      <c r="S633" s="20"/>
      <c r="T633" s="20"/>
      <c r="AE633" s="21" t="str">
        <f t="shared" si="100"/>
        <v/>
      </c>
      <c r="AF633" s="21" t="str">
        <f t="shared" ref="AF633:AN633" si="638">if(not(isblank(L633)),", "&amp;L633,"")</f>
        <v/>
      </c>
      <c r="AG633" s="21" t="str">
        <f t="shared" si="638"/>
        <v/>
      </c>
      <c r="AH633" s="21" t="str">
        <f t="shared" si="638"/>
        <v/>
      </c>
      <c r="AI633" s="21" t="str">
        <f t="shared" si="638"/>
        <v/>
      </c>
      <c r="AJ633" s="21" t="str">
        <f t="shared" si="638"/>
        <v/>
      </c>
      <c r="AK633" s="21" t="str">
        <f t="shared" si="638"/>
        <v/>
      </c>
      <c r="AL633" s="21" t="str">
        <f t="shared" si="638"/>
        <v/>
      </c>
      <c r="AM633" s="21" t="str">
        <f t="shared" si="638"/>
        <v/>
      </c>
      <c r="AN633" s="21" t="str">
        <f t="shared" si="638"/>
        <v/>
      </c>
      <c r="AO633" s="21" t="str">
        <f t="shared" si="102"/>
        <v/>
      </c>
    </row>
    <row r="634" ht="16.5" customHeight="1">
      <c r="J634" s="18"/>
      <c r="K634" s="19"/>
      <c r="L634" s="20"/>
      <c r="M634" s="20"/>
      <c r="N634" s="20"/>
      <c r="O634" s="20"/>
      <c r="P634" s="20"/>
      <c r="Q634" s="20"/>
      <c r="R634" s="20"/>
      <c r="S634" s="20"/>
      <c r="T634" s="20"/>
      <c r="AE634" s="21" t="str">
        <f t="shared" si="100"/>
        <v/>
      </c>
      <c r="AF634" s="21" t="str">
        <f t="shared" ref="AF634:AN634" si="639">if(not(isblank(L634)),", "&amp;L634,"")</f>
        <v/>
      </c>
      <c r="AG634" s="21" t="str">
        <f t="shared" si="639"/>
        <v/>
      </c>
      <c r="AH634" s="21" t="str">
        <f t="shared" si="639"/>
        <v/>
      </c>
      <c r="AI634" s="21" t="str">
        <f t="shared" si="639"/>
        <v/>
      </c>
      <c r="AJ634" s="21" t="str">
        <f t="shared" si="639"/>
        <v/>
      </c>
      <c r="AK634" s="21" t="str">
        <f t="shared" si="639"/>
        <v/>
      </c>
      <c r="AL634" s="21" t="str">
        <f t="shared" si="639"/>
        <v/>
      </c>
      <c r="AM634" s="21" t="str">
        <f t="shared" si="639"/>
        <v/>
      </c>
      <c r="AN634" s="21" t="str">
        <f t="shared" si="639"/>
        <v/>
      </c>
      <c r="AO634" s="21" t="str">
        <f t="shared" si="102"/>
        <v/>
      </c>
    </row>
    <row r="635" ht="16.5" customHeight="1">
      <c r="J635" s="18"/>
      <c r="K635" s="19"/>
      <c r="L635" s="20"/>
      <c r="M635" s="20"/>
      <c r="N635" s="20"/>
      <c r="O635" s="20"/>
      <c r="P635" s="20"/>
      <c r="Q635" s="20"/>
      <c r="R635" s="20"/>
      <c r="S635" s="20"/>
      <c r="T635" s="20"/>
      <c r="AE635" s="21" t="str">
        <f t="shared" si="100"/>
        <v/>
      </c>
      <c r="AF635" s="21" t="str">
        <f t="shared" ref="AF635:AN635" si="640">if(not(isblank(L635)),", "&amp;L635,"")</f>
        <v/>
      </c>
      <c r="AG635" s="21" t="str">
        <f t="shared" si="640"/>
        <v/>
      </c>
      <c r="AH635" s="21" t="str">
        <f t="shared" si="640"/>
        <v/>
      </c>
      <c r="AI635" s="21" t="str">
        <f t="shared" si="640"/>
        <v/>
      </c>
      <c r="AJ635" s="21" t="str">
        <f t="shared" si="640"/>
        <v/>
      </c>
      <c r="AK635" s="21" t="str">
        <f t="shared" si="640"/>
        <v/>
      </c>
      <c r="AL635" s="21" t="str">
        <f t="shared" si="640"/>
        <v/>
      </c>
      <c r="AM635" s="21" t="str">
        <f t="shared" si="640"/>
        <v/>
      </c>
      <c r="AN635" s="21" t="str">
        <f t="shared" si="640"/>
        <v/>
      </c>
      <c r="AO635" s="21" t="str">
        <f t="shared" si="102"/>
        <v/>
      </c>
    </row>
    <row r="636" ht="16.5" customHeight="1">
      <c r="J636" s="18"/>
      <c r="K636" s="19"/>
      <c r="L636" s="20"/>
      <c r="M636" s="20"/>
      <c r="N636" s="20"/>
      <c r="O636" s="20"/>
      <c r="P636" s="20"/>
      <c r="Q636" s="20"/>
      <c r="R636" s="20"/>
      <c r="S636" s="20"/>
      <c r="T636" s="20"/>
      <c r="AE636" s="21" t="str">
        <f t="shared" si="100"/>
        <v/>
      </c>
      <c r="AF636" s="21" t="str">
        <f t="shared" ref="AF636:AN636" si="641">if(not(isblank(L636)),", "&amp;L636,"")</f>
        <v/>
      </c>
      <c r="AG636" s="21" t="str">
        <f t="shared" si="641"/>
        <v/>
      </c>
      <c r="AH636" s="21" t="str">
        <f t="shared" si="641"/>
        <v/>
      </c>
      <c r="AI636" s="21" t="str">
        <f t="shared" si="641"/>
        <v/>
      </c>
      <c r="AJ636" s="21" t="str">
        <f t="shared" si="641"/>
        <v/>
      </c>
      <c r="AK636" s="21" t="str">
        <f t="shared" si="641"/>
        <v/>
      </c>
      <c r="AL636" s="21" t="str">
        <f t="shared" si="641"/>
        <v/>
      </c>
      <c r="AM636" s="21" t="str">
        <f t="shared" si="641"/>
        <v/>
      </c>
      <c r="AN636" s="21" t="str">
        <f t="shared" si="641"/>
        <v/>
      </c>
      <c r="AO636" s="21" t="str">
        <f t="shared" si="102"/>
        <v/>
      </c>
    </row>
    <row r="637" ht="16.5" customHeight="1">
      <c r="J637" s="18"/>
      <c r="K637" s="19"/>
      <c r="L637" s="20"/>
      <c r="M637" s="20"/>
      <c r="N637" s="20"/>
      <c r="O637" s="20"/>
      <c r="P637" s="20"/>
      <c r="Q637" s="20"/>
      <c r="R637" s="20"/>
      <c r="S637" s="20"/>
      <c r="T637" s="20"/>
      <c r="AE637" s="21" t="str">
        <f t="shared" si="100"/>
        <v/>
      </c>
      <c r="AF637" s="21" t="str">
        <f t="shared" ref="AF637:AN637" si="642">if(not(isblank(L637)),", "&amp;L637,"")</f>
        <v/>
      </c>
      <c r="AG637" s="21" t="str">
        <f t="shared" si="642"/>
        <v/>
      </c>
      <c r="AH637" s="21" t="str">
        <f t="shared" si="642"/>
        <v/>
      </c>
      <c r="AI637" s="21" t="str">
        <f t="shared" si="642"/>
        <v/>
      </c>
      <c r="AJ637" s="21" t="str">
        <f t="shared" si="642"/>
        <v/>
      </c>
      <c r="AK637" s="21" t="str">
        <f t="shared" si="642"/>
        <v/>
      </c>
      <c r="AL637" s="21" t="str">
        <f t="shared" si="642"/>
        <v/>
      </c>
      <c r="AM637" s="21" t="str">
        <f t="shared" si="642"/>
        <v/>
      </c>
      <c r="AN637" s="21" t="str">
        <f t="shared" si="642"/>
        <v/>
      </c>
      <c r="AO637" s="21" t="str">
        <f t="shared" si="102"/>
        <v/>
      </c>
    </row>
    <row r="638" ht="16.5" customHeight="1">
      <c r="J638" s="18"/>
      <c r="K638" s="19"/>
      <c r="L638" s="20"/>
      <c r="M638" s="20"/>
      <c r="N638" s="20"/>
      <c r="O638" s="20"/>
      <c r="P638" s="20"/>
      <c r="Q638" s="20"/>
      <c r="R638" s="20"/>
      <c r="S638" s="20"/>
      <c r="T638" s="20"/>
      <c r="AE638" s="21" t="str">
        <f t="shared" si="100"/>
        <v/>
      </c>
      <c r="AF638" s="21" t="str">
        <f t="shared" ref="AF638:AN638" si="643">if(not(isblank(L638)),", "&amp;L638,"")</f>
        <v/>
      </c>
      <c r="AG638" s="21" t="str">
        <f t="shared" si="643"/>
        <v/>
      </c>
      <c r="AH638" s="21" t="str">
        <f t="shared" si="643"/>
        <v/>
      </c>
      <c r="AI638" s="21" t="str">
        <f t="shared" si="643"/>
        <v/>
      </c>
      <c r="AJ638" s="21" t="str">
        <f t="shared" si="643"/>
        <v/>
      </c>
      <c r="AK638" s="21" t="str">
        <f t="shared" si="643"/>
        <v/>
      </c>
      <c r="AL638" s="21" t="str">
        <f t="shared" si="643"/>
        <v/>
      </c>
      <c r="AM638" s="21" t="str">
        <f t="shared" si="643"/>
        <v/>
      </c>
      <c r="AN638" s="21" t="str">
        <f t="shared" si="643"/>
        <v/>
      </c>
      <c r="AO638" s="21" t="str">
        <f t="shared" si="102"/>
        <v/>
      </c>
    </row>
    <row r="639" ht="16.5" customHeight="1">
      <c r="J639" s="18"/>
      <c r="K639" s="19"/>
      <c r="L639" s="20"/>
      <c r="M639" s="20"/>
      <c r="N639" s="20"/>
      <c r="O639" s="20"/>
      <c r="P639" s="20"/>
      <c r="Q639" s="20"/>
      <c r="R639" s="20"/>
      <c r="S639" s="20"/>
      <c r="T639" s="20"/>
      <c r="AE639" s="21" t="str">
        <f t="shared" si="100"/>
        <v/>
      </c>
      <c r="AF639" s="21" t="str">
        <f t="shared" ref="AF639:AN639" si="644">if(not(isblank(L639)),", "&amp;L639,"")</f>
        <v/>
      </c>
      <c r="AG639" s="21" t="str">
        <f t="shared" si="644"/>
        <v/>
      </c>
      <c r="AH639" s="21" t="str">
        <f t="shared" si="644"/>
        <v/>
      </c>
      <c r="AI639" s="21" t="str">
        <f t="shared" si="644"/>
        <v/>
      </c>
      <c r="AJ639" s="21" t="str">
        <f t="shared" si="644"/>
        <v/>
      </c>
      <c r="AK639" s="21" t="str">
        <f t="shared" si="644"/>
        <v/>
      </c>
      <c r="AL639" s="21" t="str">
        <f t="shared" si="644"/>
        <v/>
      </c>
      <c r="AM639" s="21" t="str">
        <f t="shared" si="644"/>
        <v/>
      </c>
      <c r="AN639" s="21" t="str">
        <f t="shared" si="644"/>
        <v/>
      </c>
      <c r="AO639" s="21" t="str">
        <f t="shared" si="102"/>
        <v/>
      </c>
    </row>
    <row r="640" ht="16.5" customHeight="1">
      <c r="J640" s="18"/>
      <c r="K640" s="19"/>
      <c r="L640" s="20"/>
      <c r="M640" s="20"/>
      <c r="N640" s="20"/>
      <c r="O640" s="20"/>
      <c r="P640" s="20"/>
      <c r="Q640" s="20"/>
      <c r="R640" s="20"/>
      <c r="S640" s="20"/>
      <c r="T640" s="20"/>
      <c r="AE640" s="21" t="str">
        <f t="shared" si="100"/>
        <v/>
      </c>
      <c r="AF640" s="21" t="str">
        <f t="shared" ref="AF640:AN640" si="645">if(not(isblank(L640)),", "&amp;L640,"")</f>
        <v/>
      </c>
      <c r="AG640" s="21" t="str">
        <f t="shared" si="645"/>
        <v/>
      </c>
      <c r="AH640" s="21" t="str">
        <f t="shared" si="645"/>
        <v/>
      </c>
      <c r="AI640" s="21" t="str">
        <f t="shared" si="645"/>
        <v/>
      </c>
      <c r="AJ640" s="21" t="str">
        <f t="shared" si="645"/>
        <v/>
      </c>
      <c r="AK640" s="21" t="str">
        <f t="shared" si="645"/>
        <v/>
      </c>
      <c r="AL640" s="21" t="str">
        <f t="shared" si="645"/>
        <v/>
      </c>
      <c r="AM640" s="21" t="str">
        <f t="shared" si="645"/>
        <v/>
      </c>
      <c r="AN640" s="21" t="str">
        <f t="shared" si="645"/>
        <v/>
      </c>
      <c r="AO640" s="21" t="str">
        <f t="shared" si="102"/>
        <v/>
      </c>
    </row>
    <row r="641" ht="16.5" customHeight="1">
      <c r="J641" s="18"/>
      <c r="K641" s="19"/>
      <c r="L641" s="20"/>
      <c r="M641" s="20"/>
      <c r="N641" s="20"/>
      <c r="O641" s="20"/>
      <c r="P641" s="20"/>
      <c r="Q641" s="20"/>
      <c r="R641" s="20"/>
      <c r="S641" s="20"/>
      <c r="T641" s="20"/>
      <c r="AE641" s="21" t="str">
        <f t="shared" si="100"/>
        <v/>
      </c>
      <c r="AF641" s="21" t="str">
        <f t="shared" ref="AF641:AN641" si="646">if(not(isblank(L641)),", "&amp;L641,"")</f>
        <v/>
      </c>
      <c r="AG641" s="21" t="str">
        <f t="shared" si="646"/>
        <v/>
      </c>
      <c r="AH641" s="21" t="str">
        <f t="shared" si="646"/>
        <v/>
      </c>
      <c r="AI641" s="21" t="str">
        <f t="shared" si="646"/>
        <v/>
      </c>
      <c r="AJ641" s="21" t="str">
        <f t="shared" si="646"/>
        <v/>
      </c>
      <c r="AK641" s="21" t="str">
        <f t="shared" si="646"/>
        <v/>
      </c>
      <c r="AL641" s="21" t="str">
        <f t="shared" si="646"/>
        <v/>
      </c>
      <c r="AM641" s="21" t="str">
        <f t="shared" si="646"/>
        <v/>
      </c>
      <c r="AN641" s="21" t="str">
        <f t="shared" si="646"/>
        <v/>
      </c>
      <c r="AO641" s="21" t="str">
        <f t="shared" si="102"/>
        <v/>
      </c>
    </row>
    <row r="642" ht="16.5" customHeight="1">
      <c r="J642" s="18"/>
      <c r="K642" s="19"/>
      <c r="L642" s="20"/>
      <c r="M642" s="20"/>
      <c r="N642" s="20"/>
      <c r="O642" s="20"/>
      <c r="P642" s="20"/>
      <c r="Q642" s="20"/>
      <c r="R642" s="20"/>
      <c r="S642" s="20"/>
      <c r="T642" s="20"/>
      <c r="AE642" s="21" t="str">
        <f t="shared" si="100"/>
        <v/>
      </c>
      <c r="AF642" s="21" t="str">
        <f t="shared" ref="AF642:AN642" si="647">if(not(isblank(L642)),", "&amp;L642,"")</f>
        <v/>
      </c>
      <c r="AG642" s="21" t="str">
        <f t="shared" si="647"/>
        <v/>
      </c>
      <c r="AH642" s="21" t="str">
        <f t="shared" si="647"/>
        <v/>
      </c>
      <c r="AI642" s="21" t="str">
        <f t="shared" si="647"/>
        <v/>
      </c>
      <c r="AJ642" s="21" t="str">
        <f t="shared" si="647"/>
        <v/>
      </c>
      <c r="AK642" s="21" t="str">
        <f t="shared" si="647"/>
        <v/>
      </c>
      <c r="AL642" s="21" t="str">
        <f t="shared" si="647"/>
        <v/>
      </c>
      <c r="AM642" s="21" t="str">
        <f t="shared" si="647"/>
        <v/>
      </c>
      <c r="AN642" s="21" t="str">
        <f t="shared" si="647"/>
        <v/>
      </c>
      <c r="AO642" s="21" t="str">
        <f t="shared" si="102"/>
        <v/>
      </c>
    </row>
    <row r="643" ht="16.5" customHeight="1">
      <c r="J643" s="18"/>
      <c r="K643" s="19"/>
      <c r="L643" s="20"/>
      <c r="M643" s="20"/>
      <c r="N643" s="20"/>
      <c r="O643" s="20"/>
      <c r="P643" s="20"/>
      <c r="Q643" s="20"/>
      <c r="R643" s="20"/>
      <c r="S643" s="20"/>
      <c r="T643" s="20"/>
      <c r="AE643" s="21" t="str">
        <f t="shared" si="100"/>
        <v/>
      </c>
      <c r="AF643" s="21" t="str">
        <f t="shared" ref="AF643:AN643" si="648">if(not(isblank(L643)),", "&amp;L643,"")</f>
        <v/>
      </c>
      <c r="AG643" s="21" t="str">
        <f t="shared" si="648"/>
        <v/>
      </c>
      <c r="AH643" s="21" t="str">
        <f t="shared" si="648"/>
        <v/>
      </c>
      <c r="AI643" s="21" t="str">
        <f t="shared" si="648"/>
        <v/>
      </c>
      <c r="AJ643" s="21" t="str">
        <f t="shared" si="648"/>
        <v/>
      </c>
      <c r="AK643" s="21" t="str">
        <f t="shared" si="648"/>
        <v/>
      </c>
      <c r="AL643" s="21" t="str">
        <f t="shared" si="648"/>
        <v/>
      </c>
      <c r="AM643" s="21" t="str">
        <f t="shared" si="648"/>
        <v/>
      </c>
      <c r="AN643" s="21" t="str">
        <f t="shared" si="648"/>
        <v/>
      </c>
      <c r="AO643" s="21" t="str">
        <f t="shared" si="102"/>
        <v/>
      </c>
    </row>
    <row r="644" ht="16.5" customHeight="1">
      <c r="J644" s="18"/>
      <c r="K644" s="19"/>
      <c r="L644" s="20"/>
      <c r="M644" s="20"/>
      <c r="N644" s="20"/>
      <c r="O644" s="20"/>
      <c r="P644" s="20"/>
      <c r="Q644" s="20"/>
      <c r="R644" s="20"/>
      <c r="S644" s="20"/>
      <c r="T644" s="20"/>
      <c r="AE644" s="21" t="str">
        <f t="shared" si="100"/>
        <v/>
      </c>
      <c r="AF644" s="21" t="str">
        <f t="shared" ref="AF644:AN644" si="649">if(not(isblank(L644)),", "&amp;L644,"")</f>
        <v/>
      </c>
      <c r="AG644" s="21" t="str">
        <f t="shared" si="649"/>
        <v/>
      </c>
      <c r="AH644" s="21" t="str">
        <f t="shared" si="649"/>
        <v/>
      </c>
      <c r="AI644" s="21" t="str">
        <f t="shared" si="649"/>
        <v/>
      </c>
      <c r="AJ644" s="21" t="str">
        <f t="shared" si="649"/>
        <v/>
      </c>
      <c r="AK644" s="21" t="str">
        <f t="shared" si="649"/>
        <v/>
      </c>
      <c r="AL644" s="21" t="str">
        <f t="shared" si="649"/>
        <v/>
      </c>
      <c r="AM644" s="21" t="str">
        <f t="shared" si="649"/>
        <v/>
      </c>
      <c r="AN644" s="21" t="str">
        <f t="shared" si="649"/>
        <v/>
      </c>
      <c r="AO644" s="21" t="str">
        <f t="shared" si="102"/>
        <v/>
      </c>
    </row>
    <row r="645" ht="16.5" customHeight="1">
      <c r="J645" s="18"/>
      <c r="K645" s="19"/>
      <c r="L645" s="20"/>
      <c r="M645" s="20"/>
      <c r="N645" s="20"/>
      <c r="O645" s="20"/>
      <c r="P645" s="20"/>
      <c r="Q645" s="20"/>
      <c r="R645" s="20"/>
      <c r="S645" s="20"/>
      <c r="T645" s="20"/>
      <c r="AE645" s="21" t="str">
        <f t="shared" si="100"/>
        <v/>
      </c>
      <c r="AF645" s="21" t="str">
        <f t="shared" ref="AF645:AN645" si="650">if(not(isblank(L645)),", "&amp;L645,"")</f>
        <v/>
      </c>
      <c r="AG645" s="21" t="str">
        <f t="shared" si="650"/>
        <v/>
      </c>
      <c r="AH645" s="21" t="str">
        <f t="shared" si="650"/>
        <v/>
      </c>
      <c r="AI645" s="21" t="str">
        <f t="shared" si="650"/>
        <v/>
      </c>
      <c r="AJ645" s="21" t="str">
        <f t="shared" si="650"/>
        <v/>
      </c>
      <c r="AK645" s="21" t="str">
        <f t="shared" si="650"/>
        <v/>
      </c>
      <c r="AL645" s="21" t="str">
        <f t="shared" si="650"/>
        <v/>
      </c>
      <c r="AM645" s="21" t="str">
        <f t="shared" si="650"/>
        <v/>
      </c>
      <c r="AN645" s="21" t="str">
        <f t="shared" si="650"/>
        <v/>
      </c>
      <c r="AO645" s="21" t="str">
        <f t="shared" si="102"/>
        <v/>
      </c>
    </row>
    <row r="646" ht="16.5" customHeight="1">
      <c r="J646" s="18"/>
      <c r="K646" s="19"/>
      <c r="L646" s="20"/>
      <c r="M646" s="20"/>
      <c r="N646" s="20"/>
      <c r="O646" s="20"/>
      <c r="P646" s="20"/>
      <c r="Q646" s="20"/>
      <c r="R646" s="20"/>
      <c r="S646" s="20"/>
      <c r="T646" s="20"/>
      <c r="AE646" s="21" t="str">
        <f t="shared" si="100"/>
        <v/>
      </c>
      <c r="AF646" s="21" t="str">
        <f t="shared" ref="AF646:AN646" si="651">if(not(isblank(L646)),", "&amp;L646,"")</f>
        <v/>
      </c>
      <c r="AG646" s="21" t="str">
        <f t="shared" si="651"/>
        <v/>
      </c>
      <c r="AH646" s="21" t="str">
        <f t="shared" si="651"/>
        <v/>
      </c>
      <c r="AI646" s="21" t="str">
        <f t="shared" si="651"/>
        <v/>
      </c>
      <c r="AJ646" s="21" t="str">
        <f t="shared" si="651"/>
        <v/>
      </c>
      <c r="AK646" s="21" t="str">
        <f t="shared" si="651"/>
        <v/>
      </c>
      <c r="AL646" s="21" t="str">
        <f t="shared" si="651"/>
        <v/>
      </c>
      <c r="AM646" s="21" t="str">
        <f t="shared" si="651"/>
        <v/>
      </c>
      <c r="AN646" s="21" t="str">
        <f t="shared" si="651"/>
        <v/>
      </c>
      <c r="AO646" s="21" t="str">
        <f t="shared" si="102"/>
        <v/>
      </c>
    </row>
    <row r="647" ht="16.5" customHeight="1">
      <c r="J647" s="18"/>
      <c r="K647" s="19"/>
      <c r="L647" s="20"/>
      <c r="M647" s="20"/>
      <c r="N647" s="20"/>
      <c r="O647" s="20"/>
      <c r="P647" s="20"/>
      <c r="Q647" s="20"/>
      <c r="R647" s="20"/>
      <c r="S647" s="20"/>
      <c r="T647" s="20"/>
      <c r="AE647" s="21" t="str">
        <f t="shared" si="100"/>
        <v/>
      </c>
      <c r="AF647" s="21" t="str">
        <f t="shared" ref="AF647:AN647" si="652">if(not(isblank(L647)),", "&amp;L647,"")</f>
        <v/>
      </c>
      <c r="AG647" s="21" t="str">
        <f t="shared" si="652"/>
        <v/>
      </c>
      <c r="AH647" s="21" t="str">
        <f t="shared" si="652"/>
        <v/>
      </c>
      <c r="AI647" s="21" t="str">
        <f t="shared" si="652"/>
        <v/>
      </c>
      <c r="AJ647" s="21" t="str">
        <f t="shared" si="652"/>
        <v/>
      </c>
      <c r="AK647" s="21" t="str">
        <f t="shared" si="652"/>
        <v/>
      </c>
      <c r="AL647" s="21" t="str">
        <f t="shared" si="652"/>
        <v/>
      </c>
      <c r="AM647" s="21" t="str">
        <f t="shared" si="652"/>
        <v/>
      </c>
      <c r="AN647" s="21" t="str">
        <f t="shared" si="652"/>
        <v/>
      </c>
      <c r="AO647" s="21" t="str">
        <f t="shared" si="102"/>
        <v/>
      </c>
    </row>
    <row r="648" ht="16.5" customHeight="1">
      <c r="J648" s="18"/>
      <c r="K648" s="19"/>
      <c r="L648" s="20"/>
      <c r="M648" s="20"/>
      <c r="N648" s="20"/>
      <c r="O648" s="20"/>
      <c r="P648" s="20"/>
      <c r="Q648" s="20"/>
      <c r="R648" s="20"/>
      <c r="S648" s="20"/>
      <c r="T648" s="20"/>
      <c r="AE648" s="21" t="str">
        <f t="shared" si="100"/>
        <v/>
      </c>
      <c r="AF648" s="21" t="str">
        <f t="shared" ref="AF648:AN648" si="653">if(not(isblank(L648)),", "&amp;L648,"")</f>
        <v/>
      </c>
      <c r="AG648" s="21" t="str">
        <f t="shared" si="653"/>
        <v/>
      </c>
      <c r="AH648" s="21" t="str">
        <f t="shared" si="653"/>
        <v/>
      </c>
      <c r="AI648" s="21" t="str">
        <f t="shared" si="653"/>
        <v/>
      </c>
      <c r="AJ648" s="21" t="str">
        <f t="shared" si="653"/>
        <v/>
      </c>
      <c r="AK648" s="21" t="str">
        <f t="shared" si="653"/>
        <v/>
      </c>
      <c r="AL648" s="21" t="str">
        <f t="shared" si="653"/>
        <v/>
      </c>
      <c r="AM648" s="21" t="str">
        <f t="shared" si="653"/>
        <v/>
      </c>
      <c r="AN648" s="21" t="str">
        <f t="shared" si="653"/>
        <v/>
      </c>
      <c r="AO648" s="21" t="str">
        <f t="shared" si="102"/>
        <v/>
      </c>
    </row>
    <row r="649" ht="16.5" customHeight="1">
      <c r="J649" s="18"/>
      <c r="K649" s="19"/>
      <c r="L649" s="20"/>
      <c r="M649" s="20"/>
      <c r="N649" s="20"/>
      <c r="O649" s="20"/>
      <c r="P649" s="20"/>
      <c r="Q649" s="20"/>
      <c r="R649" s="20"/>
      <c r="S649" s="20"/>
      <c r="T649" s="20"/>
      <c r="AE649" s="21" t="str">
        <f t="shared" si="100"/>
        <v/>
      </c>
      <c r="AF649" s="21" t="str">
        <f t="shared" ref="AF649:AN649" si="654">if(not(isblank(L649)),", "&amp;L649,"")</f>
        <v/>
      </c>
      <c r="AG649" s="21" t="str">
        <f t="shared" si="654"/>
        <v/>
      </c>
      <c r="AH649" s="21" t="str">
        <f t="shared" si="654"/>
        <v/>
      </c>
      <c r="AI649" s="21" t="str">
        <f t="shared" si="654"/>
        <v/>
      </c>
      <c r="AJ649" s="21" t="str">
        <f t="shared" si="654"/>
        <v/>
      </c>
      <c r="AK649" s="21" t="str">
        <f t="shared" si="654"/>
        <v/>
      </c>
      <c r="AL649" s="21" t="str">
        <f t="shared" si="654"/>
        <v/>
      </c>
      <c r="AM649" s="21" t="str">
        <f t="shared" si="654"/>
        <v/>
      </c>
      <c r="AN649" s="21" t="str">
        <f t="shared" si="654"/>
        <v/>
      </c>
      <c r="AO649" s="21" t="str">
        <f t="shared" si="102"/>
        <v/>
      </c>
    </row>
    <row r="650" ht="16.5" customHeight="1">
      <c r="J650" s="18"/>
      <c r="K650" s="19"/>
      <c r="L650" s="20"/>
      <c r="M650" s="20"/>
      <c r="N650" s="20"/>
      <c r="O650" s="20"/>
      <c r="P650" s="20"/>
      <c r="Q650" s="20"/>
      <c r="R650" s="20"/>
      <c r="S650" s="20"/>
      <c r="T650" s="20"/>
      <c r="AE650" s="21" t="str">
        <f t="shared" si="100"/>
        <v/>
      </c>
      <c r="AF650" s="21" t="str">
        <f t="shared" ref="AF650:AN650" si="655">if(not(isblank(L650)),", "&amp;L650,"")</f>
        <v/>
      </c>
      <c r="AG650" s="21" t="str">
        <f t="shared" si="655"/>
        <v/>
      </c>
      <c r="AH650" s="21" t="str">
        <f t="shared" si="655"/>
        <v/>
      </c>
      <c r="AI650" s="21" t="str">
        <f t="shared" si="655"/>
        <v/>
      </c>
      <c r="AJ650" s="21" t="str">
        <f t="shared" si="655"/>
        <v/>
      </c>
      <c r="AK650" s="21" t="str">
        <f t="shared" si="655"/>
        <v/>
      </c>
      <c r="AL650" s="21" t="str">
        <f t="shared" si="655"/>
        <v/>
      </c>
      <c r="AM650" s="21" t="str">
        <f t="shared" si="655"/>
        <v/>
      </c>
      <c r="AN650" s="21" t="str">
        <f t="shared" si="655"/>
        <v/>
      </c>
      <c r="AO650" s="21" t="str">
        <f t="shared" si="102"/>
        <v/>
      </c>
    </row>
    <row r="651" ht="16.5" customHeight="1">
      <c r="J651" s="18"/>
      <c r="K651" s="19"/>
      <c r="L651" s="20"/>
      <c r="M651" s="20"/>
      <c r="N651" s="20"/>
      <c r="O651" s="20"/>
      <c r="P651" s="20"/>
      <c r="Q651" s="20"/>
      <c r="R651" s="20"/>
      <c r="S651" s="20"/>
      <c r="T651" s="20"/>
      <c r="AE651" s="21" t="str">
        <f t="shared" si="100"/>
        <v/>
      </c>
      <c r="AF651" s="21" t="str">
        <f t="shared" ref="AF651:AN651" si="656">if(not(isblank(L651)),", "&amp;L651,"")</f>
        <v/>
      </c>
      <c r="AG651" s="21" t="str">
        <f t="shared" si="656"/>
        <v/>
      </c>
      <c r="AH651" s="21" t="str">
        <f t="shared" si="656"/>
        <v/>
      </c>
      <c r="AI651" s="21" t="str">
        <f t="shared" si="656"/>
        <v/>
      </c>
      <c r="AJ651" s="21" t="str">
        <f t="shared" si="656"/>
        <v/>
      </c>
      <c r="AK651" s="21" t="str">
        <f t="shared" si="656"/>
        <v/>
      </c>
      <c r="AL651" s="21" t="str">
        <f t="shared" si="656"/>
        <v/>
      </c>
      <c r="AM651" s="21" t="str">
        <f t="shared" si="656"/>
        <v/>
      </c>
      <c r="AN651" s="21" t="str">
        <f t="shared" si="656"/>
        <v/>
      </c>
      <c r="AO651" s="21" t="str">
        <f t="shared" si="102"/>
        <v/>
      </c>
    </row>
    <row r="652" ht="16.5" customHeight="1">
      <c r="J652" s="18"/>
      <c r="K652" s="19"/>
      <c r="L652" s="20"/>
      <c r="M652" s="20"/>
      <c r="N652" s="20"/>
      <c r="O652" s="20"/>
      <c r="P652" s="20"/>
      <c r="Q652" s="20"/>
      <c r="R652" s="20"/>
      <c r="S652" s="20"/>
      <c r="T652" s="20"/>
      <c r="AE652" s="21" t="str">
        <f t="shared" si="100"/>
        <v/>
      </c>
      <c r="AF652" s="21" t="str">
        <f t="shared" ref="AF652:AN652" si="657">if(not(isblank(L652)),", "&amp;L652,"")</f>
        <v/>
      </c>
      <c r="AG652" s="21" t="str">
        <f t="shared" si="657"/>
        <v/>
      </c>
      <c r="AH652" s="21" t="str">
        <f t="shared" si="657"/>
        <v/>
      </c>
      <c r="AI652" s="21" t="str">
        <f t="shared" si="657"/>
        <v/>
      </c>
      <c r="AJ652" s="21" t="str">
        <f t="shared" si="657"/>
        <v/>
      </c>
      <c r="AK652" s="21" t="str">
        <f t="shared" si="657"/>
        <v/>
      </c>
      <c r="AL652" s="21" t="str">
        <f t="shared" si="657"/>
        <v/>
      </c>
      <c r="AM652" s="21" t="str">
        <f t="shared" si="657"/>
        <v/>
      </c>
      <c r="AN652" s="21" t="str">
        <f t="shared" si="657"/>
        <v/>
      </c>
      <c r="AO652" s="21" t="str">
        <f t="shared" si="102"/>
        <v/>
      </c>
    </row>
    <row r="653" ht="16.5" customHeight="1">
      <c r="J653" s="18"/>
      <c r="K653" s="19"/>
      <c r="L653" s="20"/>
      <c r="M653" s="20"/>
      <c r="N653" s="20"/>
      <c r="O653" s="20"/>
      <c r="P653" s="20"/>
      <c r="Q653" s="20"/>
      <c r="R653" s="20"/>
      <c r="S653" s="20"/>
      <c r="T653" s="20"/>
      <c r="AE653" s="21" t="str">
        <f t="shared" si="100"/>
        <v/>
      </c>
      <c r="AF653" s="21" t="str">
        <f t="shared" ref="AF653:AN653" si="658">if(not(isblank(L653)),", "&amp;L653,"")</f>
        <v/>
      </c>
      <c r="AG653" s="21" t="str">
        <f t="shared" si="658"/>
        <v/>
      </c>
      <c r="AH653" s="21" t="str">
        <f t="shared" si="658"/>
        <v/>
      </c>
      <c r="AI653" s="21" t="str">
        <f t="shared" si="658"/>
        <v/>
      </c>
      <c r="AJ653" s="21" t="str">
        <f t="shared" si="658"/>
        <v/>
      </c>
      <c r="AK653" s="21" t="str">
        <f t="shared" si="658"/>
        <v/>
      </c>
      <c r="AL653" s="21" t="str">
        <f t="shared" si="658"/>
        <v/>
      </c>
      <c r="AM653" s="21" t="str">
        <f t="shared" si="658"/>
        <v/>
      </c>
      <c r="AN653" s="21" t="str">
        <f t="shared" si="658"/>
        <v/>
      </c>
      <c r="AO653" s="21" t="str">
        <f t="shared" si="102"/>
        <v/>
      </c>
    </row>
    <row r="654" ht="16.5" customHeight="1">
      <c r="J654" s="18"/>
      <c r="K654" s="19"/>
      <c r="L654" s="20"/>
      <c r="M654" s="20"/>
      <c r="N654" s="20"/>
      <c r="O654" s="20"/>
      <c r="P654" s="20"/>
      <c r="Q654" s="20"/>
      <c r="R654" s="20"/>
      <c r="S654" s="20"/>
      <c r="T654" s="20"/>
      <c r="AE654" s="21" t="str">
        <f t="shared" si="100"/>
        <v/>
      </c>
      <c r="AF654" s="21" t="str">
        <f t="shared" ref="AF654:AN654" si="659">if(not(isblank(L654)),", "&amp;L654,"")</f>
        <v/>
      </c>
      <c r="AG654" s="21" t="str">
        <f t="shared" si="659"/>
        <v/>
      </c>
      <c r="AH654" s="21" t="str">
        <f t="shared" si="659"/>
        <v/>
      </c>
      <c r="AI654" s="21" t="str">
        <f t="shared" si="659"/>
        <v/>
      </c>
      <c r="AJ654" s="21" t="str">
        <f t="shared" si="659"/>
        <v/>
      </c>
      <c r="AK654" s="21" t="str">
        <f t="shared" si="659"/>
        <v/>
      </c>
      <c r="AL654" s="21" t="str">
        <f t="shared" si="659"/>
        <v/>
      </c>
      <c r="AM654" s="21" t="str">
        <f t="shared" si="659"/>
        <v/>
      </c>
      <c r="AN654" s="21" t="str">
        <f t="shared" si="659"/>
        <v/>
      </c>
      <c r="AO654" s="21" t="str">
        <f t="shared" si="102"/>
        <v/>
      </c>
    </row>
    <row r="655" ht="16.5" customHeight="1">
      <c r="J655" s="18"/>
      <c r="K655" s="19"/>
      <c r="L655" s="20"/>
      <c r="M655" s="20"/>
      <c r="N655" s="20"/>
      <c r="O655" s="20"/>
      <c r="P655" s="20"/>
      <c r="Q655" s="20"/>
      <c r="R655" s="20"/>
      <c r="S655" s="20"/>
      <c r="T655" s="20"/>
      <c r="AE655" s="21" t="str">
        <f t="shared" si="100"/>
        <v/>
      </c>
      <c r="AF655" s="21" t="str">
        <f t="shared" ref="AF655:AN655" si="660">if(not(isblank(L655)),", "&amp;L655,"")</f>
        <v/>
      </c>
      <c r="AG655" s="21" t="str">
        <f t="shared" si="660"/>
        <v/>
      </c>
      <c r="AH655" s="21" t="str">
        <f t="shared" si="660"/>
        <v/>
      </c>
      <c r="AI655" s="21" t="str">
        <f t="shared" si="660"/>
        <v/>
      </c>
      <c r="AJ655" s="21" t="str">
        <f t="shared" si="660"/>
        <v/>
      </c>
      <c r="AK655" s="21" t="str">
        <f t="shared" si="660"/>
        <v/>
      </c>
      <c r="AL655" s="21" t="str">
        <f t="shared" si="660"/>
        <v/>
      </c>
      <c r="AM655" s="21" t="str">
        <f t="shared" si="660"/>
        <v/>
      </c>
      <c r="AN655" s="21" t="str">
        <f t="shared" si="660"/>
        <v/>
      </c>
      <c r="AO655" s="21" t="str">
        <f t="shared" si="102"/>
        <v/>
      </c>
    </row>
    <row r="656" ht="16.5" customHeight="1">
      <c r="J656" s="18"/>
      <c r="K656" s="19"/>
      <c r="L656" s="20"/>
      <c r="M656" s="20"/>
      <c r="N656" s="20"/>
      <c r="O656" s="20"/>
      <c r="P656" s="20"/>
      <c r="Q656" s="20"/>
      <c r="R656" s="20"/>
      <c r="S656" s="20"/>
      <c r="T656" s="20"/>
      <c r="AE656" s="21" t="str">
        <f t="shared" si="100"/>
        <v/>
      </c>
      <c r="AF656" s="21" t="str">
        <f t="shared" ref="AF656:AN656" si="661">if(not(isblank(L656)),", "&amp;L656,"")</f>
        <v/>
      </c>
      <c r="AG656" s="21" t="str">
        <f t="shared" si="661"/>
        <v/>
      </c>
      <c r="AH656" s="21" t="str">
        <f t="shared" si="661"/>
        <v/>
      </c>
      <c r="AI656" s="21" t="str">
        <f t="shared" si="661"/>
        <v/>
      </c>
      <c r="AJ656" s="21" t="str">
        <f t="shared" si="661"/>
        <v/>
      </c>
      <c r="AK656" s="21" t="str">
        <f t="shared" si="661"/>
        <v/>
      </c>
      <c r="AL656" s="21" t="str">
        <f t="shared" si="661"/>
        <v/>
      </c>
      <c r="AM656" s="21" t="str">
        <f t="shared" si="661"/>
        <v/>
      </c>
      <c r="AN656" s="21" t="str">
        <f t="shared" si="661"/>
        <v/>
      </c>
      <c r="AO656" s="21" t="str">
        <f t="shared" si="102"/>
        <v/>
      </c>
    </row>
    <row r="657" ht="16.5" customHeight="1">
      <c r="J657" s="18"/>
      <c r="K657" s="19"/>
      <c r="L657" s="20"/>
      <c r="M657" s="20"/>
      <c r="N657" s="20"/>
      <c r="O657" s="20"/>
      <c r="P657" s="20"/>
      <c r="Q657" s="20"/>
      <c r="R657" s="20"/>
      <c r="S657" s="20"/>
      <c r="T657" s="20"/>
      <c r="AE657" s="21" t="str">
        <f t="shared" si="100"/>
        <v/>
      </c>
      <c r="AF657" s="21" t="str">
        <f t="shared" ref="AF657:AN657" si="662">if(not(isblank(L657)),", "&amp;L657,"")</f>
        <v/>
      </c>
      <c r="AG657" s="21" t="str">
        <f t="shared" si="662"/>
        <v/>
      </c>
      <c r="AH657" s="21" t="str">
        <f t="shared" si="662"/>
        <v/>
      </c>
      <c r="AI657" s="21" t="str">
        <f t="shared" si="662"/>
        <v/>
      </c>
      <c r="AJ657" s="21" t="str">
        <f t="shared" si="662"/>
        <v/>
      </c>
      <c r="AK657" s="21" t="str">
        <f t="shared" si="662"/>
        <v/>
      </c>
      <c r="AL657" s="21" t="str">
        <f t="shared" si="662"/>
        <v/>
      </c>
      <c r="AM657" s="21" t="str">
        <f t="shared" si="662"/>
        <v/>
      </c>
      <c r="AN657" s="21" t="str">
        <f t="shared" si="662"/>
        <v/>
      </c>
      <c r="AO657" s="21" t="str">
        <f t="shared" si="102"/>
        <v/>
      </c>
    </row>
    <row r="658" ht="16.5" customHeight="1">
      <c r="J658" s="18"/>
      <c r="K658" s="19"/>
      <c r="L658" s="20"/>
      <c r="M658" s="20"/>
      <c r="N658" s="20"/>
      <c r="O658" s="20"/>
      <c r="P658" s="20"/>
      <c r="Q658" s="20"/>
      <c r="R658" s="20"/>
      <c r="S658" s="20"/>
      <c r="T658" s="20"/>
      <c r="AE658" s="21" t="str">
        <f t="shared" si="100"/>
        <v/>
      </c>
      <c r="AF658" s="21" t="str">
        <f t="shared" ref="AF658:AN658" si="663">if(not(isblank(L658)),", "&amp;L658,"")</f>
        <v/>
      </c>
      <c r="AG658" s="21" t="str">
        <f t="shared" si="663"/>
        <v/>
      </c>
      <c r="AH658" s="21" t="str">
        <f t="shared" si="663"/>
        <v/>
      </c>
      <c r="AI658" s="21" t="str">
        <f t="shared" si="663"/>
        <v/>
      </c>
      <c r="AJ658" s="21" t="str">
        <f t="shared" si="663"/>
        <v/>
      </c>
      <c r="AK658" s="21" t="str">
        <f t="shared" si="663"/>
        <v/>
      </c>
      <c r="AL658" s="21" t="str">
        <f t="shared" si="663"/>
        <v/>
      </c>
      <c r="AM658" s="21" t="str">
        <f t="shared" si="663"/>
        <v/>
      </c>
      <c r="AN658" s="21" t="str">
        <f t="shared" si="663"/>
        <v/>
      </c>
      <c r="AO658" s="21" t="str">
        <f t="shared" si="102"/>
        <v/>
      </c>
    </row>
    <row r="659" ht="16.5" customHeight="1">
      <c r="J659" s="18"/>
      <c r="K659" s="19"/>
      <c r="L659" s="20"/>
      <c r="M659" s="20"/>
      <c r="N659" s="20"/>
      <c r="O659" s="20"/>
      <c r="P659" s="20"/>
      <c r="Q659" s="20"/>
      <c r="R659" s="20"/>
      <c r="S659" s="20"/>
      <c r="T659" s="20"/>
      <c r="AE659" s="21" t="str">
        <f t="shared" si="100"/>
        <v/>
      </c>
      <c r="AF659" s="21" t="str">
        <f t="shared" ref="AF659:AN659" si="664">if(not(isblank(L659)),", "&amp;L659,"")</f>
        <v/>
      </c>
      <c r="AG659" s="21" t="str">
        <f t="shared" si="664"/>
        <v/>
      </c>
      <c r="AH659" s="21" t="str">
        <f t="shared" si="664"/>
        <v/>
      </c>
      <c r="AI659" s="21" t="str">
        <f t="shared" si="664"/>
        <v/>
      </c>
      <c r="AJ659" s="21" t="str">
        <f t="shared" si="664"/>
        <v/>
      </c>
      <c r="AK659" s="21" t="str">
        <f t="shared" si="664"/>
        <v/>
      </c>
      <c r="AL659" s="21" t="str">
        <f t="shared" si="664"/>
        <v/>
      </c>
      <c r="AM659" s="21" t="str">
        <f t="shared" si="664"/>
        <v/>
      </c>
      <c r="AN659" s="21" t="str">
        <f t="shared" si="664"/>
        <v/>
      </c>
      <c r="AO659" s="21" t="str">
        <f t="shared" si="102"/>
        <v/>
      </c>
    </row>
    <row r="660" ht="16.5" customHeight="1">
      <c r="J660" s="18"/>
      <c r="K660" s="19"/>
      <c r="L660" s="20"/>
      <c r="M660" s="20"/>
      <c r="N660" s="20"/>
      <c r="O660" s="20"/>
      <c r="P660" s="20"/>
      <c r="Q660" s="20"/>
      <c r="R660" s="20"/>
      <c r="S660" s="20"/>
      <c r="T660" s="20"/>
      <c r="AE660" s="21" t="str">
        <f t="shared" si="100"/>
        <v/>
      </c>
      <c r="AF660" s="21" t="str">
        <f t="shared" ref="AF660:AN660" si="665">if(not(isblank(L660)),", "&amp;L660,"")</f>
        <v/>
      </c>
      <c r="AG660" s="21" t="str">
        <f t="shared" si="665"/>
        <v/>
      </c>
      <c r="AH660" s="21" t="str">
        <f t="shared" si="665"/>
        <v/>
      </c>
      <c r="AI660" s="21" t="str">
        <f t="shared" si="665"/>
        <v/>
      </c>
      <c r="AJ660" s="21" t="str">
        <f t="shared" si="665"/>
        <v/>
      </c>
      <c r="AK660" s="21" t="str">
        <f t="shared" si="665"/>
        <v/>
      </c>
      <c r="AL660" s="21" t="str">
        <f t="shared" si="665"/>
        <v/>
      </c>
      <c r="AM660" s="21" t="str">
        <f t="shared" si="665"/>
        <v/>
      </c>
      <c r="AN660" s="21" t="str">
        <f t="shared" si="665"/>
        <v/>
      </c>
      <c r="AO660" s="21" t="str">
        <f t="shared" si="102"/>
        <v/>
      </c>
    </row>
    <row r="661" ht="16.5" customHeight="1">
      <c r="J661" s="18"/>
      <c r="K661" s="19"/>
      <c r="L661" s="20"/>
      <c r="M661" s="20"/>
      <c r="N661" s="20"/>
      <c r="O661" s="20"/>
      <c r="P661" s="20"/>
      <c r="Q661" s="20"/>
      <c r="R661" s="20"/>
      <c r="S661" s="20"/>
      <c r="T661" s="20"/>
      <c r="AE661" s="21" t="str">
        <f t="shared" si="100"/>
        <v/>
      </c>
      <c r="AF661" s="21" t="str">
        <f t="shared" ref="AF661:AN661" si="666">if(not(isblank(L661)),", "&amp;L661,"")</f>
        <v/>
      </c>
      <c r="AG661" s="21" t="str">
        <f t="shared" si="666"/>
        <v/>
      </c>
      <c r="AH661" s="21" t="str">
        <f t="shared" si="666"/>
        <v/>
      </c>
      <c r="AI661" s="21" t="str">
        <f t="shared" si="666"/>
        <v/>
      </c>
      <c r="AJ661" s="21" t="str">
        <f t="shared" si="666"/>
        <v/>
      </c>
      <c r="AK661" s="21" t="str">
        <f t="shared" si="666"/>
        <v/>
      </c>
      <c r="AL661" s="21" t="str">
        <f t="shared" si="666"/>
        <v/>
      </c>
      <c r="AM661" s="21" t="str">
        <f t="shared" si="666"/>
        <v/>
      </c>
      <c r="AN661" s="21" t="str">
        <f t="shared" si="666"/>
        <v/>
      </c>
      <c r="AO661" s="21" t="str">
        <f t="shared" si="102"/>
        <v/>
      </c>
    </row>
    <row r="662" ht="16.5" customHeight="1">
      <c r="J662" s="18"/>
      <c r="K662" s="19"/>
      <c r="L662" s="20"/>
      <c r="M662" s="20"/>
      <c r="N662" s="20"/>
      <c r="O662" s="20"/>
      <c r="P662" s="20"/>
      <c r="Q662" s="20"/>
      <c r="R662" s="20"/>
      <c r="S662" s="20"/>
      <c r="T662" s="20"/>
      <c r="AE662" s="21" t="str">
        <f t="shared" si="100"/>
        <v/>
      </c>
      <c r="AF662" s="21" t="str">
        <f t="shared" ref="AF662:AN662" si="667">if(not(isblank(L662)),", "&amp;L662,"")</f>
        <v/>
      </c>
      <c r="AG662" s="21" t="str">
        <f t="shared" si="667"/>
        <v/>
      </c>
      <c r="AH662" s="21" t="str">
        <f t="shared" si="667"/>
        <v/>
      </c>
      <c r="AI662" s="21" t="str">
        <f t="shared" si="667"/>
        <v/>
      </c>
      <c r="AJ662" s="21" t="str">
        <f t="shared" si="667"/>
        <v/>
      </c>
      <c r="AK662" s="21" t="str">
        <f t="shared" si="667"/>
        <v/>
      </c>
      <c r="AL662" s="21" t="str">
        <f t="shared" si="667"/>
        <v/>
      </c>
      <c r="AM662" s="21" t="str">
        <f t="shared" si="667"/>
        <v/>
      </c>
      <c r="AN662" s="21" t="str">
        <f t="shared" si="667"/>
        <v/>
      </c>
      <c r="AO662" s="21" t="str">
        <f t="shared" si="102"/>
        <v/>
      </c>
    </row>
    <row r="663" ht="16.5" customHeight="1">
      <c r="J663" s="18"/>
      <c r="K663" s="19"/>
      <c r="L663" s="20"/>
      <c r="M663" s="20"/>
      <c r="N663" s="20"/>
      <c r="O663" s="20"/>
      <c r="P663" s="20"/>
      <c r="Q663" s="20"/>
      <c r="R663" s="20"/>
      <c r="S663" s="20"/>
      <c r="T663" s="20"/>
      <c r="AE663" s="21" t="str">
        <f t="shared" si="100"/>
        <v/>
      </c>
      <c r="AF663" s="21" t="str">
        <f t="shared" ref="AF663:AN663" si="668">if(not(isblank(L663)),", "&amp;L663,"")</f>
        <v/>
      </c>
      <c r="AG663" s="21" t="str">
        <f t="shared" si="668"/>
        <v/>
      </c>
      <c r="AH663" s="21" t="str">
        <f t="shared" si="668"/>
        <v/>
      </c>
      <c r="AI663" s="21" t="str">
        <f t="shared" si="668"/>
        <v/>
      </c>
      <c r="AJ663" s="21" t="str">
        <f t="shared" si="668"/>
        <v/>
      </c>
      <c r="AK663" s="21" t="str">
        <f t="shared" si="668"/>
        <v/>
      </c>
      <c r="AL663" s="21" t="str">
        <f t="shared" si="668"/>
        <v/>
      </c>
      <c r="AM663" s="21" t="str">
        <f t="shared" si="668"/>
        <v/>
      </c>
      <c r="AN663" s="21" t="str">
        <f t="shared" si="668"/>
        <v/>
      </c>
      <c r="AO663" s="21" t="str">
        <f t="shared" si="102"/>
        <v/>
      </c>
    </row>
    <row r="664" ht="16.5" customHeight="1">
      <c r="J664" s="18"/>
      <c r="K664" s="19"/>
      <c r="L664" s="20"/>
      <c r="M664" s="20"/>
      <c r="N664" s="20"/>
      <c r="O664" s="20"/>
      <c r="P664" s="20"/>
      <c r="Q664" s="20"/>
      <c r="R664" s="20"/>
      <c r="S664" s="20"/>
      <c r="T664" s="20"/>
      <c r="AE664" s="21" t="str">
        <f t="shared" si="100"/>
        <v/>
      </c>
      <c r="AF664" s="21" t="str">
        <f t="shared" ref="AF664:AN664" si="669">if(not(isblank(L664)),", "&amp;L664,"")</f>
        <v/>
      </c>
      <c r="AG664" s="21" t="str">
        <f t="shared" si="669"/>
        <v/>
      </c>
      <c r="AH664" s="21" t="str">
        <f t="shared" si="669"/>
        <v/>
      </c>
      <c r="AI664" s="21" t="str">
        <f t="shared" si="669"/>
        <v/>
      </c>
      <c r="AJ664" s="21" t="str">
        <f t="shared" si="669"/>
        <v/>
      </c>
      <c r="AK664" s="21" t="str">
        <f t="shared" si="669"/>
        <v/>
      </c>
      <c r="AL664" s="21" t="str">
        <f t="shared" si="669"/>
        <v/>
      </c>
      <c r="AM664" s="21" t="str">
        <f t="shared" si="669"/>
        <v/>
      </c>
      <c r="AN664" s="21" t="str">
        <f t="shared" si="669"/>
        <v/>
      </c>
      <c r="AO664" s="21" t="str">
        <f t="shared" si="102"/>
        <v/>
      </c>
    </row>
    <row r="665" ht="16.5" customHeight="1">
      <c r="J665" s="18"/>
      <c r="K665" s="19"/>
      <c r="L665" s="20"/>
      <c r="M665" s="20"/>
      <c r="N665" s="20"/>
      <c r="O665" s="20"/>
      <c r="P665" s="20"/>
      <c r="Q665" s="20"/>
      <c r="R665" s="20"/>
      <c r="S665" s="20"/>
      <c r="T665" s="20"/>
      <c r="AE665" s="21" t="str">
        <f t="shared" si="100"/>
        <v/>
      </c>
      <c r="AF665" s="21" t="str">
        <f t="shared" ref="AF665:AN665" si="670">if(not(isblank(L665)),", "&amp;L665,"")</f>
        <v/>
      </c>
      <c r="AG665" s="21" t="str">
        <f t="shared" si="670"/>
        <v/>
      </c>
      <c r="AH665" s="21" t="str">
        <f t="shared" si="670"/>
        <v/>
      </c>
      <c r="AI665" s="21" t="str">
        <f t="shared" si="670"/>
        <v/>
      </c>
      <c r="AJ665" s="21" t="str">
        <f t="shared" si="670"/>
        <v/>
      </c>
      <c r="AK665" s="21" t="str">
        <f t="shared" si="670"/>
        <v/>
      </c>
      <c r="AL665" s="21" t="str">
        <f t="shared" si="670"/>
        <v/>
      </c>
      <c r="AM665" s="21" t="str">
        <f t="shared" si="670"/>
        <v/>
      </c>
      <c r="AN665" s="21" t="str">
        <f t="shared" si="670"/>
        <v/>
      </c>
      <c r="AO665" s="21" t="str">
        <f t="shared" si="102"/>
        <v/>
      </c>
    </row>
    <row r="666" ht="16.5" customHeight="1">
      <c r="J666" s="18"/>
      <c r="K666" s="19"/>
      <c r="L666" s="20"/>
      <c r="M666" s="20"/>
      <c r="N666" s="20"/>
      <c r="O666" s="20"/>
      <c r="P666" s="20"/>
      <c r="Q666" s="20"/>
      <c r="R666" s="20"/>
      <c r="S666" s="20"/>
      <c r="T666" s="20"/>
      <c r="AE666" s="21" t="str">
        <f t="shared" si="100"/>
        <v/>
      </c>
      <c r="AF666" s="21" t="str">
        <f t="shared" ref="AF666:AN666" si="671">if(not(isblank(L666)),", "&amp;L666,"")</f>
        <v/>
      </c>
      <c r="AG666" s="21" t="str">
        <f t="shared" si="671"/>
        <v/>
      </c>
      <c r="AH666" s="21" t="str">
        <f t="shared" si="671"/>
        <v/>
      </c>
      <c r="AI666" s="21" t="str">
        <f t="shared" si="671"/>
        <v/>
      </c>
      <c r="AJ666" s="21" t="str">
        <f t="shared" si="671"/>
        <v/>
      </c>
      <c r="AK666" s="21" t="str">
        <f t="shared" si="671"/>
        <v/>
      </c>
      <c r="AL666" s="21" t="str">
        <f t="shared" si="671"/>
        <v/>
      </c>
      <c r="AM666" s="21" t="str">
        <f t="shared" si="671"/>
        <v/>
      </c>
      <c r="AN666" s="21" t="str">
        <f t="shared" si="671"/>
        <v/>
      </c>
      <c r="AO666" s="21" t="str">
        <f t="shared" si="102"/>
        <v/>
      </c>
    </row>
    <row r="667" ht="16.5" customHeight="1">
      <c r="J667" s="18"/>
      <c r="K667" s="19"/>
      <c r="L667" s="20"/>
      <c r="M667" s="20"/>
      <c r="N667" s="20"/>
      <c r="O667" s="20"/>
      <c r="P667" s="20"/>
      <c r="Q667" s="20"/>
      <c r="R667" s="20"/>
      <c r="S667" s="20"/>
      <c r="T667" s="20"/>
      <c r="AE667" s="21" t="str">
        <f t="shared" si="100"/>
        <v/>
      </c>
      <c r="AF667" s="21" t="str">
        <f t="shared" ref="AF667:AN667" si="672">if(not(isblank(L667)),", "&amp;L667,"")</f>
        <v/>
      </c>
      <c r="AG667" s="21" t="str">
        <f t="shared" si="672"/>
        <v/>
      </c>
      <c r="AH667" s="21" t="str">
        <f t="shared" si="672"/>
        <v/>
      </c>
      <c r="AI667" s="21" t="str">
        <f t="shared" si="672"/>
        <v/>
      </c>
      <c r="AJ667" s="21" t="str">
        <f t="shared" si="672"/>
        <v/>
      </c>
      <c r="AK667" s="21" t="str">
        <f t="shared" si="672"/>
        <v/>
      </c>
      <c r="AL667" s="21" t="str">
        <f t="shared" si="672"/>
        <v/>
      </c>
      <c r="AM667" s="21" t="str">
        <f t="shared" si="672"/>
        <v/>
      </c>
      <c r="AN667" s="21" t="str">
        <f t="shared" si="672"/>
        <v/>
      </c>
      <c r="AO667" s="21" t="str">
        <f t="shared" si="102"/>
        <v/>
      </c>
    </row>
    <row r="668" ht="16.5" customHeight="1">
      <c r="J668" s="18"/>
      <c r="K668" s="19"/>
      <c r="L668" s="20"/>
      <c r="M668" s="20"/>
      <c r="N668" s="20"/>
      <c r="O668" s="20"/>
      <c r="P668" s="20"/>
      <c r="Q668" s="20"/>
      <c r="R668" s="20"/>
      <c r="S668" s="20"/>
      <c r="T668" s="20"/>
      <c r="AE668" s="21" t="str">
        <f t="shared" si="100"/>
        <v/>
      </c>
      <c r="AF668" s="21" t="str">
        <f t="shared" ref="AF668:AN668" si="673">if(not(isblank(L668)),", "&amp;L668,"")</f>
        <v/>
      </c>
      <c r="AG668" s="21" t="str">
        <f t="shared" si="673"/>
        <v/>
      </c>
      <c r="AH668" s="21" t="str">
        <f t="shared" si="673"/>
        <v/>
      </c>
      <c r="AI668" s="21" t="str">
        <f t="shared" si="673"/>
        <v/>
      </c>
      <c r="AJ668" s="21" t="str">
        <f t="shared" si="673"/>
        <v/>
      </c>
      <c r="AK668" s="21" t="str">
        <f t="shared" si="673"/>
        <v/>
      </c>
      <c r="AL668" s="21" t="str">
        <f t="shared" si="673"/>
        <v/>
      </c>
      <c r="AM668" s="21" t="str">
        <f t="shared" si="673"/>
        <v/>
      </c>
      <c r="AN668" s="21" t="str">
        <f t="shared" si="673"/>
        <v/>
      </c>
      <c r="AO668" s="21" t="str">
        <f t="shared" si="102"/>
        <v/>
      </c>
    </row>
    <row r="669" ht="16.5" customHeight="1">
      <c r="J669" s="18"/>
      <c r="K669" s="19"/>
      <c r="L669" s="20"/>
      <c r="M669" s="20"/>
      <c r="N669" s="20"/>
      <c r="O669" s="20"/>
      <c r="P669" s="20"/>
      <c r="Q669" s="20"/>
      <c r="R669" s="20"/>
      <c r="S669" s="20"/>
      <c r="T669" s="20"/>
      <c r="AE669" s="21" t="str">
        <f t="shared" si="100"/>
        <v/>
      </c>
      <c r="AF669" s="21" t="str">
        <f t="shared" ref="AF669:AN669" si="674">if(not(isblank(L669)),", "&amp;L669,"")</f>
        <v/>
      </c>
      <c r="AG669" s="21" t="str">
        <f t="shared" si="674"/>
        <v/>
      </c>
      <c r="AH669" s="21" t="str">
        <f t="shared" si="674"/>
        <v/>
      </c>
      <c r="AI669" s="21" t="str">
        <f t="shared" si="674"/>
        <v/>
      </c>
      <c r="AJ669" s="21" t="str">
        <f t="shared" si="674"/>
        <v/>
      </c>
      <c r="AK669" s="21" t="str">
        <f t="shared" si="674"/>
        <v/>
      </c>
      <c r="AL669" s="21" t="str">
        <f t="shared" si="674"/>
        <v/>
      </c>
      <c r="AM669" s="21" t="str">
        <f t="shared" si="674"/>
        <v/>
      </c>
      <c r="AN669" s="21" t="str">
        <f t="shared" si="674"/>
        <v/>
      </c>
      <c r="AO669" s="21" t="str">
        <f t="shared" si="102"/>
        <v/>
      </c>
    </row>
    <row r="670" ht="16.5" customHeight="1">
      <c r="J670" s="18"/>
      <c r="K670" s="19"/>
      <c r="L670" s="20"/>
      <c r="M670" s="20"/>
      <c r="N670" s="20"/>
      <c r="O670" s="20"/>
      <c r="P670" s="20"/>
      <c r="Q670" s="20"/>
      <c r="R670" s="20"/>
      <c r="S670" s="20"/>
      <c r="T670" s="20"/>
      <c r="AE670" s="21" t="str">
        <f t="shared" si="100"/>
        <v/>
      </c>
      <c r="AF670" s="21" t="str">
        <f t="shared" ref="AF670:AN670" si="675">if(not(isblank(L670)),", "&amp;L670,"")</f>
        <v/>
      </c>
      <c r="AG670" s="21" t="str">
        <f t="shared" si="675"/>
        <v/>
      </c>
      <c r="AH670" s="21" t="str">
        <f t="shared" si="675"/>
        <v/>
      </c>
      <c r="AI670" s="21" t="str">
        <f t="shared" si="675"/>
        <v/>
      </c>
      <c r="AJ670" s="21" t="str">
        <f t="shared" si="675"/>
        <v/>
      </c>
      <c r="AK670" s="21" t="str">
        <f t="shared" si="675"/>
        <v/>
      </c>
      <c r="AL670" s="21" t="str">
        <f t="shared" si="675"/>
        <v/>
      </c>
      <c r="AM670" s="21" t="str">
        <f t="shared" si="675"/>
        <v/>
      </c>
      <c r="AN670" s="21" t="str">
        <f t="shared" si="675"/>
        <v/>
      </c>
      <c r="AO670" s="21" t="str">
        <f t="shared" si="102"/>
        <v/>
      </c>
    </row>
    <row r="671" ht="16.5" customHeight="1">
      <c r="J671" s="18"/>
      <c r="K671" s="19"/>
      <c r="L671" s="20"/>
      <c r="M671" s="20"/>
      <c r="N671" s="20"/>
      <c r="O671" s="20"/>
      <c r="P671" s="20"/>
      <c r="Q671" s="20"/>
      <c r="R671" s="20"/>
      <c r="S671" s="20"/>
      <c r="T671" s="20"/>
      <c r="AE671" s="21" t="str">
        <f t="shared" si="100"/>
        <v/>
      </c>
      <c r="AF671" s="21" t="str">
        <f t="shared" ref="AF671:AN671" si="676">if(not(isblank(L671)),", "&amp;L671,"")</f>
        <v/>
      </c>
      <c r="AG671" s="21" t="str">
        <f t="shared" si="676"/>
        <v/>
      </c>
      <c r="AH671" s="21" t="str">
        <f t="shared" si="676"/>
        <v/>
      </c>
      <c r="AI671" s="21" t="str">
        <f t="shared" si="676"/>
        <v/>
      </c>
      <c r="AJ671" s="21" t="str">
        <f t="shared" si="676"/>
        <v/>
      </c>
      <c r="AK671" s="21" t="str">
        <f t="shared" si="676"/>
        <v/>
      </c>
      <c r="AL671" s="21" t="str">
        <f t="shared" si="676"/>
        <v/>
      </c>
      <c r="AM671" s="21" t="str">
        <f t="shared" si="676"/>
        <v/>
      </c>
      <c r="AN671" s="21" t="str">
        <f t="shared" si="676"/>
        <v/>
      </c>
      <c r="AO671" s="21" t="str">
        <f t="shared" si="102"/>
        <v/>
      </c>
    </row>
    <row r="672" ht="16.5" customHeight="1">
      <c r="J672" s="18"/>
      <c r="K672" s="19"/>
      <c r="L672" s="20"/>
      <c r="M672" s="20"/>
      <c r="N672" s="20"/>
      <c r="O672" s="20"/>
      <c r="P672" s="20"/>
      <c r="Q672" s="20"/>
      <c r="R672" s="20"/>
      <c r="S672" s="20"/>
      <c r="T672" s="20"/>
      <c r="AE672" s="21" t="str">
        <f t="shared" si="100"/>
        <v/>
      </c>
      <c r="AF672" s="21" t="str">
        <f t="shared" ref="AF672:AN672" si="677">if(not(isblank(L672)),", "&amp;L672,"")</f>
        <v/>
      </c>
      <c r="AG672" s="21" t="str">
        <f t="shared" si="677"/>
        <v/>
      </c>
      <c r="AH672" s="21" t="str">
        <f t="shared" si="677"/>
        <v/>
      </c>
      <c r="AI672" s="21" t="str">
        <f t="shared" si="677"/>
        <v/>
      </c>
      <c r="AJ672" s="21" t="str">
        <f t="shared" si="677"/>
        <v/>
      </c>
      <c r="AK672" s="21" t="str">
        <f t="shared" si="677"/>
        <v/>
      </c>
      <c r="AL672" s="21" t="str">
        <f t="shared" si="677"/>
        <v/>
      </c>
      <c r="AM672" s="21" t="str">
        <f t="shared" si="677"/>
        <v/>
      </c>
      <c r="AN672" s="21" t="str">
        <f t="shared" si="677"/>
        <v/>
      </c>
      <c r="AO672" s="21" t="str">
        <f t="shared" si="102"/>
        <v/>
      </c>
    </row>
    <row r="673" ht="16.5" customHeight="1">
      <c r="J673" s="18"/>
      <c r="K673" s="19"/>
      <c r="L673" s="20"/>
      <c r="M673" s="20"/>
      <c r="N673" s="20"/>
      <c r="O673" s="20"/>
      <c r="P673" s="20"/>
      <c r="Q673" s="20"/>
      <c r="R673" s="20"/>
      <c r="S673" s="20"/>
      <c r="T673" s="20"/>
      <c r="AE673" s="21" t="str">
        <f t="shared" si="100"/>
        <v/>
      </c>
      <c r="AF673" s="21" t="str">
        <f t="shared" ref="AF673:AN673" si="678">if(not(isblank(L673)),", "&amp;L673,"")</f>
        <v/>
      </c>
      <c r="AG673" s="21" t="str">
        <f t="shared" si="678"/>
        <v/>
      </c>
      <c r="AH673" s="21" t="str">
        <f t="shared" si="678"/>
        <v/>
      </c>
      <c r="AI673" s="21" t="str">
        <f t="shared" si="678"/>
        <v/>
      </c>
      <c r="AJ673" s="21" t="str">
        <f t="shared" si="678"/>
        <v/>
      </c>
      <c r="AK673" s="21" t="str">
        <f t="shared" si="678"/>
        <v/>
      </c>
      <c r="AL673" s="21" t="str">
        <f t="shared" si="678"/>
        <v/>
      </c>
      <c r="AM673" s="21" t="str">
        <f t="shared" si="678"/>
        <v/>
      </c>
      <c r="AN673" s="21" t="str">
        <f t="shared" si="678"/>
        <v/>
      </c>
      <c r="AO673" s="21" t="str">
        <f t="shared" si="102"/>
        <v/>
      </c>
    </row>
    <row r="674" ht="16.5" customHeight="1">
      <c r="J674" s="18"/>
      <c r="K674" s="19"/>
      <c r="L674" s="20"/>
      <c r="M674" s="20"/>
      <c r="N674" s="20"/>
      <c r="O674" s="20"/>
      <c r="P674" s="20"/>
      <c r="Q674" s="20"/>
      <c r="R674" s="20"/>
      <c r="S674" s="20"/>
      <c r="T674" s="20"/>
      <c r="AE674" s="21" t="str">
        <f t="shared" si="100"/>
        <v/>
      </c>
      <c r="AF674" s="21" t="str">
        <f t="shared" ref="AF674:AN674" si="679">if(not(isblank(L674)),", "&amp;L674,"")</f>
        <v/>
      </c>
      <c r="AG674" s="21" t="str">
        <f t="shared" si="679"/>
        <v/>
      </c>
      <c r="AH674" s="21" t="str">
        <f t="shared" si="679"/>
        <v/>
      </c>
      <c r="AI674" s="21" t="str">
        <f t="shared" si="679"/>
        <v/>
      </c>
      <c r="AJ674" s="21" t="str">
        <f t="shared" si="679"/>
        <v/>
      </c>
      <c r="AK674" s="21" t="str">
        <f t="shared" si="679"/>
        <v/>
      </c>
      <c r="AL674" s="21" t="str">
        <f t="shared" si="679"/>
        <v/>
      </c>
      <c r="AM674" s="21" t="str">
        <f t="shared" si="679"/>
        <v/>
      </c>
      <c r="AN674" s="21" t="str">
        <f t="shared" si="679"/>
        <v/>
      </c>
      <c r="AO674" s="21" t="str">
        <f t="shared" si="102"/>
        <v/>
      </c>
    </row>
    <row r="675" ht="16.5" customHeight="1">
      <c r="J675" s="18"/>
      <c r="K675" s="19"/>
      <c r="L675" s="20"/>
      <c r="M675" s="20"/>
      <c r="N675" s="20"/>
      <c r="O675" s="20"/>
      <c r="P675" s="20"/>
      <c r="Q675" s="20"/>
      <c r="R675" s="20"/>
      <c r="S675" s="20"/>
      <c r="T675" s="20"/>
      <c r="AE675" s="21" t="str">
        <f t="shared" si="100"/>
        <v/>
      </c>
      <c r="AF675" s="21" t="str">
        <f t="shared" ref="AF675:AN675" si="680">if(not(isblank(L675)),", "&amp;L675,"")</f>
        <v/>
      </c>
      <c r="AG675" s="21" t="str">
        <f t="shared" si="680"/>
        <v/>
      </c>
      <c r="AH675" s="21" t="str">
        <f t="shared" si="680"/>
        <v/>
      </c>
      <c r="AI675" s="21" t="str">
        <f t="shared" si="680"/>
        <v/>
      </c>
      <c r="AJ675" s="21" t="str">
        <f t="shared" si="680"/>
        <v/>
      </c>
      <c r="AK675" s="21" t="str">
        <f t="shared" si="680"/>
        <v/>
      </c>
      <c r="AL675" s="21" t="str">
        <f t="shared" si="680"/>
        <v/>
      </c>
      <c r="AM675" s="21" t="str">
        <f t="shared" si="680"/>
        <v/>
      </c>
      <c r="AN675" s="21" t="str">
        <f t="shared" si="680"/>
        <v/>
      </c>
      <c r="AO675" s="21" t="str">
        <f t="shared" si="102"/>
        <v/>
      </c>
    </row>
    <row r="676" ht="16.5" customHeight="1">
      <c r="J676" s="18"/>
      <c r="K676" s="19"/>
      <c r="L676" s="20"/>
      <c r="M676" s="20"/>
      <c r="N676" s="20"/>
      <c r="O676" s="20"/>
      <c r="P676" s="20"/>
      <c r="Q676" s="20"/>
      <c r="R676" s="20"/>
      <c r="S676" s="20"/>
      <c r="T676" s="20"/>
      <c r="AE676" s="21" t="str">
        <f t="shared" si="100"/>
        <v/>
      </c>
      <c r="AF676" s="21" t="str">
        <f t="shared" ref="AF676:AN676" si="681">if(not(isblank(L676)),", "&amp;L676,"")</f>
        <v/>
      </c>
      <c r="AG676" s="21" t="str">
        <f t="shared" si="681"/>
        <v/>
      </c>
      <c r="AH676" s="21" t="str">
        <f t="shared" si="681"/>
        <v/>
      </c>
      <c r="AI676" s="21" t="str">
        <f t="shared" si="681"/>
        <v/>
      </c>
      <c r="AJ676" s="21" t="str">
        <f t="shared" si="681"/>
        <v/>
      </c>
      <c r="AK676" s="21" t="str">
        <f t="shared" si="681"/>
        <v/>
      </c>
      <c r="AL676" s="21" t="str">
        <f t="shared" si="681"/>
        <v/>
      </c>
      <c r="AM676" s="21" t="str">
        <f t="shared" si="681"/>
        <v/>
      </c>
      <c r="AN676" s="21" t="str">
        <f t="shared" si="681"/>
        <v/>
      </c>
      <c r="AO676" s="21" t="str">
        <f t="shared" si="102"/>
        <v/>
      </c>
    </row>
    <row r="677" ht="16.5" customHeight="1">
      <c r="J677" s="18"/>
      <c r="K677" s="19"/>
      <c r="L677" s="20"/>
      <c r="M677" s="20"/>
      <c r="N677" s="20"/>
      <c r="O677" s="20"/>
      <c r="P677" s="20"/>
      <c r="Q677" s="20"/>
      <c r="R677" s="20"/>
      <c r="S677" s="20"/>
      <c r="T677" s="20"/>
      <c r="AE677" s="21" t="str">
        <f t="shared" si="100"/>
        <v/>
      </c>
      <c r="AF677" s="21" t="str">
        <f t="shared" ref="AF677:AN677" si="682">if(not(isblank(L677)),", "&amp;L677,"")</f>
        <v/>
      </c>
      <c r="AG677" s="21" t="str">
        <f t="shared" si="682"/>
        <v/>
      </c>
      <c r="AH677" s="21" t="str">
        <f t="shared" si="682"/>
        <v/>
      </c>
      <c r="AI677" s="21" t="str">
        <f t="shared" si="682"/>
        <v/>
      </c>
      <c r="AJ677" s="21" t="str">
        <f t="shared" si="682"/>
        <v/>
      </c>
      <c r="AK677" s="21" t="str">
        <f t="shared" si="682"/>
        <v/>
      </c>
      <c r="AL677" s="21" t="str">
        <f t="shared" si="682"/>
        <v/>
      </c>
      <c r="AM677" s="21" t="str">
        <f t="shared" si="682"/>
        <v/>
      </c>
      <c r="AN677" s="21" t="str">
        <f t="shared" si="682"/>
        <v/>
      </c>
      <c r="AO677" s="21" t="str">
        <f t="shared" si="102"/>
        <v/>
      </c>
    </row>
    <row r="678" ht="16.5" customHeight="1">
      <c r="J678" s="18"/>
      <c r="K678" s="19"/>
      <c r="L678" s="20"/>
      <c r="M678" s="20"/>
      <c r="N678" s="20"/>
      <c r="O678" s="20"/>
      <c r="P678" s="20"/>
      <c r="Q678" s="20"/>
      <c r="R678" s="20"/>
      <c r="S678" s="20"/>
      <c r="T678" s="20"/>
      <c r="AE678" s="21" t="str">
        <f t="shared" si="100"/>
        <v/>
      </c>
      <c r="AF678" s="21" t="str">
        <f t="shared" ref="AF678:AN678" si="683">if(not(isblank(L678)),", "&amp;L678,"")</f>
        <v/>
      </c>
      <c r="AG678" s="21" t="str">
        <f t="shared" si="683"/>
        <v/>
      </c>
      <c r="AH678" s="21" t="str">
        <f t="shared" si="683"/>
        <v/>
      </c>
      <c r="AI678" s="21" t="str">
        <f t="shared" si="683"/>
        <v/>
      </c>
      <c r="AJ678" s="21" t="str">
        <f t="shared" si="683"/>
        <v/>
      </c>
      <c r="AK678" s="21" t="str">
        <f t="shared" si="683"/>
        <v/>
      </c>
      <c r="AL678" s="21" t="str">
        <f t="shared" si="683"/>
        <v/>
      </c>
      <c r="AM678" s="21" t="str">
        <f t="shared" si="683"/>
        <v/>
      </c>
      <c r="AN678" s="21" t="str">
        <f t="shared" si="683"/>
        <v/>
      </c>
      <c r="AO678" s="21" t="str">
        <f t="shared" si="102"/>
        <v/>
      </c>
    </row>
    <row r="679" ht="16.5" customHeight="1">
      <c r="J679" s="18"/>
      <c r="K679" s="19"/>
      <c r="L679" s="20"/>
      <c r="M679" s="20"/>
      <c r="N679" s="20"/>
      <c r="O679" s="20"/>
      <c r="P679" s="20"/>
      <c r="Q679" s="20"/>
      <c r="R679" s="20"/>
      <c r="S679" s="20"/>
      <c r="T679" s="20"/>
      <c r="AE679" s="21" t="str">
        <f t="shared" si="100"/>
        <v/>
      </c>
      <c r="AF679" s="21" t="str">
        <f t="shared" ref="AF679:AN679" si="684">if(not(isblank(L679)),", "&amp;L679,"")</f>
        <v/>
      </c>
      <c r="AG679" s="21" t="str">
        <f t="shared" si="684"/>
        <v/>
      </c>
      <c r="AH679" s="21" t="str">
        <f t="shared" si="684"/>
        <v/>
      </c>
      <c r="AI679" s="21" t="str">
        <f t="shared" si="684"/>
        <v/>
      </c>
      <c r="AJ679" s="21" t="str">
        <f t="shared" si="684"/>
        <v/>
      </c>
      <c r="AK679" s="21" t="str">
        <f t="shared" si="684"/>
        <v/>
      </c>
      <c r="AL679" s="21" t="str">
        <f t="shared" si="684"/>
        <v/>
      </c>
      <c r="AM679" s="21" t="str">
        <f t="shared" si="684"/>
        <v/>
      </c>
      <c r="AN679" s="21" t="str">
        <f t="shared" si="684"/>
        <v/>
      </c>
      <c r="AO679" s="21" t="str">
        <f t="shared" si="102"/>
        <v/>
      </c>
    </row>
    <row r="680" ht="16.5" customHeight="1">
      <c r="J680" s="18"/>
      <c r="K680" s="19"/>
      <c r="L680" s="20"/>
      <c r="M680" s="20"/>
      <c r="N680" s="20"/>
      <c r="O680" s="20"/>
      <c r="P680" s="20"/>
      <c r="Q680" s="20"/>
      <c r="R680" s="20"/>
      <c r="S680" s="20"/>
      <c r="T680" s="20"/>
      <c r="AE680" s="21" t="str">
        <f t="shared" si="100"/>
        <v/>
      </c>
      <c r="AF680" s="21" t="str">
        <f t="shared" ref="AF680:AN680" si="685">if(not(isblank(L680)),", "&amp;L680,"")</f>
        <v/>
      </c>
      <c r="AG680" s="21" t="str">
        <f t="shared" si="685"/>
        <v/>
      </c>
      <c r="AH680" s="21" t="str">
        <f t="shared" si="685"/>
        <v/>
      </c>
      <c r="AI680" s="21" t="str">
        <f t="shared" si="685"/>
        <v/>
      </c>
      <c r="AJ680" s="21" t="str">
        <f t="shared" si="685"/>
        <v/>
      </c>
      <c r="AK680" s="21" t="str">
        <f t="shared" si="685"/>
        <v/>
      </c>
      <c r="AL680" s="21" t="str">
        <f t="shared" si="685"/>
        <v/>
      </c>
      <c r="AM680" s="21" t="str">
        <f t="shared" si="685"/>
        <v/>
      </c>
      <c r="AN680" s="21" t="str">
        <f t="shared" si="685"/>
        <v/>
      </c>
      <c r="AO680" s="21" t="str">
        <f t="shared" si="102"/>
        <v/>
      </c>
    </row>
    <row r="681" ht="16.5" customHeight="1">
      <c r="J681" s="18"/>
      <c r="K681" s="19"/>
      <c r="L681" s="20"/>
      <c r="M681" s="20"/>
      <c r="N681" s="20"/>
      <c r="O681" s="20"/>
      <c r="P681" s="20"/>
      <c r="Q681" s="20"/>
      <c r="R681" s="20"/>
      <c r="S681" s="20"/>
      <c r="T681" s="20"/>
      <c r="AE681" s="21" t="str">
        <f t="shared" si="100"/>
        <v/>
      </c>
      <c r="AF681" s="21" t="str">
        <f t="shared" ref="AF681:AN681" si="686">if(not(isblank(L681)),", "&amp;L681,"")</f>
        <v/>
      </c>
      <c r="AG681" s="21" t="str">
        <f t="shared" si="686"/>
        <v/>
      </c>
      <c r="AH681" s="21" t="str">
        <f t="shared" si="686"/>
        <v/>
      </c>
      <c r="AI681" s="21" t="str">
        <f t="shared" si="686"/>
        <v/>
      </c>
      <c r="AJ681" s="21" t="str">
        <f t="shared" si="686"/>
        <v/>
      </c>
      <c r="AK681" s="21" t="str">
        <f t="shared" si="686"/>
        <v/>
      </c>
      <c r="AL681" s="21" t="str">
        <f t="shared" si="686"/>
        <v/>
      </c>
      <c r="AM681" s="21" t="str">
        <f t="shared" si="686"/>
        <v/>
      </c>
      <c r="AN681" s="21" t="str">
        <f t="shared" si="686"/>
        <v/>
      </c>
      <c r="AO681" s="21" t="str">
        <f t="shared" si="102"/>
        <v/>
      </c>
    </row>
    <row r="682" ht="16.5" customHeight="1">
      <c r="J682" s="18"/>
      <c r="K682" s="19"/>
      <c r="L682" s="20"/>
      <c r="M682" s="20"/>
      <c r="N682" s="20"/>
      <c r="O682" s="20"/>
      <c r="P682" s="20"/>
      <c r="Q682" s="20"/>
      <c r="R682" s="20"/>
      <c r="S682" s="20"/>
      <c r="T682" s="20"/>
      <c r="AE682" s="21" t="str">
        <f t="shared" si="100"/>
        <v/>
      </c>
      <c r="AF682" s="21" t="str">
        <f t="shared" ref="AF682:AN682" si="687">if(not(isblank(L682)),", "&amp;L682,"")</f>
        <v/>
      </c>
      <c r="AG682" s="21" t="str">
        <f t="shared" si="687"/>
        <v/>
      </c>
      <c r="AH682" s="21" t="str">
        <f t="shared" si="687"/>
        <v/>
      </c>
      <c r="AI682" s="21" t="str">
        <f t="shared" si="687"/>
        <v/>
      </c>
      <c r="AJ682" s="21" t="str">
        <f t="shared" si="687"/>
        <v/>
      </c>
      <c r="AK682" s="21" t="str">
        <f t="shared" si="687"/>
        <v/>
      </c>
      <c r="AL682" s="21" t="str">
        <f t="shared" si="687"/>
        <v/>
      </c>
      <c r="AM682" s="21" t="str">
        <f t="shared" si="687"/>
        <v/>
      </c>
      <c r="AN682" s="21" t="str">
        <f t="shared" si="687"/>
        <v/>
      </c>
      <c r="AO682" s="21" t="str">
        <f t="shared" si="102"/>
        <v/>
      </c>
    </row>
    <row r="683" ht="16.5" customHeight="1">
      <c r="J683" s="18"/>
      <c r="K683" s="19"/>
      <c r="L683" s="20"/>
      <c r="M683" s="20"/>
      <c r="N683" s="20"/>
      <c r="O683" s="20"/>
      <c r="P683" s="20"/>
      <c r="Q683" s="20"/>
      <c r="R683" s="20"/>
      <c r="S683" s="20"/>
      <c r="T683" s="20"/>
      <c r="AE683" s="21" t="str">
        <f t="shared" si="100"/>
        <v/>
      </c>
      <c r="AF683" s="21" t="str">
        <f t="shared" ref="AF683:AN683" si="688">if(not(isblank(L683)),", "&amp;L683,"")</f>
        <v/>
      </c>
      <c r="AG683" s="21" t="str">
        <f t="shared" si="688"/>
        <v/>
      </c>
      <c r="AH683" s="21" t="str">
        <f t="shared" si="688"/>
        <v/>
      </c>
      <c r="AI683" s="21" t="str">
        <f t="shared" si="688"/>
        <v/>
      </c>
      <c r="AJ683" s="21" t="str">
        <f t="shared" si="688"/>
        <v/>
      </c>
      <c r="AK683" s="21" t="str">
        <f t="shared" si="688"/>
        <v/>
      </c>
      <c r="AL683" s="21" t="str">
        <f t="shared" si="688"/>
        <v/>
      </c>
      <c r="AM683" s="21" t="str">
        <f t="shared" si="688"/>
        <v/>
      </c>
      <c r="AN683" s="21" t="str">
        <f t="shared" si="688"/>
        <v/>
      </c>
      <c r="AO683" s="21" t="str">
        <f t="shared" si="102"/>
        <v/>
      </c>
    </row>
    <row r="684" ht="16.5" customHeight="1">
      <c r="J684" s="18"/>
      <c r="K684" s="19"/>
      <c r="L684" s="20"/>
      <c r="M684" s="20"/>
      <c r="N684" s="20"/>
      <c r="O684" s="20"/>
      <c r="P684" s="20"/>
      <c r="Q684" s="20"/>
      <c r="R684" s="20"/>
      <c r="S684" s="20"/>
      <c r="T684" s="20"/>
      <c r="AE684" s="21" t="str">
        <f t="shared" si="100"/>
        <v/>
      </c>
      <c r="AF684" s="21" t="str">
        <f t="shared" ref="AF684:AN684" si="689">if(not(isblank(L684)),", "&amp;L684,"")</f>
        <v/>
      </c>
      <c r="AG684" s="21" t="str">
        <f t="shared" si="689"/>
        <v/>
      </c>
      <c r="AH684" s="21" t="str">
        <f t="shared" si="689"/>
        <v/>
      </c>
      <c r="AI684" s="21" t="str">
        <f t="shared" si="689"/>
        <v/>
      </c>
      <c r="AJ684" s="21" t="str">
        <f t="shared" si="689"/>
        <v/>
      </c>
      <c r="AK684" s="21" t="str">
        <f t="shared" si="689"/>
        <v/>
      </c>
      <c r="AL684" s="21" t="str">
        <f t="shared" si="689"/>
        <v/>
      </c>
      <c r="AM684" s="21" t="str">
        <f t="shared" si="689"/>
        <v/>
      </c>
      <c r="AN684" s="21" t="str">
        <f t="shared" si="689"/>
        <v/>
      </c>
      <c r="AO684" s="21" t="str">
        <f t="shared" si="102"/>
        <v/>
      </c>
    </row>
    <row r="685" ht="16.5" customHeight="1">
      <c r="J685" s="18"/>
      <c r="K685" s="19"/>
      <c r="L685" s="20"/>
      <c r="M685" s="20"/>
      <c r="N685" s="20"/>
      <c r="O685" s="20"/>
      <c r="P685" s="20"/>
      <c r="Q685" s="20"/>
      <c r="R685" s="20"/>
      <c r="S685" s="20"/>
      <c r="T685" s="20"/>
      <c r="AE685" s="21" t="str">
        <f t="shared" si="100"/>
        <v/>
      </c>
      <c r="AF685" s="21" t="str">
        <f t="shared" ref="AF685:AN685" si="690">if(not(isblank(L685)),", "&amp;L685,"")</f>
        <v/>
      </c>
      <c r="AG685" s="21" t="str">
        <f t="shared" si="690"/>
        <v/>
      </c>
      <c r="AH685" s="21" t="str">
        <f t="shared" si="690"/>
        <v/>
      </c>
      <c r="AI685" s="21" t="str">
        <f t="shared" si="690"/>
        <v/>
      </c>
      <c r="AJ685" s="21" t="str">
        <f t="shared" si="690"/>
        <v/>
      </c>
      <c r="AK685" s="21" t="str">
        <f t="shared" si="690"/>
        <v/>
      </c>
      <c r="AL685" s="21" t="str">
        <f t="shared" si="690"/>
        <v/>
      </c>
      <c r="AM685" s="21" t="str">
        <f t="shared" si="690"/>
        <v/>
      </c>
      <c r="AN685" s="21" t="str">
        <f t="shared" si="690"/>
        <v/>
      </c>
      <c r="AO685" s="21" t="str">
        <f t="shared" si="102"/>
        <v/>
      </c>
    </row>
    <row r="686" ht="16.5" customHeight="1">
      <c r="J686" s="18"/>
      <c r="K686" s="19"/>
      <c r="L686" s="20"/>
      <c r="M686" s="20"/>
      <c r="N686" s="20"/>
      <c r="O686" s="20"/>
      <c r="P686" s="20"/>
      <c r="Q686" s="20"/>
      <c r="R686" s="20"/>
      <c r="S686" s="20"/>
      <c r="T686" s="20"/>
      <c r="AE686" s="21" t="str">
        <f t="shared" si="100"/>
        <v/>
      </c>
      <c r="AF686" s="21" t="str">
        <f t="shared" ref="AF686:AN686" si="691">if(not(isblank(L686)),", "&amp;L686,"")</f>
        <v/>
      </c>
      <c r="AG686" s="21" t="str">
        <f t="shared" si="691"/>
        <v/>
      </c>
      <c r="AH686" s="21" t="str">
        <f t="shared" si="691"/>
        <v/>
      </c>
      <c r="AI686" s="21" t="str">
        <f t="shared" si="691"/>
        <v/>
      </c>
      <c r="AJ686" s="21" t="str">
        <f t="shared" si="691"/>
        <v/>
      </c>
      <c r="AK686" s="21" t="str">
        <f t="shared" si="691"/>
        <v/>
      </c>
      <c r="AL686" s="21" t="str">
        <f t="shared" si="691"/>
        <v/>
      </c>
      <c r="AM686" s="21" t="str">
        <f t="shared" si="691"/>
        <v/>
      </c>
      <c r="AN686" s="21" t="str">
        <f t="shared" si="691"/>
        <v/>
      </c>
      <c r="AO686" s="21" t="str">
        <f t="shared" si="102"/>
        <v/>
      </c>
    </row>
    <row r="687" ht="16.5" customHeight="1">
      <c r="J687" s="18"/>
      <c r="K687" s="19"/>
      <c r="L687" s="20"/>
      <c r="M687" s="20"/>
      <c r="N687" s="20"/>
      <c r="O687" s="20"/>
      <c r="P687" s="20"/>
      <c r="Q687" s="20"/>
      <c r="R687" s="20"/>
      <c r="S687" s="20"/>
      <c r="T687" s="20"/>
      <c r="AE687" s="21" t="str">
        <f t="shared" si="100"/>
        <v/>
      </c>
      <c r="AF687" s="21" t="str">
        <f t="shared" ref="AF687:AN687" si="692">if(not(isblank(L687)),", "&amp;L687,"")</f>
        <v/>
      </c>
      <c r="AG687" s="21" t="str">
        <f t="shared" si="692"/>
        <v/>
      </c>
      <c r="AH687" s="21" t="str">
        <f t="shared" si="692"/>
        <v/>
      </c>
      <c r="AI687" s="21" t="str">
        <f t="shared" si="692"/>
        <v/>
      </c>
      <c r="AJ687" s="21" t="str">
        <f t="shared" si="692"/>
        <v/>
      </c>
      <c r="AK687" s="21" t="str">
        <f t="shared" si="692"/>
        <v/>
      </c>
      <c r="AL687" s="21" t="str">
        <f t="shared" si="692"/>
        <v/>
      </c>
      <c r="AM687" s="21" t="str">
        <f t="shared" si="692"/>
        <v/>
      </c>
      <c r="AN687" s="21" t="str">
        <f t="shared" si="692"/>
        <v/>
      </c>
      <c r="AO687" s="21" t="str">
        <f t="shared" si="102"/>
        <v/>
      </c>
    </row>
    <row r="688" ht="16.5" customHeight="1">
      <c r="J688" s="18"/>
      <c r="K688" s="19"/>
      <c r="L688" s="20"/>
      <c r="M688" s="20"/>
      <c r="N688" s="20"/>
      <c r="O688" s="20"/>
      <c r="P688" s="20"/>
      <c r="Q688" s="20"/>
      <c r="R688" s="20"/>
      <c r="S688" s="20"/>
      <c r="T688" s="20"/>
      <c r="AE688" s="21" t="str">
        <f t="shared" si="100"/>
        <v/>
      </c>
      <c r="AF688" s="21" t="str">
        <f t="shared" ref="AF688:AN688" si="693">if(not(isblank(L688)),", "&amp;L688,"")</f>
        <v/>
      </c>
      <c r="AG688" s="21" t="str">
        <f t="shared" si="693"/>
        <v/>
      </c>
      <c r="AH688" s="21" t="str">
        <f t="shared" si="693"/>
        <v/>
      </c>
      <c r="AI688" s="21" t="str">
        <f t="shared" si="693"/>
        <v/>
      </c>
      <c r="AJ688" s="21" t="str">
        <f t="shared" si="693"/>
        <v/>
      </c>
      <c r="AK688" s="21" t="str">
        <f t="shared" si="693"/>
        <v/>
      </c>
      <c r="AL688" s="21" t="str">
        <f t="shared" si="693"/>
        <v/>
      </c>
      <c r="AM688" s="21" t="str">
        <f t="shared" si="693"/>
        <v/>
      </c>
      <c r="AN688" s="21" t="str">
        <f t="shared" si="693"/>
        <v/>
      </c>
      <c r="AO688" s="21" t="str">
        <f t="shared" si="102"/>
        <v/>
      </c>
    </row>
    <row r="689" ht="16.5" customHeight="1">
      <c r="J689" s="18"/>
      <c r="K689" s="19"/>
      <c r="L689" s="20"/>
      <c r="M689" s="20"/>
      <c r="N689" s="20"/>
      <c r="O689" s="20"/>
      <c r="P689" s="20"/>
      <c r="Q689" s="20"/>
      <c r="R689" s="20"/>
      <c r="S689" s="20"/>
      <c r="T689" s="20"/>
      <c r="AE689" s="21" t="str">
        <f t="shared" si="100"/>
        <v/>
      </c>
      <c r="AF689" s="21" t="str">
        <f t="shared" ref="AF689:AN689" si="694">if(not(isblank(L689)),", "&amp;L689,"")</f>
        <v/>
      </c>
      <c r="AG689" s="21" t="str">
        <f t="shared" si="694"/>
        <v/>
      </c>
      <c r="AH689" s="21" t="str">
        <f t="shared" si="694"/>
        <v/>
      </c>
      <c r="AI689" s="21" t="str">
        <f t="shared" si="694"/>
        <v/>
      </c>
      <c r="AJ689" s="21" t="str">
        <f t="shared" si="694"/>
        <v/>
      </c>
      <c r="AK689" s="21" t="str">
        <f t="shared" si="694"/>
        <v/>
      </c>
      <c r="AL689" s="21" t="str">
        <f t="shared" si="694"/>
        <v/>
      </c>
      <c r="AM689" s="21" t="str">
        <f t="shared" si="694"/>
        <v/>
      </c>
      <c r="AN689" s="21" t="str">
        <f t="shared" si="694"/>
        <v/>
      </c>
      <c r="AO689" s="21" t="str">
        <f t="shared" si="102"/>
        <v/>
      </c>
    </row>
    <row r="690" ht="16.5" customHeight="1">
      <c r="J690" s="18"/>
      <c r="K690" s="19"/>
      <c r="L690" s="20"/>
      <c r="M690" s="20"/>
      <c r="N690" s="20"/>
      <c r="O690" s="20"/>
      <c r="P690" s="20"/>
      <c r="Q690" s="20"/>
      <c r="R690" s="20"/>
      <c r="S690" s="20"/>
      <c r="T690" s="20"/>
      <c r="AE690" s="21" t="str">
        <f t="shared" si="100"/>
        <v/>
      </c>
      <c r="AF690" s="21" t="str">
        <f t="shared" ref="AF690:AN690" si="695">if(not(isblank(L690)),", "&amp;L690,"")</f>
        <v/>
      </c>
      <c r="AG690" s="21" t="str">
        <f t="shared" si="695"/>
        <v/>
      </c>
      <c r="AH690" s="21" t="str">
        <f t="shared" si="695"/>
        <v/>
      </c>
      <c r="AI690" s="21" t="str">
        <f t="shared" si="695"/>
        <v/>
      </c>
      <c r="AJ690" s="21" t="str">
        <f t="shared" si="695"/>
        <v/>
      </c>
      <c r="AK690" s="21" t="str">
        <f t="shared" si="695"/>
        <v/>
      </c>
      <c r="AL690" s="21" t="str">
        <f t="shared" si="695"/>
        <v/>
      </c>
      <c r="AM690" s="21" t="str">
        <f t="shared" si="695"/>
        <v/>
      </c>
      <c r="AN690" s="21" t="str">
        <f t="shared" si="695"/>
        <v/>
      </c>
      <c r="AO690" s="21" t="str">
        <f t="shared" si="102"/>
        <v/>
      </c>
    </row>
    <row r="691" ht="16.5" customHeight="1">
      <c r="J691" s="18"/>
      <c r="K691" s="19"/>
      <c r="L691" s="20"/>
      <c r="M691" s="20"/>
      <c r="N691" s="20"/>
      <c r="O691" s="20"/>
      <c r="P691" s="20"/>
      <c r="Q691" s="20"/>
      <c r="R691" s="20"/>
      <c r="S691" s="20"/>
      <c r="T691" s="20"/>
      <c r="AE691" s="21" t="str">
        <f t="shared" si="100"/>
        <v/>
      </c>
      <c r="AF691" s="21" t="str">
        <f t="shared" ref="AF691:AN691" si="696">if(not(isblank(L691)),", "&amp;L691,"")</f>
        <v/>
      </c>
      <c r="AG691" s="21" t="str">
        <f t="shared" si="696"/>
        <v/>
      </c>
      <c r="AH691" s="21" t="str">
        <f t="shared" si="696"/>
        <v/>
      </c>
      <c r="AI691" s="21" t="str">
        <f t="shared" si="696"/>
        <v/>
      </c>
      <c r="AJ691" s="21" t="str">
        <f t="shared" si="696"/>
        <v/>
      </c>
      <c r="AK691" s="21" t="str">
        <f t="shared" si="696"/>
        <v/>
      </c>
      <c r="AL691" s="21" t="str">
        <f t="shared" si="696"/>
        <v/>
      </c>
      <c r="AM691" s="21" t="str">
        <f t="shared" si="696"/>
        <v/>
      </c>
      <c r="AN691" s="21" t="str">
        <f t="shared" si="696"/>
        <v/>
      </c>
      <c r="AO691" s="21" t="str">
        <f t="shared" si="102"/>
        <v/>
      </c>
    </row>
    <row r="692" ht="16.5" customHeight="1">
      <c r="J692" s="18"/>
      <c r="K692" s="19"/>
      <c r="L692" s="20"/>
      <c r="M692" s="20"/>
      <c r="N692" s="20"/>
      <c r="O692" s="20"/>
      <c r="P692" s="20"/>
      <c r="Q692" s="20"/>
      <c r="R692" s="20"/>
      <c r="S692" s="20"/>
      <c r="T692" s="20"/>
      <c r="AE692" s="21" t="str">
        <f t="shared" si="100"/>
        <v/>
      </c>
      <c r="AF692" s="21" t="str">
        <f t="shared" ref="AF692:AN692" si="697">if(not(isblank(L692)),", "&amp;L692,"")</f>
        <v/>
      </c>
      <c r="AG692" s="21" t="str">
        <f t="shared" si="697"/>
        <v/>
      </c>
      <c r="AH692" s="21" t="str">
        <f t="shared" si="697"/>
        <v/>
      </c>
      <c r="AI692" s="21" t="str">
        <f t="shared" si="697"/>
        <v/>
      </c>
      <c r="AJ692" s="21" t="str">
        <f t="shared" si="697"/>
        <v/>
      </c>
      <c r="AK692" s="21" t="str">
        <f t="shared" si="697"/>
        <v/>
      </c>
      <c r="AL692" s="21" t="str">
        <f t="shared" si="697"/>
        <v/>
      </c>
      <c r="AM692" s="21" t="str">
        <f t="shared" si="697"/>
        <v/>
      </c>
      <c r="AN692" s="21" t="str">
        <f t="shared" si="697"/>
        <v/>
      </c>
      <c r="AO692" s="21" t="str">
        <f t="shared" si="102"/>
        <v/>
      </c>
    </row>
    <row r="693" ht="16.5" customHeight="1">
      <c r="J693" s="18"/>
      <c r="K693" s="19"/>
      <c r="L693" s="20"/>
      <c r="M693" s="20"/>
      <c r="N693" s="20"/>
      <c r="O693" s="20"/>
      <c r="P693" s="20"/>
      <c r="Q693" s="20"/>
      <c r="R693" s="20"/>
      <c r="S693" s="20"/>
      <c r="T693" s="20"/>
      <c r="AE693" s="21" t="str">
        <f t="shared" si="100"/>
        <v/>
      </c>
      <c r="AF693" s="21" t="str">
        <f t="shared" ref="AF693:AN693" si="698">if(not(isblank(L693)),", "&amp;L693,"")</f>
        <v/>
      </c>
      <c r="AG693" s="21" t="str">
        <f t="shared" si="698"/>
        <v/>
      </c>
      <c r="AH693" s="21" t="str">
        <f t="shared" si="698"/>
        <v/>
      </c>
      <c r="AI693" s="21" t="str">
        <f t="shared" si="698"/>
        <v/>
      </c>
      <c r="AJ693" s="21" t="str">
        <f t="shared" si="698"/>
        <v/>
      </c>
      <c r="AK693" s="21" t="str">
        <f t="shared" si="698"/>
        <v/>
      </c>
      <c r="AL693" s="21" t="str">
        <f t="shared" si="698"/>
        <v/>
      </c>
      <c r="AM693" s="21" t="str">
        <f t="shared" si="698"/>
        <v/>
      </c>
      <c r="AN693" s="21" t="str">
        <f t="shared" si="698"/>
        <v/>
      </c>
      <c r="AO693" s="21" t="str">
        <f t="shared" si="102"/>
        <v/>
      </c>
    </row>
    <row r="694" ht="16.5" customHeight="1">
      <c r="J694" s="18"/>
      <c r="K694" s="19"/>
      <c r="L694" s="20"/>
      <c r="M694" s="20"/>
      <c r="N694" s="20"/>
      <c r="O694" s="20"/>
      <c r="P694" s="20"/>
      <c r="Q694" s="20"/>
      <c r="R694" s="20"/>
      <c r="S694" s="20"/>
      <c r="T694" s="20"/>
      <c r="AE694" s="21" t="str">
        <f t="shared" si="100"/>
        <v/>
      </c>
      <c r="AF694" s="21" t="str">
        <f t="shared" ref="AF694:AN694" si="699">if(not(isblank(L694)),", "&amp;L694,"")</f>
        <v/>
      </c>
      <c r="AG694" s="21" t="str">
        <f t="shared" si="699"/>
        <v/>
      </c>
      <c r="AH694" s="21" t="str">
        <f t="shared" si="699"/>
        <v/>
      </c>
      <c r="AI694" s="21" t="str">
        <f t="shared" si="699"/>
        <v/>
      </c>
      <c r="AJ694" s="21" t="str">
        <f t="shared" si="699"/>
        <v/>
      </c>
      <c r="AK694" s="21" t="str">
        <f t="shared" si="699"/>
        <v/>
      </c>
      <c r="AL694" s="21" t="str">
        <f t="shared" si="699"/>
        <v/>
      </c>
      <c r="AM694" s="21" t="str">
        <f t="shared" si="699"/>
        <v/>
      </c>
      <c r="AN694" s="21" t="str">
        <f t="shared" si="699"/>
        <v/>
      </c>
      <c r="AO694" s="21" t="str">
        <f t="shared" si="102"/>
        <v/>
      </c>
    </row>
    <row r="695" ht="16.5" customHeight="1">
      <c r="J695" s="18"/>
      <c r="K695" s="19"/>
      <c r="L695" s="20"/>
      <c r="M695" s="20"/>
      <c r="N695" s="20"/>
      <c r="O695" s="20"/>
      <c r="P695" s="20"/>
      <c r="Q695" s="20"/>
      <c r="R695" s="20"/>
      <c r="S695" s="20"/>
      <c r="T695" s="20"/>
      <c r="AE695" s="21" t="str">
        <f t="shared" si="100"/>
        <v/>
      </c>
      <c r="AF695" s="21" t="str">
        <f t="shared" ref="AF695:AN695" si="700">if(not(isblank(L695)),", "&amp;L695,"")</f>
        <v/>
      </c>
      <c r="AG695" s="21" t="str">
        <f t="shared" si="700"/>
        <v/>
      </c>
      <c r="AH695" s="21" t="str">
        <f t="shared" si="700"/>
        <v/>
      </c>
      <c r="AI695" s="21" t="str">
        <f t="shared" si="700"/>
        <v/>
      </c>
      <c r="AJ695" s="21" t="str">
        <f t="shared" si="700"/>
        <v/>
      </c>
      <c r="AK695" s="21" t="str">
        <f t="shared" si="700"/>
        <v/>
      </c>
      <c r="AL695" s="21" t="str">
        <f t="shared" si="700"/>
        <v/>
      </c>
      <c r="AM695" s="21" t="str">
        <f t="shared" si="700"/>
        <v/>
      </c>
      <c r="AN695" s="21" t="str">
        <f t="shared" si="700"/>
        <v/>
      </c>
      <c r="AO695" s="21" t="str">
        <f t="shared" si="102"/>
        <v/>
      </c>
    </row>
    <row r="696" ht="16.5" customHeight="1">
      <c r="J696" s="18"/>
      <c r="K696" s="19"/>
      <c r="L696" s="20"/>
      <c r="M696" s="20"/>
      <c r="N696" s="20"/>
      <c r="O696" s="20"/>
      <c r="P696" s="20"/>
      <c r="Q696" s="20"/>
      <c r="R696" s="20"/>
      <c r="S696" s="20"/>
      <c r="T696" s="20"/>
      <c r="AE696" s="21" t="str">
        <f t="shared" si="100"/>
        <v/>
      </c>
      <c r="AF696" s="21" t="str">
        <f t="shared" ref="AF696:AN696" si="701">if(not(isblank(L696)),", "&amp;L696,"")</f>
        <v/>
      </c>
      <c r="AG696" s="21" t="str">
        <f t="shared" si="701"/>
        <v/>
      </c>
      <c r="AH696" s="21" t="str">
        <f t="shared" si="701"/>
        <v/>
      </c>
      <c r="AI696" s="21" t="str">
        <f t="shared" si="701"/>
        <v/>
      </c>
      <c r="AJ696" s="21" t="str">
        <f t="shared" si="701"/>
        <v/>
      </c>
      <c r="AK696" s="21" t="str">
        <f t="shared" si="701"/>
        <v/>
      </c>
      <c r="AL696" s="21" t="str">
        <f t="shared" si="701"/>
        <v/>
      </c>
      <c r="AM696" s="21" t="str">
        <f t="shared" si="701"/>
        <v/>
      </c>
      <c r="AN696" s="21" t="str">
        <f t="shared" si="701"/>
        <v/>
      </c>
      <c r="AO696" s="21" t="str">
        <f t="shared" si="102"/>
        <v/>
      </c>
    </row>
    <row r="697" ht="16.5" customHeight="1">
      <c r="J697" s="18"/>
      <c r="K697" s="19"/>
      <c r="L697" s="20"/>
      <c r="M697" s="20"/>
      <c r="N697" s="20"/>
      <c r="O697" s="20"/>
      <c r="P697" s="20"/>
      <c r="Q697" s="20"/>
      <c r="R697" s="20"/>
      <c r="S697" s="20"/>
      <c r="T697" s="20"/>
      <c r="AE697" s="21" t="str">
        <f t="shared" si="100"/>
        <v/>
      </c>
      <c r="AF697" s="21" t="str">
        <f t="shared" ref="AF697:AN697" si="702">if(not(isblank(L697)),", "&amp;L697,"")</f>
        <v/>
      </c>
      <c r="AG697" s="21" t="str">
        <f t="shared" si="702"/>
        <v/>
      </c>
      <c r="AH697" s="21" t="str">
        <f t="shared" si="702"/>
        <v/>
      </c>
      <c r="AI697" s="21" t="str">
        <f t="shared" si="702"/>
        <v/>
      </c>
      <c r="AJ697" s="21" t="str">
        <f t="shared" si="702"/>
        <v/>
      </c>
      <c r="AK697" s="21" t="str">
        <f t="shared" si="702"/>
        <v/>
      </c>
      <c r="AL697" s="21" t="str">
        <f t="shared" si="702"/>
        <v/>
      </c>
      <c r="AM697" s="21" t="str">
        <f t="shared" si="702"/>
        <v/>
      </c>
      <c r="AN697" s="21" t="str">
        <f t="shared" si="702"/>
        <v/>
      </c>
      <c r="AO697" s="21" t="str">
        <f t="shared" si="102"/>
        <v/>
      </c>
    </row>
    <row r="698" ht="16.5" customHeight="1">
      <c r="J698" s="18"/>
      <c r="K698" s="19"/>
      <c r="L698" s="20"/>
      <c r="M698" s="20"/>
      <c r="N698" s="20"/>
      <c r="O698" s="20"/>
      <c r="P698" s="20"/>
      <c r="Q698" s="20"/>
      <c r="R698" s="20"/>
      <c r="S698" s="20"/>
      <c r="T698" s="20"/>
      <c r="AE698" s="21" t="str">
        <f t="shared" si="100"/>
        <v/>
      </c>
      <c r="AF698" s="21" t="str">
        <f t="shared" ref="AF698:AN698" si="703">if(not(isblank(L698)),", "&amp;L698,"")</f>
        <v/>
      </c>
      <c r="AG698" s="21" t="str">
        <f t="shared" si="703"/>
        <v/>
      </c>
      <c r="AH698" s="21" t="str">
        <f t="shared" si="703"/>
        <v/>
      </c>
      <c r="AI698" s="21" t="str">
        <f t="shared" si="703"/>
        <v/>
      </c>
      <c r="AJ698" s="21" t="str">
        <f t="shared" si="703"/>
        <v/>
      </c>
      <c r="AK698" s="21" t="str">
        <f t="shared" si="703"/>
        <v/>
      </c>
      <c r="AL698" s="21" t="str">
        <f t="shared" si="703"/>
        <v/>
      </c>
      <c r="AM698" s="21" t="str">
        <f t="shared" si="703"/>
        <v/>
      </c>
      <c r="AN698" s="21" t="str">
        <f t="shared" si="703"/>
        <v/>
      </c>
      <c r="AO698" s="21" t="str">
        <f t="shared" si="102"/>
        <v/>
      </c>
    </row>
    <row r="699" ht="16.5" customHeight="1">
      <c r="J699" s="18"/>
      <c r="K699" s="19"/>
      <c r="L699" s="20"/>
      <c r="M699" s="20"/>
      <c r="N699" s="20"/>
      <c r="O699" s="20"/>
      <c r="P699" s="20"/>
      <c r="Q699" s="20"/>
      <c r="R699" s="20"/>
      <c r="S699" s="20"/>
      <c r="T699" s="20"/>
      <c r="AE699" s="21" t="str">
        <f t="shared" si="100"/>
        <v/>
      </c>
      <c r="AF699" s="21" t="str">
        <f t="shared" ref="AF699:AN699" si="704">if(not(isblank(L699)),", "&amp;L699,"")</f>
        <v/>
      </c>
      <c r="AG699" s="21" t="str">
        <f t="shared" si="704"/>
        <v/>
      </c>
      <c r="AH699" s="21" t="str">
        <f t="shared" si="704"/>
        <v/>
      </c>
      <c r="AI699" s="21" t="str">
        <f t="shared" si="704"/>
        <v/>
      </c>
      <c r="AJ699" s="21" t="str">
        <f t="shared" si="704"/>
        <v/>
      </c>
      <c r="AK699" s="21" t="str">
        <f t="shared" si="704"/>
        <v/>
      </c>
      <c r="AL699" s="21" t="str">
        <f t="shared" si="704"/>
        <v/>
      </c>
      <c r="AM699" s="21" t="str">
        <f t="shared" si="704"/>
        <v/>
      </c>
      <c r="AN699" s="21" t="str">
        <f t="shared" si="704"/>
        <v/>
      </c>
      <c r="AO699" s="21" t="str">
        <f t="shared" si="102"/>
        <v/>
      </c>
    </row>
    <row r="700" ht="16.5" customHeight="1">
      <c r="J700" s="18"/>
      <c r="K700" s="19"/>
      <c r="L700" s="20"/>
      <c r="M700" s="20"/>
      <c r="N700" s="20"/>
      <c r="O700" s="20"/>
      <c r="P700" s="20"/>
      <c r="Q700" s="20"/>
      <c r="R700" s="20"/>
      <c r="S700" s="20"/>
      <c r="T700" s="20"/>
      <c r="AE700" s="21" t="str">
        <f t="shared" si="100"/>
        <v/>
      </c>
      <c r="AF700" s="21" t="str">
        <f t="shared" ref="AF700:AN700" si="705">if(not(isblank(L700)),", "&amp;L700,"")</f>
        <v/>
      </c>
      <c r="AG700" s="21" t="str">
        <f t="shared" si="705"/>
        <v/>
      </c>
      <c r="AH700" s="21" t="str">
        <f t="shared" si="705"/>
        <v/>
      </c>
      <c r="AI700" s="21" t="str">
        <f t="shared" si="705"/>
        <v/>
      </c>
      <c r="AJ700" s="21" t="str">
        <f t="shared" si="705"/>
        <v/>
      </c>
      <c r="AK700" s="21" t="str">
        <f t="shared" si="705"/>
        <v/>
      </c>
      <c r="AL700" s="21" t="str">
        <f t="shared" si="705"/>
        <v/>
      </c>
      <c r="AM700" s="21" t="str">
        <f t="shared" si="705"/>
        <v/>
      </c>
      <c r="AN700" s="21" t="str">
        <f t="shared" si="705"/>
        <v/>
      </c>
      <c r="AO700" s="21" t="str">
        <f t="shared" si="102"/>
        <v/>
      </c>
    </row>
    <row r="701" ht="16.5" customHeight="1">
      <c r="J701" s="18"/>
      <c r="K701" s="19"/>
      <c r="L701" s="20"/>
      <c r="M701" s="20"/>
      <c r="N701" s="20"/>
      <c r="O701" s="20"/>
      <c r="P701" s="20"/>
      <c r="Q701" s="20"/>
      <c r="R701" s="20"/>
      <c r="S701" s="20"/>
      <c r="T701" s="20"/>
      <c r="AE701" s="21" t="str">
        <f t="shared" si="100"/>
        <v/>
      </c>
      <c r="AF701" s="21" t="str">
        <f t="shared" ref="AF701:AN701" si="706">if(not(isblank(L701)),", "&amp;L701,"")</f>
        <v/>
      </c>
      <c r="AG701" s="21" t="str">
        <f t="shared" si="706"/>
        <v/>
      </c>
      <c r="AH701" s="21" t="str">
        <f t="shared" si="706"/>
        <v/>
      </c>
      <c r="AI701" s="21" t="str">
        <f t="shared" si="706"/>
        <v/>
      </c>
      <c r="AJ701" s="21" t="str">
        <f t="shared" si="706"/>
        <v/>
      </c>
      <c r="AK701" s="21" t="str">
        <f t="shared" si="706"/>
        <v/>
      </c>
      <c r="AL701" s="21" t="str">
        <f t="shared" si="706"/>
        <v/>
      </c>
      <c r="AM701" s="21" t="str">
        <f t="shared" si="706"/>
        <v/>
      </c>
      <c r="AN701" s="21" t="str">
        <f t="shared" si="706"/>
        <v/>
      </c>
      <c r="AO701" s="21" t="str">
        <f t="shared" si="102"/>
        <v/>
      </c>
    </row>
    <row r="702" ht="16.5" customHeight="1">
      <c r="J702" s="18"/>
      <c r="K702" s="19"/>
      <c r="L702" s="20"/>
      <c r="M702" s="20"/>
      <c r="N702" s="20"/>
      <c r="O702" s="20"/>
      <c r="P702" s="20"/>
      <c r="Q702" s="20"/>
      <c r="R702" s="20"/>
      <c r="S702" s="20"/>
      <c r="T702" s="20"/>
      <c r="AE702" s="21" t="str">
        <f t="shared" si="100"/>
        <v/>
      </c>
      <c r="AF702" s="21" t="str">
        <f t="shared" ref="AF702:AN702" si="707">if(not(isblank(L702)),", "&amp;L702,"")</f>
        <v/>
      </c>
      <c r="AG702" s="21" t="str">
        <f t="shared" si="707"/>
        <v/>
      </c>
      <c r="AH702" s="21" t="str">
        <f t="shared" si="707"/>
        <v/>
      </c>
      <c r="AI702" s="21" t="str">
        <f t="shared" si="707"/>
        <v/>
      </c>
      <c r="AJ702" s="21" t="str">
        <f t="shared" si="707"/>
        <v/>
      </c>
      <c r="AK702" s="21" t="str">
        <f t="shared" si="707"/>
        <v/>
      </c>
      <c r="AL702" s="21" t="str">
        <f t="shared" si="707"/>
        <v/>
      </c>
      <c r="AM702" s="21" t="str">
        <f t="shared" si="707"/>
        <v/>
      </c>
      <c r="AN702" s="21" t="str">
        <f t="shared" si="707"/>
        <v/>
      </c>
      <c r="AO702" s="21" t="str">
        <f t="shared" si="102"/>
        <v/>
      </c>
    </row>
    <row r="703" ht="16.5" customHeight="1">
      <c r="J703" s="18"/>
      <c r="K703" s="19"/>
      <c r="L703" s="20"/>
      <c r="M703" s="20"/>
      <c r="N703" s="20"/>
      <c r="O703" s="20"/>
      <c r="P703" s="20"/>
      <c r="Q703" s="20"/>
      <c r="R703" s="20"/>
      <c r="S703" s="20"/>
      <c r="T703" s="20"/>
      <c r="AE703" s="21" t="str">
        <f t="shared" si="100"/>
        <v/>
      </c>
      <c r="AF703" s="21" t="str">
        <f t="shared" ref="AF703:AN703" si="708">if(not(isblank(L703)),", "&amp;L703,"")</f>
        <v/>
      </c>
      <c r="AG703" s="21" t="str">
        <f t="shared" si="708"/>
        <v/>
      </c>
      <c r="AH703" s="21" t="str">
        <f t="shared" si="708"/>
        <v/>
      </c>
      <c r="AI703" s="21" t="str">
        <f t="shared" si="708"/>
        <v/>
      </c>
      <c r="AJ703" s="21" t="str">
        <f t="shared" si="708"/>
        <v/>
      </c>
      <c r="AK703" s="21" t="str">
        <f t="shared" si="708"/>
        <v/>
      </c>
      <c r="AL703" s="21" t="str">
        <f t="shared" si="708"/>
        <v/>
      </c>
      <c r="AM703" s="21" t="str">
        <f t="shared" si="708"/>
        <v/>
      </c>
      <c r="AN703" s="21" t="str">
        <f t="shared" si="708"/>
        <v/>
      </c>
      <c r="AO703" s="21" t="str">
        <f t="shared" si="102"/>
        <v/>
      </c>
    </row>
    <row r="704" ht="16.5" customHeight="1">
      <c r="J704" s="18"/>
      <c r="K704" s="19"/>
      <c r="L704" s="20"/>
      <c r="M704" s="20"/>
      <c r="N704" s="20"/>
      <c r="O704" s="20"/>
      <c r="P704" s="20"/>
      <c r="Q704" s="20"/>
      <c r="R704" s="20"/>
      <c r="S704" s="20"/>
      <c r="T704" s="20"/>
      <c r="AE704" s="21" t="str">
        <f t="shared" si="100"/>
        <v/>
      </c>
      <c r="AF704" s="21" t="str">
        <f t="shared" ref="AF704:AN704" si="709">if(not(isblank(L704)),", "&amp;L704,"")</f>
        <v/>
      </c>
      <c r="AG704" s="21" t="str">
        <f t="shared" si="709"/>
        <v/>
      </c>
      <c r="AH704" s="21" t="str">
        <f t="shared" si="709"/>
        <v/>
      </c>
      <c r="AI704" s="21" t="str">
        <f t="shared" si="709"/>
        <v/>
      </c>
      <c r="AJ704" s="21" t="str">
        <f t="shared" si="709"/>
        <v/>
      </c>
      <c r="AK704" s="21" t="str">
        <f t="shared" si="709"/>
        <v/>
      </c>
      <c r="AL704" s="21" t="str">
        <f t="shared" si="709"/>
        <v/>
      </c>
      <c r="AM704" s="21" t="str">
        <f t="shared" si="709"/>
        <v/>
      </c>
      <c r="AN704" s="21" t="str">
        <f t="shared" si="709"/>
        <v/>
      </c>
      <c r="AO704" s="21" t="str">
        <f t="shared" si="102"/>
        <v/>
      </c>
    </row>
    <row r="705" ht="16.5" customHeight="1">
      <c r="J705" s="18"/>
      <c r="K705" s="19"/>
      <c r="L705" s="20"/>
      <c r="M705" s="20"/>
      <c r="N705" s="20"/>
      <c r="O705" s="20"/>
      <c r="P705" s="20"/>
      <c r="Q705" s="20"/>
      <c r="R705" s="20"/>
      <c r="S705" s="20"/>
      <c r="T705" s="20"/>
      <c r="AE705" s="21" t="str">
        <f t="shared" si="100"/>
        <v/>
      </c>
      <c r="AF705" s="21" t="str">
        <f t="shared" ref="AF705:AN705" si="710">if(not(isblank(L705)),", "&amp;L705,"")</f>
        <v/>
      </c>
      <c r="AG705" s="21" t="str">
        <f t="shared" si="710"/>
        <v/>
      </c>
      <c r="AH705" s="21" t="str">
        <f t="shared" si="710"/>
        <v/>
      </c>
      <c r="AI705" s="21" t="str">
        <f t="shared" si="710"/>
        <v/>
      </c>
      <c r="AJ705" s="21" t="str">
        <f t="shared" si="710"/>
        <v/>
      </c>
      <c r="AK705" s="21" t="str">
        <f t="shared" si="710"/>
        <v/>
      </c>
      <c r="AL705" s="21" t="str">
        <f t="shared" si="710"/>
        <v/>
      </c>
      <c r="AM705" s="21" t="str">
        <f t="shared" si="710"/>
        <v/>
      </c>
      <c r="AN705" s="21" t="str">
        <f t="shared" si="710"/>
        <v/>
      </c>
      <c r="AO705" s="21" t="str">
        <f t="shared" si="102"/>
        <v/>
      </c>
    </row>
    <row r="706" ht="16.5" customHeight="1">
      <c r="J706" s="18"/>
      <c r="K706" s="19"/>
      <c r="L706" s="20"/>
      <c r="M706" s="20"/>
      <c r="N706" s="20"/>
      <c r="O706" s="20"/>
      <c r="P706" s="20"/>
      <c r="Q706" s="20"/>
      <c r="R706" s="20"/>
      <c r="S706" s="20"/>
      <c r="T706" s="20"/>
      <c r="AE706" s="21" t="str">
        <f t="shared" si="100"/>
        <v/>
      </c>
      <c r="AF706" s="21" t="str">
        <f t="shared" ref="AF706:AN706" si="711">if(not(isblank(L706)),", "&amp;L706,"")</f>
        <v/>
      </c>
      <c r="AG706" s="21" t="str">
        <f t="shared" si="711"/>
        <v/>
      </c>
      <c r="AH706" s="21" t="str">
        <f t="shared" si="711"/>
        <v/>
      </c>
      <c r="AI706" s="21" t="str">
        <f t="shared" si="711"/>
        <v/>
      </c>
      <c r="AJ706" s="21" t="str">
        <f t="shared" si="711"/>
        <v/>
      </c>
      <c r="AK706" s="21" t="str">
        <f t="shared" si="711"/>
        <v/>
      </c>
      <c r="AL706" s="21" t="str">
        <f t="shared" si="711"/>
        <v/>
      </c>
      <c r="AM706" s="21" t="str">
        <f t="shared" si="711"/>
        <v/>
      </c>
      <c r="AN706" s="21" t="str">
        <f t="shared" si="711"/>
        <v/>
      </c>
      <c r="AO706" s="21" t="str">
        <f t="shared" si="102"/>
        <v/>
      </c>
    </row>
    <row r="707" ht="16.5" customHeight="1">
      <c r="J707" s="18"/>
      <c r="K707" s="19"/>
      <c r="L707" s="20"/>
      <c r="M707" s="20"/>
      <c r="N707" s="20"/>
      <c r="O707" s="20"/>
      <c r="P707" s="20"/>
      <c r="Q707" s="20"/>
      <c r="R707" s="20"/>
      <c r="S707" s="20"/>
      <c r="T707" s="20"/>
      <c r="AE707" s="21" t="str">
        <f t="shared" si="100"/>
        <v/>
      </c>
      <c r="AF707" s="21" t="str">
        <f t="shared" ref="AF707:AN707" si="712">if(not(isblank(L707)),", "&amp;L707,"")</f>
        <v/>
      </c>
      <c r="AG707" s="21" t="str">
        <f t="shared" si="712"/>
        <v/>
      </c>
      <c r="AH707" s="21" t="str">
        <f t="shared" si="712"/>
        <v/>
      </c>
      <c r="AI707" s="21" t="str">
        <f t="shared" si="712"/>
        <v/>
      </c>
      <c r="AJ707" s="21" t="str">
        <f t="shared" si="712"/>
        <v/>
      </c>
      <c r="AK707" s="21" t="str">
        <f t="shared" si="712"/>
        <v/>
      </c>
      <c r="AL707" s="21" t="str">
        <f t="shared" si="712"/>
        <v/>
      </c>
      <c r="AM707" s="21" t="str">
        <f t="shared" si="712"/>
        <v/>
      </c>
      <c r="AN707" s="21" t="str">
        <f t="shared" si="712"/>
        <v/>
      </c>
      <c r="AO707" s="21" t="str">
        <f t="shared" si="102"/>
        <v/>
      </c>
    </row>
    <row r="708" ht="16.5" customHeight="1">
      <c r="J708" s="18"/>
      <c r="K708" s="19"/>
      <c r="L708" s="20"/>
      <c r="M708" s="20"/>
      <c r="N708" s="20"/>
      <c r="O708" s="20"/>
      <c r="P708" s="20"/>
      <c r="Q708" s="20"/>
      <c r="R708" s="20"/>
      <c r="S708" s="20"/>
      <c r="T708" s="20"/>
      <c r="AE708" s="21" t="str">
        <f t="shared" si="100"/>
        <v/>
      </c>
      <c r="AF708" s="21" t="str">
        <f t="shared" ref="AF708:AN708" si="713">if(not(isblank(L708)),", "&amp;L708,"")</f>
        <v/>
      </c>
      <c r="AG708" s="21" t="str">
        <f t="shared" si="713"/>
        <v/>
      </c>
      <c r="AH708" s="21" t="str">
        <f t="shared" si="713"/>
        <v/>
      </c>
      <c r="AI708" s="21" t="str">
        <f t="shared" si="713"/>
        <v/>
      </c>
      <c r="AJ708" s="21" t="str">
        <f t="shared" si="713"/>
        <v/>
      </c>
      <c r="AK708" s="21" t="str">
        <f t="shared" si="713"/>
        <v/>
      </c>
      <c r="AL708" s="21" t="str">
        <f t="shared" si="713"/>
        <v/>
      </c>
      <c r="AM708" s="21" t="str">
        <f t="shared" si="713"/>
        <v/>
      </c>
      <c r="AN708" s="21" t="str">
        <f t="shared" si="713"/>
        <v/>
      </c>
      <c r="AO708" s="21" t="str">
        <f t="shared" si="102"/>
        <v/>
      </c>
    </row>
    <row r="709" ht="16.5" customHeight="1">
      <c r="J709" s="18"/>
      <c r="K709" s="19"/>
      <c r="L709" s="20"/>
      <c r="M709" s="20"/>
      <c r="N709" s="20"/>
      <c r="O709" s="20"/>
      <c r="P709" s="20"/>
      <c r="Q709" s="20"/>
      <c r="R709" s="20"/>
      <c r="S709" s="20"/>
      <c r="T709" s="20"/>
      <c r="AE709" s="21" t="str">
        <f t="shared" si="100"/>
        <v/>
      </c>
      <c r="AF709" s="21" t="str">
        <f t="shared" ref="AF709:AN709" si="714">if(not(isblank(L709)),", "&amp;L709,"")</f>
        <v/>
      </c>
      <c r="AG709" s="21" t="str">
        <f t="shared" si="714"/>
        <v/>
      </c>
      <c r="AH709" s="21" t="str">
        <f t="shared" si="714"/>
        <v/>
      </c>
      <c r="AI709" s="21" t="str">
        <f t="shared" si="714"/>
        <v/>
      </c>
      <c r="AJ709" s="21" t="str">
        <f t="shared" si="714"/>
        <v/>
      </c>
      <c r="AK709" s="21" t="str">
        <f t="shared" si="714"/>
        <v/>
      </c>
      <c r="AL709" s="21" t="str">
        <f t="shared" si="714"/>
        <v/>
      </c>
      <c r="AM709" s="21" t="str">
        <f t="shared" si="714"/>
        <v/>
      </c>
      <c r="AN709" s="21" t="str">
        <f t="shared" si="714"/>
        <v/>
      </c>
      <c r="AO709" s="21" t="str">
        <f t="shared" si="102"/>
        <v/>
      </c>
    </row>
    <row r="710" ht="16.5" customHeight="1">
      <c r="J710" s="18"/>
      <c r="K710" s="19"/>
      <c r="L710" s="20"/>
      <c r="M710" s="20"/>
      <c r="N710" s="20"/>
      <c r="O710" s="20"/>
      <c r="P710" s="20"/>
      <c r="Q710" s="20"/>
      <c r="R710" s="20"/>
      <c r="S710" s="20"/>
      <c r="T710" s="20"/>
      <c r="AE710" s="21" t="str">
        <f t="shared" si="100"/>
        <v/>
      </c>
      <c r="AF710" s="21" t="str">
        <f t="shared" ref="AF710:AN710" si="715">if(not(isblank(L710)),", "&amp;L710,"")</f>
        <v/>
      </c>
      <c r="AG710" s="21" t="str">
        <f t="shared" si="715"/>
        <v/>
      </c>
      <c r="AH710" s="21" t="str">
        <f t="shared" si="715"/>
        <v/>
      </c>
      <c r="AI710" s="21" t="str">
        <f t="shared" si="715"/>
        <v/>
      </c>
      <c r="AJ710" s="21" t="str">
        <f t="shared" si="715"/>
        <v/>
      </c>
      <c r="AK710" s="21" t="str">
        <f t="shared" si="715"/>
        <v/>
      </c>
      <c r="AL710" s="21" t="str">
        <f t="shared" si="715"/>
        <v/>
      </c>
      <c r="AM710" s="21" t="str">
        <f t="shared" si="715"/>
        <v/>
      </c>
      <c r="AN710" s="21" t="str">
        <f t="shared" si="715"/>
        <v/>
      </c>
      <c r="AO710" s="21" t="str">
        <f t="shared" si="102"/>
        <v/>
      </c>
    </row>
    <row r="711" ht="16.5" customHeight="1">
      <c r="J711" s="18"/>
      <c r="K711" s="19"/>
      <c r="L711" s="20"/>
      <c r="M711" s="20"/>
      <c r="N711" s="20"/>
      <c r="O711" s="20"/>
      <c r="P711" s="20"/>
      <c r="Q711" s="20"/>
      <c r="R711" s="20"/>
      <c r="S711" s="20"/>
      <c r="T711" s="20"/>
      <c r="AE711" s="21" t="str">
        <f t="shared" si="100"/>
        <v/>
      </c>
      <c r="AF711" s="21" t="str">
        <f t="shared" ref="AF711:AN711" si="716">if(not(isblank(L711)),", "&amp;L711,"")</f>
        <v/>
      </c>
      <c r="AG711" s="21" t="str">
        <f t="shared" si="716"/>
        <v/>
      </c>
      <c r="AH711" s="21" t="str">
        <f t="shared" si="716"/>
        <v/>
      </c>
      <c r="AI711" s="21" t="str">
        <f t="shared" si="716"/>
        <v/>
      </c>
      <c r="AJ711" s="21" t="str">
        <f t="shared" si="716"/>
        <v/>
      </c>
      <c r="AK711" s="21" t="str">
        <f t="shared" si="716"/>
        <v/>
      </c>
      <c r="AL711" s="21" t="str">
        <f t="shared" si="716"/>
        <v/>
      </c>
      <c r="AM711" s="21" t="str">
        <f t="shared" si="716"/>
        <v/>
      </c>
      <c r="AN711" s="21" t="str">
        <f t="shared" si="716"/>
        <v/>
      </c>
      <c r="AO711" s="21" t="str">
        <f t="shared" si="102"/>
        <v/>
      </c>
    </row>
    <row r="712" ht="16.5" customHeight="1">
      <c r="J712" s="18"/>
      <c r="K712" s="19"/>
      <c r="L712" s="20"/>
      <c r="M712" s="20"/>
      <c r="N712" s="20"/>
      <c r="O712" s="20"/>
      <c r="P712" s="20"/>
      <c r="Q712" s="20"/>
      <c r="R712" s="20"/>
      <c r="S712" s="20"/>
      <c r="T712" s="20"/>
      <c r="AE712" s="21" t="str">
        <f t="shared" si="100"/>
        <v/>
      </c>
      <c r="AF712" s="21" t="str">
        <f t="shared" ref="AF712:AN712" si="717">if(not(isblank(L712)),", "&amp;L712,"")</f>
        <v/>
      </c>
      <c r="AG712" s="21" t="str">
        <f t="shared" si="717"/>
        <v/>
      </c>
      <c r="AH712" s="21" t="str">
        <f t="shared" si="717"/>
        <v/>
      </c>
      <c r="AI712" s="21" t="str">
        <f t="shared" si="717"/>
        <v/>
      </c>
      <c r="AJ712" s="21" t="str">
        <f t="shared" si="717"/>
        <v/>
      </c>
      <c r="AK712" s="21" t="str">
        <f t="shared" si="717"/>
        <v/>
      </c>
      <c r="AL712" s="21" t="str">
        <f t="shared" si="717"/>
        <v/>
      </c>
      <c r="AM712" s="21" t="str">
        <f t="shared" si="717"/>
        <v/>
      </c>
      <c r="AN712" s="21" t="str">
        <f t="shared" si="717"/>
        <v/>
      </c>
      <c r="AO712" s="21" t="str">
        <f t="shared" si="102"/>
        <v/>
      </c>
    </row>
    <row r="713" ht="16.5" customHeight="1">
      <c r="J713" s="18"/>
      <c r="K713" s="19"/>
      <c r="L713" s="20"/>
      <c r="M713" s="20"/>
      <c r="N713" s="20"/>
      <c r="O713" s="20"/>
      <c r="P713" s="20"/>
      <c r="Q713" s="20"/>
      <c r="R713" s="20"/>
      <c r="S713" s="20"/>
      <c r="T713" s="20"/>
      <c r="AE713" s="21" t="str">
        <f t="shared" si="100"/>
        <v/>
      </c>
      <c r="AF713" s="21" t="str">
        <f t="shared" ref="AF713:AN713" si="718">if(not(isblank(L713)),", "&amp;L713,"")</f>
        <v/>
      </c>
      <c r="AG713" s="21" t="str">
        <f t="shared" si="718"/>
        <v/>
      </c>
      <c r="AH713" s="21" t="str">
        <f t="shared" si="718"/>
        <v/>
      </c>
      <c r="AI713" s="21" t="str">
        <f t="shared" si="718"/>
        <v/>
      </c>
      <c r="AJ713" s="21" t="str">
        <f t="shared" si="718"/>
        <v/>
      </c>
      <c r="AK713" s="21" t="str">
        <f t="shared" si="718"/>
        <v/>
      </c>
      <c r="AL713" s="21" t="str">
        <f t="shared" si="718"/>
        <v/>
      </c>
      <c r="AM713" s="21" t="str">
        <f t="shared" si="718"/>
        <v/>
      </c>
      <c r="AN713" s="21" t="str">
        <f t="shared" si="718"/>
        <v/>
      </c>
      <c r="AO713" s="21" t="str">
        <f t="shared" si="102"/>
        <v/>
      </c>
    </row>
    <row r="714" ht="16.5" customHeight="1">
      <c r="J714" s="18"/>
      <c r="K714" s="19"/>
      <c r="L714" s="20"/>
      <c r="M714" s="20"/>
      <c r="N714" s="20"/>
      <c r="O714" s="20"/>
      <c r="P714" s="20"/>
      <c r="Q714" s="20"/>
      <c r="R714" s="20"/>
      <c r="S714" s="20"/>
      <c r="T714" s="20"/>
      <c r="AE714" s="21" t="str">
        <f t="shared" si="100"/>
        <v/>
      </c>
      <c r="AF714" s="21" t="str">
        <f t="shared" ref="AF714:AN714" si="719">if(not(isblank(L714)),", "&amp;L714,"")</f>
        <v/>
      </c>
      <c r="AG714" s="21" t="str">
        <f t="shared" si="719"/>
        <v/>
      </c>
      <c r="AH714" s="21" t="str">
        <f t="shared" si="719"/>
        <v/>
      </c>
      <c r="AI714" s="21" t="str">
        <f t="shared" si="719"/>
        <v/>
      </c>
      <c r="AJ714" s="21" t="str">
        <f t="shared" si="719"/>
        <v/>
      </c>
      <c r="AK714" s="21" t="str">
        <f t="shared" si="719"/>
        <v/>
      </c>
      <c r="AL714" s="21" t="str">
        <f t="shared" si="719"/>
        <v/>
      </c>
      <c r="AM714" s="21" t="str">
        <f t="shared" si="719"/>
        <v/>
      </c>
      <c r="AN714" s="21" t="str">
        <f t="shared" si="719"/>
        <v/>
      </c>
      <c r="AO714" s="21" t="str">
        <f t="shared" si="102"/>
        <v/>
      </c>
    </row>
    <row r="715" ht="16.5" customHeight="1">
      <c r="J715" s="18"/>
      <c r="K715" s="19"/>
      <c r="L715" s="20"/>
      <c r="M715" s="20"/>
      <c r="N715" s="20"/>
      <c r="O715" s="20"/>
      <c r="P715" s="20"/>
      <c r="Q715" s="20"/>
      <c r="R715" s="20"/>
      <c r="S715" s="20"/>
      <c r="T715" s="20"/>
      <c r="AE715" s="21" t="str">
        <f t="shared" si="100"/>
        <v/>
      </c>
      <c r="AF715" s="21" t="str">
        <f t="shared" ref="AF715:AN715" si="720">if(not(isblank(L715)),", "&amp;L715,"")</f>
        <v/>
      </c>
      <c r="AG715" s="21" t="str">
        <f t="shared" si="720"/>
        <v/>
      </c>
      <c r="AH715" s="21" t="str">
        <f t="shared" si="720"/>
        <v/>
      </c>
      <c r="AI715" s="21" t="str">
        <f t="shared" si="720"/>
        <v/>
      </c>
      <c r="AJ715" s="21" t="str">
        <f t="shared" si="720"/>
        <v/>
      </c>
      <c r="AK715" s="21" t="str">
        <f t="shared" si="720"/>
        <v/>
      </c>
      <c r="AL715" s="21" t="str">
        <f t="shared" si="720"/>
        <v/>
      </c>
      <c r="AM715" s="21" t="str">
        <f t="shared" si="720"/>
        <v/>
      </c>
      <c r="AN715" s="21" t="str">
        <f t="shared" si="720"/>
        <v/>
      </c>
      <c r="AO715" s="21" t="str">
        <f t="shared" si="102"/>
        <v/>
      </c>
    </row>
    <row r="716" ht="16.5" customHeight="1">
      <c r="J716" s="18"/>
      <c r="K716" s="19"/>
      <c r="L716" s="20"/>
      <c r="M716" s="20"/>
      <c r="N716" s="20"/>
      <c r="O716" s="20"/>
      <c r="P716" s="20"/>
      <c r="Q716" s="20"/>
      <c r="R716" s="20"/>
      <c r="S716" s="20"/>
      <c r="T716" s="20"/>
      <c r="AE716" s="21" t="str">
        <f t="shared" si="100"/>
        <v/>
      </c>
      <c r="AF716" s="21" t="str">
        <f t="shared" ref="AF716:AN716" si="721">if(not(isblank(L716)),", "&amp;L716,"")</f>
        <v/>
      </c>
      <c r="AG716" s="21" t="str">
        <f t="shared" si="721"/>
        <v/>
      </c>
      <c r="AH716" s="21" t="str">
        <f t="shared" si="721"/>
        <v/>
      </c>
      <c r="AI716" s="21" t="str">
        <f t="shared" si="721"/>
        <v/>
      </c>
      <c r="AJ716" s="21" t="str">
        <f t="shared" si="721"/>
        <v/>
      </c>
      <c r="AK716" s="21" t="str">
        <f t="shared" si="721"/>
        <v/>
      </c>
      <c r="AL716" s="21" t="str">
        <f t="shared" si="721"/>
        <v/>
      </c>
      <c r="AM716" s="21" t="str">
        <f t="shared" si="721"/>
        <v/>
      </c>
      <c r="AN716" s="21" t="str">
        <f t="shared" si="721"/>
        <v/>
      </c>
      <c r="AO716" s="21" t="str">
        <f t="shared" si="102"/>
        <v/>
      </c>
    </row>
    <row r="717" ht="16.5" customHeight="1">
      <c r="J717" s="18"/>
      <c r="K717" s="19"/>
      <c r="L717" s="20"/>
      <c r="M717" s="20"/>
      <c r="N717" s="20"/>
      <c r="O717" s="20"/>
      <c r="P717" s="20"/>
      <c r="Q717" s="20"/>
      <c r="R717" s="20"/>
      <c r="S717" s="20"/>
      <c r="T717" s="20"/>
      <c r="AE717" s="21" t="str">
        <f t="shared" si="100"/>
        <v/>
      </c>
      <c r="AF717" s="21" t="str">
        <f t="shared" ref="AF717:AN717" si="722">if(not(isblank(L717)),", "&amp;L717,"")</f>
        <v/>
      </c>
      <c r="AG717" s="21" t="str">
        <f t="shared" si="722"/>
        <v/>
      </c>
      <c r="AH717" s="21" t="str">
        <f t="shared" si="722"/>
        <v/>
      </c>
      <c r="AI717" s="21" t="str">
        <f t="shared" si="722"/>
        <v/>
      </c>
      <c r="AJ717" s="21" t="str">
        <f t="shared" si="722"/>
        <v/>
      </c>
      <c r="AK717" s="21" t="str">
        <f t="shared" si="722"/>
        <v/>
      </c>
      <c r="AL717" s="21" t="str">
        <f t="shared" si="722"/>
        <v/>
      </c>
      <c r="AM717" s="21" t="str">
        <f t="shared" si="722"/>
        <v/>
      </c>
      <c r="AN717" s="21" t="str">
        <f t="shared" si="722"/>
        <v/>
      </c>
      <c r="AO717" s="21" t="str">
        <f t="shared" si="102"/>
        <v/>
      </c>
    </row>
    <row r="718" ht="16.5" customHeight="1">
      <c r="J718" s="18"/>
      <c r="K718" s="19"/>
      <c r="L718" s="20"/>
      <c r="M718" s="20"/>
      <c r="N718" s="20"/>
      <c r="O718" s="20"/>
      <c r="P718" s="20"/>
      <c r="Q718" s="20"/>
      <c r="R718" s="20"/>
      <c r="S718" s="20"/>
      <c r="T718" s="20"/>
      <c r="AE718" s="21" t="str">
        <f t="shared" si="100"/>
        <v/>
      </c>
      <c r="AF718" s="21" t="str">
        <f t="shared" ref="AF718:AN718" si="723">if(not(isblank(L718)),", "&amp;L718,"")</f>
        <v/>
      </c>
      <c r="AG718" s="21" t="str">
        <f t="shared" si="723"/>
        <v/>
      </c>
      <c r="AH718" s="21" t="str">
        <f t="shared" si="723"/>
        <v/>
      </c>
      <c r="AI718" s="21" t="str">
        <f t="shared" si="723"/>
        <v/>
      </c>
      <c r="AJ718" s="21" t="str">
        <f t="shared" si="723"/>
        <v/>
      </c>
      <c r="AK718" s="21" t="str">
        <f t="shared" si="723"/>
        <v/>
      </c>
      <c r="AL718" s="21" t="str">
        <f t="shared" si="723"/>
        <v/>
      </c>
      <c r="AM718" s="21" t="str">
        <f t="shared" si="723"/>
        <v/>
      </c>
      <c r="AN718" s="21" t="str">
        <f t="shared" si="723"/>
        <v/>
      </c>
      <c r="AO718" s="21" t="str">
        <f t="shared" si="102"/>
        <v/>
      </c>
    </row>
    <row r="719" ht="16.5" customHeight="1">
      <c r="J719" s="18"/>
      <c r="K719" s="19"/>
      <c r="L719" s="20"/>
      <c r="M719" s="20"/>
      <c r="N719" s="20"/>
      <c r="O719" s="20"/>
      <c r="P719" s="20"/>
      <c r="Q719" s="20"/>
      <c r="R719" s="20"/>
      <c r="S719" s="20"/>
      <c r="T719" s="20"/>
      <c r="AE719" s="21" t="str">
        <f t="shared" si="100"/>
        <v/>
      </c>
      <c r="AF719" s="21" t="str">
        <f t="shared" ref="AF719:AN719" si="724">if(not(isblank(L719)),", "&amp;L719,"")</f>
        <v/>
      </c>
      <c r="AG719" s="21" t="str">
        <f t="shared" si="724"/>
        <v/>
      </c>
      <c r="AH719" s="21" t="str">
        <f t="shared" si="724"/>
        <v/>
      </c>
      <c r="AI719" s="21" t="str">
        <f t="shared" si="724"/>
        <v/>
      </c>
      <c r="AJ719" s="21" t="str">
        <f t="shared" si="724"/>
        <v/>
      </c>
      <c r="AK719" s="21" t="str">
        <f t="shared" si="724"/>
        <v/>
      </c>
      <c r="AL719" s="21" t="str">
        <f t="shared" si="724"/>
        <v/>
      </c>
      <c r="AM719" s="21" t="str">
        <f t="shared" si="724"/>
        <v/>
      </c>
      <c r="AN719" s="21" t="str">
        <f t="shared" si="724"/>
        <v/>
      </c>
      <c r="AO719" s="21" t="str">
        <f t="shared" si="102"/>
        <v/>
      </c>
    </row>
    <row r="720" ht="16.5" customHeight="1">
      <c r="J720" s="18"/>
      <c r="K720" s="19"/>
      <c r="L720" s="20"/>
      <c r="M720" s="20"/>
      <c r="N720" s="20"/>
      <c r="O720" s="20"/>
      <c r="P720" s="20"/>
      <c r="Q720" s="20"/>
      <c r="R720" s="20"/>
      <c r="S720" s="20"/>
      <c r="T720" s="20"/>
      <c r="AE720" s="21" t="str">
        <f t="shared" si="100"/>
        <v/>
      </c>
      <c r="AF720" s="21" t="str">
        <f t="shared" ref="AF720:AN720" si="725">if(not(isblank(L720)),", "&amp;L720,"")</f>
        <v/>
      </c>
      <c r="AG720" s="21" t="str">
        <f t="shared" si="725"/>
        <v/>
      </c>
      <c r="AH720" s="21" t="str">
        <f t="shared" si="725"/>
        <v/>
      </c>
      <c r="AI720" s="21" t="str">
        <f t="shared" si="725"/>
        <v/>
      </c>
      <c r="AJ720" s="21" t="str">
        <f t="shared" si="725"/>
        <v/>
      </c>
      <c r="AK720" s="21" t="str">
        <f t="shared" si="725"/>
        <v/>
      </c>
      <c r="AL720" s="21" t="str">
        <f t="shared" si="725"/>
        <v/>
      </c>
      <c r="AM720" s="21" t="str">
        <f t="shared" si="725"/>
        <v/>
      </c>
      <c r="AN720" s="21" t="str">
        <f t="shared" si="725"/>
        <v/>
      </c>
      <c r="AO720" s="21" t="str">
        <f t="shared" si="102"/>
        <v/>
      </c>
    </row>
    <row r="721" ht="16.5" customHeight="1">
      <c r="J721" s="18"/>
      <c r="K721" s="19"/>
      <c r="L721" s="20"/>
      <c r="M721" s="20"/>
      <c r="N721" s="20"/>
      <c r="O721" s="20"/>
      <c r="P721" s="20"/>
      <c r="Q721" s="20"/>
      <c r="R721" s="20"/>
      <c r="S721" s="20"/>
      <c r="T721" s="20"/>
      <c r="AE721" s="21" t="str">
        <f t="shared" si="100"/>
        <v/>
      </c>
      <c r="AF721" s="21" t="str">
        <f t="shared" ref="AF721:AN721" si="726">if(not(isblank(L721)),", "&amp;L721,"")</f>
        <v/>
      </c>
      <c r="AG721" s="21" t="str">
        <f t="shared" si="726"/>
        <v/>
      </c>
      <c r="AH721" s="21" t="str">
        <f t="shared" si="726"/>
        <v/>
      </c>
      <c r="AI721" s="21" t="str">
        <f t="shared" si="726"/>
        <v/>
      </c>
      <c r="AJ721" s="21" t="str">
        <f t="shared" si="726"/>
        <v/>
      </c>
      <c r="AK721" s="21" t="str">
        <f t="shared" si="726"/>
        <v/>
      </c>
      <c r="AL721" s="21" t="str">
        <f t="shared" si="726"/>
        <v/>
      </c>
      <c r="AM721" s="21" t="str">
        <f t="shared" si="726"/>
        <v/>
      </c>
      <c r="AN721" s="21" t="str">
        <f t="shared" si="726"/>
        <v/>
      </c>
      <c r="AO721" s="21" t="str">
        <f t="shared" si="102"/>
        <v/>
      </c>
    </row>
    <row r="722" ht="16.5" customHeight="1">
      <c r="J722" s="18"/>
      <c r="K722" s="19"/>
      <c r="L722" s="20"/>
      <c r="M722" s="20"/>
      <c r="N722" s="20"/>
      <c r="O722" s="20"/>
      <c r="P722" s="20"/>
      <c r="Q722" s="20"/>
      <c r="R722" s="20"/>
      <c r="S722" s="20"/>
      <c r="T722" s="20"/>
      <c r="AE722" s="21" t="str">
        <f t="shared" si="100"/>
        <v/>
      </c>
      <c r="AF722" s="21" t="str">
        <f t="shared" ref="AF722:AN722" si="727">if(not(isblank(L722)),", "&amp;L722,"")</f>
        <v/>
      </c>
      <c r="AG722" s="21" t="str">
        <f t="shared" si="727"/>
        <v/>
      </c>
      <c r="AH722" s="21" t="str">
        <f t="shared" si="727"/>
        <v/>
      </c>
      <c r="AI722" s="21" t="str">
        <f t="shared" si="727"/>
        <v/>
      </c>
      <c r="AJ722" s="21" t="str">
        <f t="shared" si="727"/>
        <v/>
      </c>
      <c r="AK722" s="21" t="str">
        <f t="shared" si="727"/>
        <v/>
      </c>
      <c r="AL722" s="21" t="str">
        <f t="shared" si="727"/>
        <v/>
      </c>
      <c r="AM722" s="21" t="str">
        <f t="shared" si="727"/>
        <v/>
      </c>
      <c r="AN722" s="21" t="str">
        <f t="shared" si="727"/>
        <v/>
      </c>
      <c r="AO722" s="21" t="str">
        <f t="shared" si="102"/>
        <v/>
      </c>
    </row>
    <row r="723" ht="16.5" customHeight="1">
      <c r="J723" s="18"/>
      <c r="K723" s="19"/>
      <c r="L723" s="20"/>
      <c r="M723" s="20"/>
      <c r="N723" s="20"/>
      <c r="O723" s="20"/>
      <c r="P723" s="20"/>
      <c r="Q723" s="20"/>
      <c r="R723" s="20"/>
      <c r="S723" s="20"/>
      <c r="T723" s="20"/>
      <c r="AE723" s="21" t="str">
        <f t="shared" si="100"/>
        <v/>
      </c>
      <c r="AF723" s="21" t="str">
        <f t="shared" ref="AF723:AN723" si="728">if(not(isblank(L723)),", "&amp;L723,"")</f>
        <v/>
      </c>
      <c r="AG723" s="21" t="str">
        <f t="shared" si="728"/>
        <v/>
      </c>
      <c r="AH723" s="21" t="str">
        <f t="shared" si="728"/>
        <v/>
      </c>
      <c r="AI723" s="21" t="str">
        <f t="shared" si="728"/>
        <v/>
      </c>
      <c r="AJ723" s="21" t="str">
        <f t="shared" si="728"/>
        <v/>
      </c>
      <c r="AK723" s="21" t="str">
        <f t="shared" si="728"/>
        <v/>
      </c>
      <c r="AL723" s="21" t="str">
        <f t="shared" si="728"/>
        <v/>
      </c>
      <c r="AM723" s="21" t="str">
        <f t="shared" si="728"/>
        <v/>
      </c>
      <c r="AN723" s="21" t="str">
        <f t="shared" si="728"/>
        <v/>
      </c>
      <c r="AO723" s="21" t="str">
        <f t="shared" si="102"/>
        <v/>
      </c>
    </row>
    <row r="724" ht="16.5" customHeight="1">
      <c r="J724" s="18"/>
      <c r="K724" s="19"/>
      <c r="L724" s="20"/>
      <c r="M724" s="20"/>
      <c r="N724" s="20"/>
      <c r="O724" s="20"/>
      <c r="P724" s="20"/>
      <c r="Q724" s="20"/>
      <c r="R724" s="20"/>
      <c r="S724" s="20"/>
      <c r="T724" s="20"/>
      <c r="AE724" s="21" t="str">
        <f t="shared" si="100"/>
        <v/>
      </c>
      <c r="AF724" s="21" t="str">
        <f t="shared" ref="AF724:AN724" si="729">if(not(isblank(L724)),", "&amp;L724,"")</f>
        <v/>
      </c>
      <c r="AG724" s="21" t="str">
        <f t="shared" si="729"/>
        <v/>
      </c>
      <c r="AH724" s="21" t="str">
        <f t="shared" si="729"/>
        <v/>
      </c>
      <c r="AI724" s="21" t="str">
        <f t="shared" si="729"/>
        <v/>
      </c>
      <c r="AJ724" s="21" t="str">
        <f t="shared" si="729"/>
        <v/>
      </c>
      <c r="AK724" s="21" t="str">
        <f t="shared" si="729"/>
        <v/>
      </c>
      <c r="AL724" s="21" t="str">
        <f t="shared" si="729"/>
        <v/>
      </c>
      <c r="AM724" s="21" t="str">
        <f t="shared" si="729"/>
        <v/>
      </c>
      <c r="AN724" s="21" t="str">
        <f t="shared" si="729"/>
        <v/>
      </c>
      <c r="AO724" s="21" t="str">
        <f t="shared" si="102"/>
        <v/>
      </c>
    </row>
    <row r="725" ht="16.5" customHeight="1">
      <c r="J725" s="18"/>
      <c r="K725" s="19"/>
      <c r="L725" s="20"/>
      <c r="M725" s="20"/>
      <c r="N725" s="20"/>
      <c r="O725" s="20"/>
      <c r="P725" s="20"/>
      <c r="Q725" s="20"/>
      <c r="R725" s="20"/>
      <c r="S725" s="20"/>
      <c r="T725" s="20"/>
      <c r="AE725" s="21" t="str">
        <f t="shared" si="100"/>
        <v/>
      </c>
      <c r="AF725" s="21" t="str">
        <f t="shared" ref="AF725:AN725" si="730">if(not(isblank(L725)),", "&amp;L725,"")</f>
        <v/>
      </c>
      <c r="AG725" s="21" t="str">
        <f t="shared" si="730"/>
        <v/>
      </c>
      <c r="AH725" s="21" t="str">
        <f t="shared" si="730"/>
        <v/>
      </c>
      <c r="AI725" s="21" t="str">
        <f t="shared" si="730"/>
        <v/>
      </c>
      <c r="AJ725" s="21" t="str">
        <f t="shared" si="730"/>
        <v/>
      </c>
      <c r="AK725" s="21" t="str">
        <f t="shared" si="730"/>
        <v/>
      </c>
      <c r="AL725" s="21" t="str">
        <f t="shared" si="730"/>
        <v/>
      </c>
      <c r="AM725" s="21" t="str">
        <f t="shared" si="730"/>
        <v/>
      </c>
      <c r="AN725" s="21" t="str">
        <f t="shared" si="730"/>
        <v/>
      </c>
      <c r="AO725" s="21" t="str">
        <f t="shared" si="102"/>
        <v/>
      </c>
    </row>
    <row r="726" ht="16.5" customHeight="1">
      <c r="J726" s="18"/>
      <c r="K726" s="19"/>
      <c r="L726" s="20"/>
      <c r="M726" s="20"/>
      <c r="N726" s="20"/>
      <c r="O726" s="20"/>
      <c r="P726" s="20"/>
      <c r="Q726" s="20"/>
      <c r="R726" s="20"/>
      <c r="S726" s="20"/>
      <c r="T726" s="20"/>
      <c r="AE726" s="21" t="str">
        <f t="shared" si="100"/>
        <v/>
      </c>
      <c r="AF726" s="21" t="str">
        <f t="shared" ref="AF726:AN726" si="731">if(not(isblank(L726)),", "&amp;L726,"")</f>
        <v/>
      </c>
      <c r="AG726" s="21" t="str">
        <f t="shared" si="731"/>
        <v/>
      </c>
      <c r="AH726" s="21" t="str">
        <f t="shared" si="731"/>
        <v/>
      </c>
      <c r="AI726" s="21" t="str">
        <f t="shared" si="731"/>
        <v/>
      </c>
      <c r="AJ726" s="21" t="str">
        <f t="shared" si="731"/>
        <v/>
      </c>
      <c r="AK726" s="21" t="str">
        <f t="shared" si="731"/>
        <v/>
      </c>
      <c r="AL726" s="21" t="str">
        <f t="shared" si="731"/>
        <v/>
      </c>
      <c r="AM726" s="21" t="str">
        <f t="shared" si="731"/>
        <v/>
      </c>
      <c r="AN726" s="21" t="str">
        <f t="shared" si="731"/>
        <v/>
      </c>
      <c r="AO726" s="21" t="str">
        <f t="shared" si="102"/>
        <v/>
      </c>
    </row>
    <row r="727" ht="16.5" customHeight="1">
      <c r="J727" s="18"/>
      <c r="K727" s="19"/>
      <c r="L727" s="20"/>
      <c r="M727" s="20"/>
      <c r="N727" s="20"/>
      <c r="O727" s="20"/>
      <c r="P727" s="20"/>
      <c r="Q727" s="20"/>
      <c r="R727" s="20"/>
      <c r="S727" s="20"/>
      <c r="T727" s="20"/>
      <c r="AE727" s="21" t="str">
        <f t="shared" si="100"/>
        <v/>
      </c>
      <c r="AF727" s="21" t="str">
        <f t="shared" ref="AF727:AN727" si="732">if(not(isblank(L727)),", "&amp;L727,"")</f>
        <v/>
      </c>
      <c r="AG727" s="21" t="str">
        <f t="shared" si="732"/>
        <v/>
      </c>
      <c r="AH727" s="21" t="str">
        <f t="shared" si="732"/>
        <v/>
      </c>
      <c r="AI727" s="21" t="str">
        <f t="shared" si="732"/>
        <v/>
      </c>
      <c r="AJ727" s="21" t="str">
        <f t="shared" si="732"/>
        <v/>
      </c>
      <c r="AK727" s="21" t="str">
        <f t="shared" si="732"/>
        <v/>
      </c>
      <c r="AL727" s="21" t="str">
        <f t="shared" si="732"/>
        <v/>
      </c>
      <c r="AM727" s="21" t="str">
        <f t="shared" si="732"/>
        <v/>
      </c>
      <c r="AN727" s="21" t="str">
        <f t="shared" si="732"/>
        <v/>
      </c>
      <c r="AO727" s="21" t="str">
        <f t="shared" si="102"/>
        <v/>
      </c>
    </row>
    <row r="728" ht="16.5" customHeight="1">
      <c r="J728" s="18"/>
      <c r="K728" s="19"/>
      <c r="L728" s="20"/>
      <c r="M728" s="20"/>
      <c r="N728" s="20"/>
      <c r="O728" s="20"/>
      <c r="P728" s="20"/>
      <c r="Q728" s="20"/>
      <c r="R728" s="20"/>
      <c r="S728" s="20"/>
      <c r="T728" s="20"/>
      <c r="AE728" s="21" t="str">
        <f t="shared" si="100"/>
        <v/>
      </c>
      <c r="AF728" s="21" t="str">
        <f t="shared" ref="AF728:AN728" si="733">if(not(isblank(L728)),", "&amp;L728,"")</f>
        <v/>
      </c>
      <c r="AG728" s="21" t="str">
        <f t="shared" si="733"/>
        <v/>
      </c>
      <c r="AH728" s="21" t="str">
        <f t="shared" si="733"/>
        <v/>
      </c>
      <c r="AI728" s="21" t="str">
        <f t="shared" si="733"/>
        <v/>
      </c>
      <c r="AJ728" s="21" t="str">
        <f t="shared" si="733"/>
        <v/>
      </c>
      <c r="AK728" s="21" t="str">
        <f t="shared" si="733"/>
        <v/>
      </c>
      <c r="AL728" s="21" t="str">
        <f t="shared" si="733"/>
        <v/>
      </c>
      <c r="AM728" s="21" t="str">
        <f t="shared" si="733"/>
        <v/>
      </c>
      <c r="AN728" s="21" t="str">
        <f t="shared" si="733"/>
        <v/>
      </c>
      <c r="AO728" s="21" t="str">
        <f t="shared" si="102"/>
        <v/>
      </c>
    </row>
    <row r="729" ht="16.5" customHeight="1">
      <c r="J729" s="18"/>
      <c r="K729" s="19"/>
      <c r="L729" s="20"/>
      <c r="M729" s="20"/>
      <c r="N729" s="20"/>
      <c r="O729" s="20"/>
      <c r="P729" s="20"/>
      <c r="Q729" s="20"/>
      <c r="R729" s="20"/>
      <c r="S729" s="20"/>
      <c r="T729" s="20"/>
      <c r="AE729" s="21" t="str">
        <f t="shared" si="100"/>
        <v/>
      </c>
      <c r="AF729" s="21" t="str">
        <f t="shared" ref="AF729:AN729" si="734">if(not(isblank(L729)),", "&amp;L729,"")</f>
        <v/>
      </c>
      <c r="AG729" s="21" t="str">
        <f t="shared" si="734"/>
        <v/>
      </c>
      <c r="AH729" s="21" t="str">
        <f t="shared" si="734"/>
        <v/>
      </c>
      <c r="AI729" s="21" t="str">
        <f t="shared" si="734"/>
        <v/>
      </c>
      <c r="AJ729" s="21" t="str">
        <f t="shared" si="734"/>
        <v/>
      </c>
      <c r="AK729" s="21" t="str">
        <f t="shared" si="734"/>
        <v/>
      </c>
      <c r="AL729" s="21" t="str">
        <f t="shared" si="734"/>
        <v/>
      </c>
      <c r="AM729" s="21" t="str">
        <f t="shared" si="734"/>
        <v/>
      </c>
      <c r="AN729" s="21" t="str">
        <f t="shared" si="734"/>
        <v/>
      </c>
      <c r="AO729" s="21" t="str">
        <f t="shared" si="102"/>
        <v/>
      </c>
    </row>
    <row r="730" ht="16.5" customHeight="1">
      <c r="J730" s="18"/>
      <c r="K730" s="19"/>
      <c r="L730" s="20"/>
      <c r="M730" s="20"/>
      <c r="N730" s="20"/>
      <c r="O730" s="20"/>
      <c r="P730" s="20"/>
      <c r="Q730" s="20"/>
      <c r="R730" s="20"/>
      <c r="S730" s="20"/>
      <c r="T730" s="20"/>
      <c r="AE730" s="21" t="str">
        <f t="shared" si="100"/>
        <v/>
      </c>
      <c r="AF730" s="21" t="str">
        <f t="shared" ref="AF730:AN730" si="735">if(not(isblank(L730)),", "&amp;L730,"")</f>
        <v/>
      </c>
      <c r="AG730" s="21" t="str">
        <f t="shared" si="735"/>
        <v/>
      </c>
      <c r="AH730" s="21" t="str">
        <f t="shared" si="735"/>
        <v/>
      </c>
      <c r="AI730" s="21" t="str">
        <f t="shared" si="735"/>
        <v/>
      </c>
      <c r="AJ730" s="21" t="str">
        <f t="shared" si="735"/>
        <v/>
      </c>
      <c r="AK730" s="21" t="str">
        <f t="shared" si="735"/>
        <v/>
      </c>
      <c r="AL730" s="21" t="str">
        <f t="shared" si="735"/>
        <v/>
      </c>
      <c r="AM730" s="21" t="str">
        <f t="shared" si="735"/>
        <v/>
      </c>
      <c r="AN730" s="21" t="str">
        <f t="shared" si="735"/>
        <v/>
      </c>
      <c r="AO730" s="21" t="str">
        <f t="shared" si="102"/>
        <v/>
      </c>
    </row>
    <row r="731" ht="16.5" customHeight="1">
      <c r="J731" s="18"/>
      <c r="K731" s="19"/>
      <c r="L731" s="20"/>
      <c r="M731" s="20"/>
      <c r="N731" s="20"/>
      <c r="O731" s="20"/>
      <c r="P731" s="20"/>
      <c r="Q731" s="20"/>
      <c r="R731" s="20"/>
      <c r="S731" s="20"/>
      <c r="T731" s="20"/>
      <c r="AE731" s="21" t="str">
        <f t="shared" si="100"/>
        <v/>
      </c>
      <c r="AF731" s="21" t="str">
        <f t="shared" ref="AF731:AN731" si="736">if(not(isblank(L731)),", "&amp;L731,"")</f>
        <v/>
      </c>
      <c r="AG731" s="21" t="str">
        <f t="shared" si="736"/>
        <v/>
      </c>
      <c r="AH731" s="21" t="str">
        <f t="shared" si="736"/>
        <v/>
      </c>
      <c r="AI731" s="21" t="str">
        <f t="shared" si="736"/>
        <v/>
      </c>
      <c r="AJ731" s="21" t="str">
        <f t="shared" si="736"/>
        <v/>
      </c>
      <c r="AK731" s="21" t="str">
        <f t="shared" si="736"/>
        <v/>
      </c>
      <c r="AL731" s="21" t="str">
        <f t="shared" si="736"/>
        <v/>
      </c>
      <c r="AM731" s="21" t="str">
        <f t="shared" si="736"/>
        <v/>
      </c>
      <c r="AN731" s="21" t="str">
        <f t="shared" si="736"/>
        <v/>
      </c>
      <c r="AO731" s="21" t="str">
        <f t="shared" si="102"/>
        <v/>
      </c>
    </row>
    <row r="732" ht="16.5" customHeight="1">
      <c r="J732" s="18"/>
      <c r="K732" s="19"/>
      <c r="L732" s="20"/>
      <c r="M732" s="20"/>
      <c r="N732" s="20"/>
      <c r="O732" s="20"/>
      <c r="P732" s="20"/>
      <c r="Q732" s="20"/>
      <c r="R732" s="20"/>
      <c r="S732" s="20"/>
      <c r="T732" s="20"/>
      <c r="AE732" s="21" t="str">
        <f t="shared" si="100"/>
        <v/>
      </c>
      <c r="AF732" s="21" t="str">
        <f t="shared" ref="AF732:AN732" si="737">if(not(isblank(L732)),", "&amp;L732,"")</f>
        <v/>
      </c>
      <c r="AG732" s="21" t="str">
        <f t="shared" si="737"/>
        <v/>
      </c>
      <c r="AH732" s="21" t="str">
        <f t="shared" si="737"/>
        <v/>
      </c>
      <c r="AI732" s="21" t="str">
        <f t="shared" si="737"/>
        <v/>
      </c>
      <c r="AJ732" s="21" t="str">
        <f t="shared" si="737"/>
        <v/>
      </c>
      <c r="AK732" s="21" t="str">
        <f t="shared" si="737"/>
        <v/>
      </c>
      <c r="AL732" s="21" t="str">
        <f t="shared" si="737"/>
        <v/>
      </c>
      <c r="AM732" s="21" t="str">
        <f t="shared" si="737"/>
        <v/>
      </c>
      <c r="AN732" s="21" t="str">
        <f t="shared" si="737"/>
        <v/>
      </c>
      <c r="AO732" s="21" t="str">
        <f t="shared" si="102"/>
        <v/>
      </c>
    </row>
    <row r="733" ht="16.5" customHeight="1">
      <c r="J733" s="18"/>
      <c r="K733" s="19"/>
      <c r="L733" s="20"/>
      <c r="M733" s="20"/>
      <c r="N733" s="20"/>
      <c r="O733" s="20"/>
      <c r="P733" s="20"/>
      <c r="Q733" s="20"/>
      <c r="R733" s="20"/>
      <c r="S733" s="20"/>
      <c r="T733" s="20"/>
      <c r="AE733" s="21" t="str">
        <f t="shared" si="100"/>
        <v/>
      </c>
      <c r="AF733" s="21" t="str">
        <f t="shared" ref="AF733:AN733" si="738">if(not(isblank(L733)),", "&amp;L733,"")</f>
        <v/>
      </c>
      <c r="AG733" s="21" t="str">
        <f t="shared" si="738"/>
        <v/>
      </c>
      <c r="AH733" s="21" t="str">
        <f t="shared" si="738"/>
        <v/>
      </c>
      <c r="AI733" s="21" t="str">
        <f t="shared" si="738"/>
        <v/>
      </c>
      <c r="AJ733" s="21" t="str">
        <f t="shared" si="738"/>
        <v/>
      </c>
      <c r="AK733" s="21" t="str">
        <f t="shared" si="738"/>
        <v/>
      </c>
      <c r="AL733" s="21" t="str">
        <f t="shared" si="738"/>
        <v/>
      </c>
      <c r="AM733" s="21" t="str">
        <f t="shared" si="738"/>
        <v/>
      </c>
      <c r="AN733" s="21" t="str">
        <f t="shared" si="738"/>
        <v/>
      </c>
      <c r="AO733" s="21" t="str">
        <f t="shared" si="102"/>
        <v/>
      </c>
    </row>
    <row r="734" ht="16.5" customHeight="1">
      <c r="J734" s="18"/>
      <c r="K734" s="19"/>
      <c r="L734" s="20"/>
      <c r="M734" s="20"/>
      <c r="N734" s="20"/>
      <c r="O734" s="20"/>
      <c r="P734" s="20"/>
      <c r="Q734" s="20"/>
      <c r="R734" s="20"/>
      <c r="S734" s="20"/>
      <c r="T734" s="20"/>
      <c r="AE734" s="21" t="str">
        <f t="shared" si="100"/>
        <v/>
      </c>
      <c r="AF734" s="21" t="str">
        <f t="shared" ref="AF734:AN734" si="739">if(not(isblank(L734)),", "&amp;L734,"")</f>
        <v/>
      </c>
      <c r="AG734" s="21" t="str">
        <f t="shared" si="739"/>
        <v/>
      </c>
      <c r="AH734" s="21" t="str">
        <f t="shared" si="739"/>
        <v/>
      </c>
      <c r="AI734" s="21" t="str">
        <f t="shared" si="739"/>
        <v/>
      </c>
      <c r="AJ734" s="21" t="str">
        <f t="shared" si="739"/>
        <v/>
      </c>
      <c r="AK734" s="21" t="str">
        <f t="shared" si="739"/>
        <v/>
      </c>
      <c r="AL734" s="21" t="str">
        <f t="shared" si="739"/>
        <v/>
      </c>
      <c r="AM734" s="21" t="str">
        <f t="shared" si="739"/>
        <v/>
      </c>
      <c r="AN734" s="21" t="str">
        <f t="shared" si="739"/>
        <v/>
      </c>
      <c r="AO734" s="21" t="str">
        <f t="shared" si="102"/>
        <v/>
      </c>
    </row>
    <row r="735" ht="16.5" customHeight="1">
      <c r="J735" s="18"/>
      <c r="K735" s="19"/>
      <c r="L735" s="20"/>
      <c r="M735" s="20"/>
      <c r="N735" s="20"/>
      <c r="O735" s="20"/>
      <c r="P735" s="20"/>
      <c r="Q735" s="20"/>
      <c r="R735" s="20"/>
      <c r="S735" s="20"/>
      <c r="T735" s="20"/>
      <c r="AE735" s="21" t="str">
        <f t="shared" si="100"/>
        <v/>
      </c>
      <c r="AF735" s="21" t="str">
        <f t="shared" ref="AF735:AN735" si="740">if(not(isblank(L735)),", "&amp;L735,"")</f>
        <v/>
      </c>
      <c r="AG735" s="21" t="str">
        <f t="shared" si="740"/>
        <v/>
      </c>
      <c r="AH735" s="21" t="str">
        <f t="shared" si="740"/>
        <v/>
      </c>
      <c r="AI735" s="21" t="str">
        <f t="shared" si="740"/>
        <v/>
      </c>
      <c r="AJ735" s="21" t="str">
        <f t="shared" si="740"/>
        <v/>
      </c>
      <c r="AK735" s="21" t="str">
        <f t="shared" si="740"/>
        <v/>
      </c>
      <c r="AL735" s="21" t="str">
        <f t="shared" si="740"/>
        <v/>
      </c>
      <c r="AM735" s="21" t="str">
        <f t="shared" si="740"/>
        <v/>
      </c>
      <c r="AN735" s="21" t="str">
        <f t="shared" si="740"/>
        <v/>
      </c>
      <c r="AO735" s="21" t="str">
        <f t="shared" si="102"/>
        <v/>
      </c>
    </row>
    <row r="736" ht="16.5" customHeight="1">
      <c r="J736" s="18"/>
      <c r="K736" s="19"/>
      <c r="L736" s="20"/>
      <c r="M736" s="20"/>
      <c r="N736" s="20"/>
      <c r="O736" s="20"/>
      <c r="P736" s="20"/>
      <c r="Q736" s="20"/>
      <c r="R736" s="20"/>
      <c r="S736" s="20"/>
      <c r="T736" s="20"/>
      <c r="AE736" s="21" t="str">
        <f t="shared" si="100"/>
        <v/>
      </c>
      <c r="AF736" s="21" t="str">
        <f t="shared" ref="AF736:AN736" si="741">if(not(isblank(L736)),", "&amp;L736,"")</f>
        <v/>
      </c>
      <c r="AG736" s="21" t="str">
        <f t="shared" si="741"/>
        <v/>
      </c>
      <c r="AH736" s="21" t="str">
        <f t="shared" si="741"/>
        <v/>
      </c>
      <c r="AI736" s="21" t="str">
        <f t="shared" si="741"/>
        <v/>
      </c>
      <c r="AJ736" s="21" t="str">
        <f t="shared" si="741"/>
        <v/>
      </c>
      <c r="AK736" s="21" t="str">
        <f t="shared" si="741"/>
        <v/>
      </c>
      <c r="AL736" s="21" t="str">
        <f t="shared" si="741"/>
        <v/>
      </c>
      <c r="AM736" s="21" t="str">
        <f t="shared" si="741"/>
        <v/>
      </c>
      <c r="AN736" s="21" t="str">
        <f t="shared" si="741"/>
        <v/>
      </c>
      <c r="AO736" s="21" t="str">
        <f t="shared" si="102"/>
        <v/>
      </c>
    </row>
    <row r="737" ht="16.5" customHeight="1">
      <c r="J737" s="18"/>
      <c r="K737" s="19"/>
      <c r="L737" s="20"/>
      <c r="M737" s="20"/>
      <c r="N737" s="20"/>
      <c r="O737" s="20"/>
      <c r="P737" s="20"/>
      <c r="Q737" s="20"/>
      <c r="R737" s="20"/>
      <c r="S737" s="20"/>
      <c r="T737" s="20"/>
      <c r="AE737" s="21" t="str">
        <f t="shared" si="100"/>
        <v/>
      </c>
      <c r="AF737" s="21" t="str">
        <f t="shared" ref="AF737:AN737" si="742">if(not(isblank(L737)),", "&amp;L737,"")</f>
        <v/>
      </c>
      <c r="AG737" s="21" t="str">
        <f t="shared" si="742"/>
        <v/>
      </c>
      <c r="AH737" s="21" t="str">
        <f t="shared" si="742"/>
        <v/>
      </c>
      <c r="AI737" s="21" t="str">
        <f t="shared" si="742"/>
        <v/>
      </c>
      <c r="AJ737" s="21" t="str">
        <f t="shared" si="742"/>
        <v/>
      </c>
      <c r="AK737" s="21" t="str">
        <f t="shared" si="742"/>
        <v/>
      </c>
      <c r="AL737" s="21" t="str">
        <f t="shared" si="742"/>
        <v/>
      </c>
      <c r="AM737" s="21" t="str">
        <f t="shared" si="742"/>
        <v/>
      </c>
      <c r="AN737" s="21" t="str">
        <f t="shared" si="742"/>
        <v/>
      </c>
      <c r="AO737" s="21" t="str">
        <f t="shared" si="102"/>
        <v/>
      </c>
    </row>
    <row r="738" ht="16.5" customHeight="1">
      <c r="J738" s="18"/>
      <c r="K738" s="19"/>
      <c r="L738" s="20"/>
      <c r="M738" s="20"/>
      <c r="N738" s="20"/>
      <c r="O738" s="20"/>
      <c r="P738" s="20"/>
      <c r="Q738" s="20"/>
      <c r="R738" s="20"/>
      <c r="S738" s="20"/>
      <c r="T738" s="20"/>
      <c r="AE738" s="21" t="str">
        <f t="shared" si="100"/>
        <v/>
      </c>
      <c r="AF738" s="21" t="str">
        <f t="shared" ref="AF738:AN738" si="743">if(not(isblank(L738)),", "&amp;L738,"")</f>
        <v/>
      </c>
      <c r="AG738" s="21" t="str">
        <f t="shared" si="743"/>
        <v/>
      </c>
      <c r="AH738" s="21" t="str">
        <f t="shared" si="743"/>
        <v/>
      </c>
      <c r="AI738" s="21" t="str">
        <f t="shared" si="743"/>
        <v/>
      </c>
      <c r="AJ738" s="21" t="str">
        <f t="shared" si="743"/>
        <v/>
      </c>
      <c r="AK738" s="21" t="str">
        <f t="shared" si="743"/>
        <v/>
      </c>
      <c r="AL738" s="21" t="str">
        <f t="shared" si="743"/>
        <v/>
      </c>
      <c r="AM738" s="21" t="str">
        <f t="shared" si="743"/>
        <v/>
      </c>
      <c r="AN738" s="21" t="str">
        <f t="shared" si="743"/>
        <v/>
      </c>
      <c r="AO738" s="21" t="str">
        <f t="shared" si="102"/>
        <v/>
      </c>
    </row>
    <row r="739" ht="16.5" customHeight="1">
      <c r="J739" s="18"/>
      <c r="K739" s="19"/>
      <c r="L739" s="20"/>
      <c r="M739" s="20"/>
      <c r="N739" s="20"/>
      <c r="O739" s="20"/>
      <c r="P739" s="20"/>
      <c r="Q739" s="20"/>
      <c r="R739" s="20"/>
      <c r="S739" s="20"/>
      <c r="T739" s="20"/>
      <c r="AE739" s="21" t="str">
        <f t="shared" si="100"/>
        <v/>
      </c>
      <c r="AF739" s="21" t="str">
        <f t="shared" ref="AF739:AN739" si="744">if(not(isblank(L739)),", "&amp;L739,"")</f>
        <v/>
      </c>
      <c r="AG739" s="21" t="str">
        <f t="shared" si="744"/>
        <v/>
      </c>
      <c r="AH739" s="21" t="str">
        <f t="shared" si="744"/>
        <v/>
      </c>
      <c r="AI739" s="21" t="str">
        <f t="shared" si="744"/>
        <v/>
      </c>
      <c r="AJ739" s="21" t="str">
        <f t="shared" si="744"/>
        <v/>
      </c>
      <c r="AK739" s="21" t="str">
        <f t="shared" si="744"/>
        <v/>
      </c>
      <c r="AL739" s="21" t="str">
        <f t="shared" si="744"/>
        <v/>
      </c>
      <c r="AM739" s="21" t="str">
        <f t="shared" si="744"/>
        <v/>
      </c>
      <c r="AN739" s="21" t="str">
        <f t="shared" si="744"/>
        <v/>
      </c>
      <c r="AO739" s="21" t="str">
        <f t="shared" si="102"/>
        <v/>
      </c>
    </row>
    <row r="740" ht="16.5" customHeight="1">
      <c r="J740" s="18"/>
      <c r="K740" s="19"/>
      <c r="L740" s="20"/>
      <c r="M740" s="20"/>
      <c r="N740" s="20"/>
      <c r="O740" s="20"/>
      <c r="P740" s="20"/>
      <c r="Q740" s="20"/>
      <c r="R740" s="20"/>
      <c r="S740" s="20"/>
      <c r="T740" s="20"/>
      <c r="AE740" s="21" t="str">
        <f t="shared" si="100"/>
        <v/>
      </c>
      <c r="AF740" s="21" t="str">
        <f t="shared" ref="AF740:AN740" si="745">if(not(isblank(L740)),", "&amp;L740,"")</f>
        <v/>
      </c>
      <c r="AG740" s="21" t="str">
        <f t="shared" si="745"/>
        <v/>
      </c>
      <c r="AH740" s="21" t="str">
        <f t="shared" si="745"/>
        <v/>
      </c>
      <c r="AI740" s="21" t="str">
        <f t="shared" si="745"/>
        <v/>
      </c>
      <c r="AJ740" s="21" t="str">
        <f t="shared" si="745"/>
        <v/>
      </c>
      <c r="AK740" s="21" t="str">
        <f t="shared" si="745"/>
        <v/>
      </c>
      <c r="AL740" s="21" t="str">
        <f t="shared" si="745"/>
        <v/>
      </c>
      <c r="AM740" s="21" t="str">
        <f t="shared" si="745"/>
        <v/>
      </c>
      <c r="AN740" s="21" t="str">
        <f t="shared" si="745"/>
        <v/>
      </c>
      <c r="AO740" s="21" t="str">
        <f t="shared" si="102"/>
        <v/>
      </c>
    </row>
    <row r="741" ht="16.5" customHeight="1">
      <c r="J741" s="18"/>
      <c r="K741" s="19"/>
      <c r="L741" s="20"/>
      <c r="M741" s="20"/>
      <c r="N741" s="20"/>
      <c r="O741" s="20"/>
      <c r="P741" s="20"/>
      <c r="Q741" s="20"/>
      <c r="R741" s="20"/>
      <c r="S741" s="20"/>
      <c r="T741" s="20"/>
      <c r="AE741" s="21" t="str">
        <f t="shared" si="100"/>
        <v/>
      </c>
      <c r="AF741" s="21" t="str">
        <f t="shared" ref="AF741:AN741" si="746">if(not(isblank(L741)),", "&amp;L741,"")</f>
        <v/>
      </c>
      <c r="AG741" s="21" t="str">
        <f t="shared" si="746"/>
        <v/>
      </c>
      <c r="AH741" s="21" t="str">
        <f t="shared" si="746"/>
        <v/>
      </c>
      <c r="AI741" s="21" t="str">
        <f t="shared" si="746"/>
        <v/>
      </c>
      <c r="AJ741" s="21" t="str">
        <f t="shared" si="746"/>
        <v/>
      </c>
      <c r="AK741" s="21" t="str">
        <f t="shared" si="746"/>
        <v/>
      </c>
      <c r="AL741" s="21" t="str">
        <f t="shared" si="746"/>
        <v/>
      </c>
      <c r="AM741" s="21" t="str">
        <f t="shared" si="746"/>
        <v/>
      </c>
      <c r="AN741" s="21" t="str">
        <f t="shared" si="746"/>
        <v/>
      </c>
      <c r="AO741" s="21" t="str">
        <f t="shared" si="102"/>
        <v/>
      </c>
    </row>
    <row r="742" ht="16.5" customHeight="1">
      <c r="J742" s="18"/>
      <c r="K742" s="19"/>
      <c r="L742" s="20"/>
      <c r="M742" s="20"/>
      <c r="N742" s="20"/>
      <c r="O742" s="20"/>
      <c r="P742" s="20"/>
      <c r="Q742" s="20"/>
      <c r="R742" s="20"/>
      <c r="S742" s="20"/>
      <c r="T742" s="20"/>
      <c r="AE742" s="21" t="str">
        <f t="shared" si="100"/>
        <v/>
      </c>
      <c r="AF742" s="21" t="str">
        <f t="shared" ref="AF742:AN742" si="747">if(not(isblank(L742)),", "&amp;L742,"")</f>
        <v/>
      </c>
      <c r="AG742" s="21" t="str">
        <f t="shared" si="747"/>
        <v/>
      </c>
      <c r="AH742" s="21" t="str">
        <f t="shared" si="747"/>
        <v/>
      </c>
      <c r="AI742" s="21" t="str">
        <f t="shared" si="747"/>
        <v/>
      </c>
      <c r="AJ742" s="21" t="str">
        <f t="shared" si="747"/>
        <v/>
      </c>
      <c r="AK742" s="21" t="str">
        <f t="shared" si="747"/>
        <v/>
      </c>
      <c r="AL742" s="21" t="str">
        <f t="shared" si="747"/>
        <v/>
      </c>
      <c r="AM742" s="21" t="str">
        <f t="shared" si="747"/>
        <v/>
      </c>
      <c r="AN742" s="21" t="str">
        <f t="shared" si="747"/>
        <v/>
      </c>
      <c r="AO742" s="21" t="str">
        <f t="shared" si="102"/>
        <v/>
      </c>
    </row>
    <row r="743" ht="16.5" customHeight="1">
      <c r="J743" s="18"/>
      <c r="K743" s="19"/>
      <c r="L743" s="20"/>
      <c r="M743" s="20"/>
      <c r="N743" s="20"/>
      <c r="O743" s="20"/>
      <c r="P743" s="20"/>
      <c r="Q743" s="20"/>
      <c r="R743" s="20"/>
      <c r="S743" s="20"/>
      <c r="T743" s="20"/>
      <c r="AE743" s="21" t="str">
        <f t="shared" si="100"/>
        <v/>
      </c>
      <c r="AF743" s="21" t="str">
        <f t="shared" ref="AF743:AN743" si="748">if(not(isblank(L743)),", "&amp;L743,"")</f>
        <v/>
      </c>
      <c r="AG743" s="21" t="str">
        <f t="shared" si="748"/>
        <v/>
      </c>
      <c r="AH743" s="21" t="str">
        <f t="shared" si="748"/>
        <v/>
      </c>
      <c r="AI743" s="21" t="str">
        <f t="shared" si="748"/>
        <v/>
      </c>
      <c r="AJ743" s="21" t="str">
        <f t="shared" si="748"/>
        <v/>
      </c>
      <c r="AK743" s="21" t="str">
        <f t="shared" si="748"/>
        <v/>
      </c>
      <c r="AL743" s="21" t="str">
        <f t="shared" si="748"/>
        <v/>
      </c>
      <c r="AM743" s="21" t="str">
        <f t="shared" si="748"/>
        <v/>
      </c>
      <c r="AN743" s="21" t="str">
        <f t="shared" si="748"/>
        <v/>
      </c>
      <c r="AO743" s="21" t="str">
        <f t="shared" si="102"/>
        <v/>
      </c>
    </row>
    <row r="744" ht="16.5" customHeight="1">
      <c r="J744" s="18"/>
      <c r="K744" s="19"/>
      <c r="L744" s="20"/>
      <c r="M744" s="20"/>
      <c r="N744" s="20"/>
      <c r="O744" s="20"/>
      <c r="P744" s="20"/>
      <c r="Q744" s="20"/>
      <c r="R744" s="20"/>
      <c r="S744" s="20"/>
      <c r="T744" s="20"/>
      <c r="AE744" s="21" t="str">
        <f t="shared" si="100"/>
        <v/>
      </c>
      <c r="AF744" s="21" t="str">
        <f t="shared" ref="AF744:AN744" si="749">if(not(isblank(L744)),", "&amp;L744,"")</f>
        <v/>
      </c>
      <c r="AG744" s="21" t="str">
        <f t="shared" si="749"/>
        <v/>
      </c>
      <c r="AH744" s="21" t="str">
        <f t="shared" si="749"/>
        <v/>
      </c>
      <c r="AI744" s="21" t="str">
        <f t="shared" si="749"/>
        <v/>
      </c>
      <c r="AJ744" s="21" t="str">
        <f t="shared" si="749"/>
        <v/>
      </c>
      <c r="AK744" s="21" t="str">
        <f t="shared" si="749"/>
        <v/>
      </c>
      <c r="AL744" s="21" t="str">
        <f t="shared" si="749"/>
        <v/>
      </c>
      <c r="AM744" s="21" t="str">
        <f t="shared" si="749"/>
        <v/>
      </c>
      <c r="AN744" s="21" t="str">
        <f t="shared" si="749"/>
        <v/>
      </c>
      <c r="AO744" s="21" t="str">
        <f t="shared" si="102"/>
        <v/>
      </c>
    </row>
    <row r="745" ht="16.5" customHeight="1">
      <c r="J745" s="18"/>
      <c r="K745" s="19"/>
      <c r="L745" s="20"/>
      <c r="M745" s="20"/>
      <c r="N745" s="20"/>
      <c r="O745" s="20"/>
      <c r="P745" s="20"/>
      <c r="Q745" s="20"/>
      <c r="R745" s="20"/>
      <c r="S745" s="20"/>
      <c r="T745" s="20"/>
      <c r="AE745" s="21" t="str">
        <f t="shared" si="100"/>
        <v/>
      </c>
      <c r="AF745" s="21" t="str">
        <f t="shared" ref="AF745:AN745" si="750">if(not(isblank(L745)),", "&amp;L745,"")</f>
        <v/>
      </c>
      <c r="AG745" s="21" t="str">
        <f t="shared" si="750"/>
        <v/>
      </c>
      <c r="AH745" s="21" t="str">
        <f t="shared" si="750"/>
        <v/>
      </c>
      <c r="AI745" s="21" t="str">
        <f t="shared" si="750"/>
        <v/>
      </c>
      <c r="AJ745" s="21" t="str">
        <f t="shared" si="750"/>
        <v/>
      </c>
      <c r="AK745" s="21" t="str">
        <f t="shared" si="750"/>
        <v/>
      </c>
      <c r="AL745" s="21" t="str">
        <f t="shared" si="750"/>
        <v/>
      </c>
      <c r="AM745" s="21" t="str">
        <f t="shared" si="750"/>
        <v/>
      </c>
      <c r="AN745" s="21" t="str">
        <f t="shared" si="750"/>
        <v/>
      </c>
      <c r="AO745" s="21" t="str">
        <f t="shared" si="102"/>
        <v/>
      </c>
    </row>
    <row r="746" ht="16.5" customHeight="1">
      <c r="J746" s="18"/>
      <c r="K746" s="19"/>
      <c r="L746" s="20"/>
      <c r="M746" s="20"/>
      <c r="N746" s="20"/>
      <c r="O746" s="20"/>
      <c r="P746" s="20"/>
      <c r="Q746" s="20"/>
      <c r="R746" s="20"/>
      <c r="S746" s="20"/>
      <c r="T746" s="20"/>
      <c r="AE746" s="21" t="str">
        <f t="shared" si="100"/>
        <v/>
      </c>
      <c r="AF746" s="21" t="str">
        <f t="shared" ref="AF746:AN746" si="751">if(not(isblank(L746)),", "&amp;L746,"")</f>
        <v/>
      </c>
      <c r="AG746" s="21" t="str">
        <f t="shared" si="751"/>
        <v/>
      </c>
      <c r="AH746" s="21" t="str">
        <f t="shared" si="751"/>
        <v/>
      </c>
      <c r="AI746" s="21" t="str">
        <f t="shared" si="751"/>
        <v/>
      </c>
      <c r="AJ746" s="21" t="str">
        <f t="shared" si="751"/>
        <v/>
      </c>
      <c r="AK746" s="21" t="str">
        <f t="shared" si="751"/>
        <v/>
      </c>
      <c r="AL746" s="21" t="str">
        <f t="shared" si="751"/>
        <v/>
      </c>
      <c r="AM746" s="21" t="str">
        <f t="shared" si="751"/>
        <v/>
      </c>
      <c r="AN746" s="21" t="str">
        <f t="shared" si="751"/>
        <v/>
      </c>
      <c r="AO746" s="21" t="str">
        <f t="shared" si="102"/>
        <v/>
      </c>
    </row>
    <row r="747" ht="16.5" customHeight="1">
      <c r="J747" s="18"/>
      <c r="K747" s="19"/>
      <c r="L747" s="20"/>
      <c r="M747" s="20"/>
      <c r="N747" s="20"/>
      <c r="O747" s="20"/>
      <c r="P747" s="20"/>
      <c r="Q747" s="20"/>
      <c r="R747" s="20"/>
      <c r="S747" s="20"/>
      <c r="T747" s="20"/>
      <c r="AE747" s="21" t="str">
        <f t="shared" si="100"/>
        <v/>
      </c>
      <c r="AF747" s="21" t="str">
        <f t="shared" ref="AF747:AN747" si="752">if(not(isblank(L747)),", "&amp;L747,"")</f>
        <v/>
      </c>
      <c r="AG747" s="21" t="str">
        <f t="shared" si="752"/>
        <v/>
      </c>
      <c r="AH747" s="21" t="str">
        <f t="shared" si="752"/>
        <v/>
      </c>
      <c r="AI747" s="21" t="str">
        <f t="shared" si="752"/>
        <v/>
      </c>
      <c r="AJ747" s="21" t="str">
        <f t="shared" si="752"/>
        <v/>
      </c>
      <c r="AK747" s="21" t="str">
        <f t="shared" si="752"/>
        <v/>
      </c>
      <c r="AL747" s="21" t="str">
        <f t="shared" si="752"/>
        <v/>
      </c>
      <c r="AM747" s="21" t="str">
        <f t="shared" si="752"/>
        <v/>
      </c>
      <c r="AN747" s="21" t="str">
        <f t="shared" si="752"/>
        <v/>
      </c>
      <c r="AO747" s="21" t="str">
        <f t="shared" si="102"/>
        <v/>
      </c>
    </row>
    <row r="748" ht="16.5" customHeight="1">
      <c r="J748" s="18"/>
      <c r="K748" s="19"/>
      <c r="L748" s="20"/>
      <c r="M748" s="20"/>
      <c r="N748" s="20"/>
      <c r="O748" s="20"/>
      <c r="P748" s="20"/>
      <c r="Q748" s="20"/>
      <c r="R748" s="20"/>
      <c r="S748" s="20"/>
      <c r="T748" s="20"/>
      <c r="AE748" s="21" t="str">
        <f t="shared" si="100"/>
        <v/>
      </c>
      <c r="AF748" s="21" t="str">
        <f t="shared" ref="AF748:AN748" si="753">if(not(isblank(L748)),", "&amp;L748,"")</f>
        <v/>
      </c>
      <c r="AG748" s="21" t="str">
        <f t="shared" si="753"/>
        <v/>
      </c>
      <c r="AH748" s="21" t="str">
        <f t="shared" si="753"/>
        <v/>
      </c>
      <c r="AI748" s="21" t="str">
        <f t="shared" si="753"/>
        <v/>
      </c>
      <c r="AJ748" s="21" t="str">
        <f t="shared" si="753"/>
        <v/>
      </c>
      <c r="AK748" s="21" t="str">
        <f t="shared" si="753"/>
        <v/>
      </c>
      <c r="AL748" s="21" t="str">
        <f t="shared" si="753"/>
        <v/>
      </c>
      <c r="AM748" s="21" t="str">
        <f t="shared" si="753"/>
        <v/>
      </c>
      <c r="AN748" s="21" t="str">
        <f t="shared" si="753"/>
        <v/>
      </c>
      <c r="AO748" s="21" t="str">
        <f t="shared" si="102"/>
        <v/>
      </c>
    </row>
    <row r="749" ht="16.5" customHeight="1">
      <c r="J749" s="18"/>
      <c r="K749" s="19"/>
      <c r="L749" s="20"/>
      <c r="M749" s="20"/>
      <c r="N749" s="20"/>
      <c r="O749" s="20"/>
      <c r="P749" s="20"/>
      <c r="Q749" s="20"/>
      <c r="R749" s="20"/>
      <c r="S749" s="20"/>
      <c r="T749" s="20"/>
      <c r="AE749" s="21" t="str">
        <f t="shared" si="100"/>
        <v/>
      </c>
      <c r="AF749" s="21" t="str">
        <f t="shared" ref="AF749:AN749" si="754">if(not(isblank(L749)),", "&amp;L749,"")</f>
        <v/>
      </c>
      <c r="AG749" s="21" t="str">
        <f t="shared" si="754"/>
        <v/>
      </c>
      <c r="AH749" s="21" t="str">
        <f t="shared" si="754"/>
        <v/>
      </c>
      <c r="AI749" s="21" t="str">
        <f t="shared" si="754"/>
        <v/>
      </c>
      <c r="AJ749" s="21" t="str">
        <f t="shared" si="754"/>
        <v/>
      </c>
      <c r="AK749" s="21" t="str">
        <f t="shared" si="754"/>
        <v/>
      </c>
      <c r="AL749" s="21" t="str">
        <f t="shared" si="754"/>
        <v/>
      </c>
      <c r="AM749" s="21" t="str">
        <f t="shared" si="754"/>
        <v/>
      </c>
      <c r="AN749" s="21" t="str">
        <f t="shared" si="754"/>
        <v/>
      </c>
      <c r="AO749" s="21" t="str">
        <f t="shared" si="102"/>
        <v/>
      </c>
    </row>
    <row r="750" ht="16.5" customHeight="1">
      <c r="J750" s="18"/>
      <c r="K750" s="19"/>
      <c r="L750" s="20"/>
      <c r="M750" s="20"/>
      <c r="N750" s="20"/>
      <c r="O750" s="20"/>
      <c r="P750" s="20"/>
      <c r="Q750" s="20"/>
      <c r="R750" s="20"/>
      <c r="S750" s="20"/>
      <c r="T750" s="20"/>
      <c r="AE750" s="21" t="str">
        <f t="shared" si="100"/>
        <v/>
      </c>
      <c r="AF750" s="21" t="str">
        <f t="shared" ref="AF750:AN750" si="755">if(not(isblank(L750)),", "&amp;L750,"")</f>
        <v/>
      </c>
      <c r="AG750" s="21" t="str">
        <f t="shared" si="755"/>
        <v/>
      </c>
      <c r="AH750" s="21" t="str">
        <f t="shared" si="755"/>
        <v/>
      </c>
      <c r="AI750" s="21" t="str">
        <f t="shared" si="755"/>
        <v/>
      </c>
      <c r="AJ750" s="21" t="str">
        <f t="shared" si="755"/>
        <v/>
      </c>
      <c r="AK750" s="21" t="str">
        <f t="shared" si="755"/>
        <v/>
      </c>
      <c r="AL750" s="21" t="str">
        <f t="shared" si="755"/>
        <v/>
      </c>
      <c r="AM750" s="21" t="str">
        <f t="shared" si="755"/>
        <v/>
      </c>
      <c r="AN750" s="21" t="str">
        <f t="shared" si="755"/>
        <v/>
      </c>
      <c r="AO750" s="21" t="str">
        <f t="shared" si="102"/>
        <v/>
      </c>
    </row>
    <row r="751" ht="16.5" customHeight="1">
      <c r="J751" s="18"/>
      <c r="K751" s="19"/>
      <c r="L751" s="20"/>
      <c r="M751" s="20"/>
      <c r="N751" s="20"/>
      <c r="O751" s="20"/>
      <c r="P751" s="20"/>
      <c r="Q751" s="20"/>
      <c r="R751" s="20"/>
      <c r="S751" s="20"/>
      <c r="T751" s="20"/>
      <c r="AE751" s="21" t="str">
        <f t="shared" si="100"/>
        <v/>
      </c>
      <c r="AF751" s="21" t="str">
        <f t="shared" ref="AF751:AN751" si="756">if(not(isblank(L751)),", "&amp;L751,"")</f>
        <v/>
      </c>
      <c r="AG751" s="21" t="str">
        <f t="shared" si="756"/>
        <v/>
      </c>
      <c r="AH751" s="21" t="str">
        <f t="shared" si="756"/>
        <v/>
      </c>
      <c r="AI751" s="21" t="str">
        <f t="shared" si="756"/>
        <v/>
      </c>
      <c r="AJ751" s="21" t="str">
        <f t="shared" si="756"/>
        <v/>
      </c>
      <c r="AK751" s="21" t="str">
        <f t="shared" si="756"/>
        <v/>
      </c>
      <c r="AL751" s="21" t="str">
        <f t="shared" si="756"/>
        <v/>
      </c>
      <c r="AM751" s="21" t="str">
        <f t="shared" si="756"/>
        <v/>
      </c>
      <c r="AN751" s="21" t="str">
        <f t="shared" si="756"/>
        <v/>
      </c>
      <c r="AO751" s="21" t="str">
        <f t="shared" si="102"/>
        <v/>
      </c>
    </row>
    <row r="752" ht="16.5" customHeight="1">
      <c r="J752" s="18"/>
      <c r="K752" s="19"/>
      <c r="L752" s="20"/>
      <c r="M752" s="20"/>
      <c r="N752" s="20"/>
      <c r="O752" s="20"/>
      <c r="P752" s="20"/>
      <c r="Q752" s="20"/>
      <c r="R752" s="20"/>
      <c r="S752" s="20"/>
      <c r="T752" s="20"/>
      <c r="AE752" s="21" t="str">
        <f t="shared" si="100"/>
        <v/>
      </c>
      <c r="AF752" s="21" t="str">
        <f t="shared" ref="AF752:AN752" si="757">if(not(isblank(L752)),", "&amp;L752,"")</f>
        <v/>
      </c>
      <c r="AG752" s="21" t="str">
        <f t="shared" si="757"/>
        <v/>
      </c>
      <c r="AH752" s="21" t="str">
        <f t="shared" si="757"/>
        <v/>
      </c>
      <c r="AI752" s="21" t="str">
        <f t="shared" si="757"/>
        <v/>
      </c>
      <c r="AJ752" s="21" t="str">
        <f t="shared" si="757"/>
        <v/>
      </c>
      <c r="AK752" s="21" t="str">
        <f t="shared" si="757"/>
        <v/>
      </c>
      <c r="AL752" s="21" t="str">
        <f t="shared" si="757"/>
        <v/>
      </c>
      <c r="AM752" s="21" t="str">
        <f t="shared" si="757"/>
        <v/>
      </c>
      <c r="AN752" s="21" t="str">
        <f t="shared" si="757"/>
        <v/>
      </c>
      <c r="AO752" s="21" t="str">
        <f t="shared" si="102"/>
        <v/>
      </c>
    </row>
    <row r="753" ht="16.5" customHeight="1">
      <c r="J753" s="18"/>
      <c r="K753" s="19"/>
      <c r="L753" s="20"/>
      <c r="M753" s="20"/>
      <c r="N753" s="20"/>
      <c r="O753" s="20"/>
      <c r="P753" s="20"/>
      <c r="Q753" s="20"/>
      <c r="R753" s="20"/>
      <c r="S753" s="20"/>
      <c r="T753" s="20"/>
      <c r="AE753" s="21" t="str">
        <f t="shared" si="100"/>
        <v/>
      </c>
      <c r="AF753" s="21" t="str">
        <f t="shared" ref="AF753:AN753" si="758">if(not(isblank(L753)),", "&amp;L753,"")</f>
        <v/>
      </c>
      <c r="AG753" s="21" t="str">
        <f t="shared" si="758"/>
        <v/>
      </c>
      <c r="AH753" s="21" t="str">
        <f t="shared" si="758"/>
        <v/>
      </c>
      <c r="AI753" s="21" t="str">
        <f t="shared" si="758"/>
        <v/>
      </c>
      <c r="AJ753" s="21" t="str">
        <f t="shared" si="758"/>
        <v/>
      </c>
      <c r="AK753" s="21" t="str">
        <f t="shared" si="758"/>
        <v/>
      </c>
      <c r="AL753" s="21" t="str">
        <f t="shared" si="758"/>
        <v/>
      </c>
      <c r="AM753" s="21" t="str">
        <f t="shared" si="758"/>
        <v/>
      </c>
      <c r="AN753" s="21" t="str">
        <f t="shared" si="758"/>
        <v/>
      </c>
      <c r="AO753" s="21" t="str">
        <f t="shared" si="102"/>
        <v/>
      </c>
    </row>
    <row r="754" ht="16.5" customHeight="1">
      <c r="J754" s="18"/>
      <c r="K754" s="19"/>
      <c r="L754" s="20"/>
      <c r="M754" s="20"/>
      <c r="N754" s="20"/>
      <c r="O754" s="20"/>
      <c r="P754" s="20"/>
      <c r="Q754" s="20"/>
      <c r="R754" s="20"/>
      <c r="S754" s="20"/>
      <c r="T754" s="20"/>
      <c r="AE754" s="21" t="str">
        <f t="shared" si="100"/>
        <v/>
      </c>
      <c r="AF754" s="21" t="str">
        <f t="shared" ref="AF754:AN754" si="759">if(not(isblank(L754)),", "&amp;L754,"")</f>
        <v/>
      </c>
      <c r="AG754" s="21" t="str">
        <f t="shared" si="759"/>
        <v/>
      </c>
      <c r="AH754" s="21" t="str">
        <f t="shared" si="759"/>
        <v/>
      </c>
      <c r="AI754" s="21" t="str">
        <f t="shared" si="759"/>
        <v/>
      </c>
      <c r="AJ754" s="21" t="str">
        <f t="shared" si="759"/>
        <v/>
      </c>
      <c r="AK754" s="21" t="str">
        <f t="shared" si="759"/>
        <v/>
      </c>
      <c r="AL754" s="21" t="str">
        <f t="shared" si="759"/>
        <v/>
      </c>
      <c r="AM754" s="21" t="str">
        <f t="shared" si="759"/>
        <v/>
      </c>
      <c r="AN754" s="21" t="str">
        <f t="shared" si="759"/>
        <v/>
      </c>
      <c r="AO754" s="21" t="str">
        <f t="shared" si="102"/>
        <v/>
      </c>
    </row>
    <row r="755" ht="16.5" customHeight="1">
      <c r="J755" s="18"/>
      <c r="K755" s="19"/>
      <c r="L755" s="20"/>
      <c r="M755" s="20"/>
      <c r="N755" s="20"/>
      <c r="O755" s="20"/>
      <c r="P755" s="20"/>
      <c r="Q755" s="20"/>
      <c r="R755" s="20"/>
      <c r="S755" s="20"/>
      <c r="T755" s="20"/>
      <c r="AE755" s="21" t="str">
        <f t="shared" si="100"/>
        <v/>
      </c>
      <c r="AF755" s="21" t="str">
        <f t="shared" ref="AF755:AN755" si="760">if(not(isblank(L755)),", "&amp;L755,"")</f>
        <v/>
      </c>
      <c r="AG755" s="21" t="str">
        <f t="shared" si="760"/>
        <v/>
      </c>
      <c r="AH755" s="21" t="str">
        <f t="shared" si="760"/>
        <v/>
      </c>
      <c r="AI755" s="21" t="str">
        <f t="shared" si="760"/>
        <v/>
      </c>
      <c r="AJ755" s="21" t="str">
        <f t="shared" si="760"/>
        <v/>
      </c>
      <c r="AK755" s="21" t="str">
        <f t="shared" si="760"/>
        <v/>
      </c>
      <c r="AL755" s="21" t="str">
        <f t="shared" si="760"/>
        <v/>
      </c>
      <c r="AM755" s="21" t="str">
        <f t="shared" si="760"/>
        <v/>
      </c>
      <c r="AN755" s="21" t="str">
        <f t="shared" si="760"/>
        <v/>
      </c>
      <c r="AO755" s="21" t="str">
        <f t="shared" si="102"/>
        <v/>
      </c>
    </row>
    <row r="756" ht="16.5" customHeight="1">
      <c r="J756" s="18"/>
      <c r="K756" s="19"/>
      <c r="L756" s="20"/>
      <c r="M756" s="20"/>
      <c r="N756" s="20"/>
      <c r="O756" s="20"/>
      <c r="P756" s="20"/>
      <c r="Q756" s="20"/>
      <c r="R756" s="20"/>
      <c r="S756" s="20"/>
      <c r="T756" s="20"/>
      <c r="AE756" s="21" t="str">
        <f t="shared" si="100"/>
        <v/>
      </c>
      <c r="AF756" s="21" t="str">
        <f t="shared" ref="AF756:AN756" si="761">if(not(isblank(L756)),", "&amp;L756,"")</f>
        <v/>
      </c>
      <c r="AG756" s="21" t="str">
        <f t="shared" si="761"/>
        <v/>
      </c>
      <c r="AH756" s="21" t="str">
        <f t="shared" si="761"/>
        <v/>
      </c>
      <c r="AI756" s="21" t="str">
        <f t="shared" si="761"/>
        <v/>
      </c>
      <c r="AJ756" s="21" t="str">
        <f t="shared" si="761"/>
        <v/>
      </c>
      <c r="AK756" s="21" t="str">
        <f t="shared" si="761"/>
        <v/>
      </c>
      <c r="AL756" s="21" t="str">
        <f t="shared" si="761"/>
        <v/>
      </c>
      <c r="AM756" s="21" t="str">
        <f t="shared" si="761"/>
        <v/>
      </c>
      <c r="AN756" s="21" t="str">
        <f t="shared" si="761"/>
        <v/>
      </c>
      <c r="AO756" s="21" t="str">
        <f t="shared" si="102"/>
        <v/>
      </c>
    </row>
    <row r="757" ht="16.5" customHeight="1">
      <c r="J757" s="18"/>
      <c r="K757" s="19"/>
      <c r="L757" s="20"/>
      <c r="M757" s="20"/>
      <c r="N757" s="20"/>
      <c r="O757" s="20"/>
      <c r="P757" s="20"/>
      <c r="Q757" s="20"/>
      <c r="R757" s="20"/>
      <c r="S757" s="20"/>
      <c r="T757" s="20"/>
      <c r="AE757" s="21" t="str">
        <f t="shared" si="100"/>
        <v/>
      </c>
      <c r="AF757" s="21" t="str">
        <f t="shared" ref="AF757:AN757" si="762">if(not(isblank(L757)),", "&amp;L757,"")</f>
        <v/>
      </c>
      <c r="AG757" s="21" t="str">
        <f t="shared" si="762"/>
        <v/>
      </c>
      <c r="AH757" s="21" t="str">
        <f t="shared" si="762"/>
        <v/>
      </c>
      <c r="AI757" s="21" t="str">
        <f t="shared" si="762"/>
        <v/>
      </c>
      <c r="AJ757" s="21" t="str">
        <f t="shared" si="762"/>
        <v/>
      </c>
      <c r="AK757" s="21" t="str">
        <f t="shared" si="762"/>
        <v/>
      </c>
      <c r="AL757" s="21" t="str">
        <f t="shared" si="762"/>
        <v/>
      </c>
      <c r="AM757" s="21" t="str">
        <f t="shared" si="762"/>
        <v/>
      </c>
      <c r="AN757" s="21" t="str">
        <f t="shared" si="762"/>
        <v/>
      </c>
      <c r="AO757" s="21" t="str">
        <f t="shared" si="102"/>
        <v/>
      </c>
    </row>
    <row r="758" ht="16.5" customHeight="1">
      <c r="J758" s="18"/>
      <c r="K758" s="19"/>
      <c r="L758" s="20"/>
      <c r="M758" s="20"/>
      <c r="N758" s="20"/>
      <c r="O758" s="20"/>
      <c r="P758" s="20"/>
      <c r="Q758" s="20"/>
      <c r="R758" s="20"/>
      <c r="S758" s="20"/>
      <c r="T758" s="20"/>
      <c r="AE758" s="21" t="str">
        <f t="shared" si="100"/>
        <v/>
      </c>
      <c r="AF758" s="21" t="str">
        <f t="shared" ref="AF758:AN758" si="763">if(not(isblank(L758)),", "&amp;L758,"")</f>
        <v/>
      </c>
      <c r="AG758" s="21" t="str">
        <f t="shared" si="763"/>
        <v/>
      </c>
      <c r="AH758" s="21" t="str">
        <f t="shared" si="763"/>
        <v/>
      </c>
      <c r="AI758" s="21" t="str">
        <f t="shared" si="763"/>
        <v/>
      </c>
      <c r="AJ758" s="21" t="str">
        <f t="shared" si="763"/>
        <v/>
      </c>
      <c r="AK758" s="21" t="str">
        <f t="shared" si="763"/>
        <v/>
      </c>
      <c r="AL758" s="21" t="str">
        <f t="shared" si="763"/>
        <v/>
      </c>
      <c r="AM758" s="21" t="str">
        <f t="shared" si="763"/>
        <v/>
      </c>
      <c r="AN758" s="21" t="str">
        <f t="shared" si="763"/>
        <v/>
      </c>
      <c r="AO758" s="21" t="str">
        <f t="shared" si="102"/>
        <v/>
      </c>
    </row>
    <row r="759" ht="16.5" customHeight="1">
      <c r="J759" s="18"/>
      <c r="K759" s="19"/>
      <c r="L759" s="20"/>
      <c r="M759" s="20"/>
      <c r="N759" s="20"/>
      <c r="O759" s="20"/>
      <c r="P759" s="20"/>
      <c r="Q759" s="20"/>
      <c r="R759" s="20"/>
      <c r="S759" s="20"/>
      <c r="T759" s="20"/>
      <c r="AE759" s="21" t="str">
        <f t="shared" si="100"/>
        <v/>
      </c>
      <c r="AF759" s="21" t="str">
        <f t="shared" ref="AF759:AN759" si="764">if(not(isblank(L759)),", "&amp;L759,"")</f>
        <v/>
      </c>
      <c r="AG759" s="21" t="str">
        <f t="shared" si="764"/>
        <v/>
      </c>
      <c r="AH759" s="21" t="str">
        <f t="shared" si="764"/>
        <v/>
      </c>
      <c r="AI759" s="21" t="str">
        <f t="shared" si="764"/>
        <v/>
      </c>
      <c r="AJ759" s="21" t="str">
        <f t="shared" si="764"/>
        <v/>
      </c>
      <c r="AK759" s="21" t="str">
        <f t="shared" si="764"/>
        <v/>
      </c>
      <c r="AL759" s="21" t="str">
        <f t="shared" si="764"/>
        <v/>
      </c>
      <c r="AM759" s="21" t="str">
        <f t="shared" si="764"/>
        <v/>
      </c>
      <c r="AN759" s="21" t="str">
        <f t="shared" si="764"/>
        <v/>
      </c>
      <c r="AO759" s="21" t="str">
        <f t="shared" si="102"/>
        <v/>
      </c>
    </row>
    <row r="760" ht="16.5" customHeight="1">
      <c r="J760" s="18"/>
      <c r="K760" s="19"/>
      <c r="L760" s="20"/>
      <c r="M760" s="20"/>
      <c r="N760" s="20"/>
      <c r="O760" s="20"/>
      <c r="P760" s="20"/>
      <c r="Q760" s="20"/>
      <c r="R760" s="20"/>
      <c r="S760" s="20"/>
      <c r="T760" s="20"/>
      <c r="AE760" s="21" t="str">
        <f t="shared" si="100"/>
        <v/>
      </c>
      <c r="AF760" s="21" t="str">
        <f t="shared" ref="AF760:AN760" si="765">if(not(isblank(L760)),", "&amp;L760,"")</f>
        <v/>
      </c>
      <c r="AG760" s="21" t="str">
        <f t="shared" si="765"/>
        <v/>
      </c>
      <c r="AH760" s="21" t="str">
        <f t="shared" si="765"/>
        <v/>
      </c>
      <c r="AI760" s="21" t="str">
        <f t="shared" si="765"/>
        <v/>
      </c>
      <c r="AJ760" s="21" t="str">
        <f t="shared" si="765"/>
        <v/>
      </c>
      <c r="AK760" s="21" t="str">
        <f t="shared" si="765"/>
        <v/>
      </c>
      <c r="AL760" s="21" t="str">
        <f t="shared" si="765"/>
        <v/>
      </c>
      <c r="AM760" s="21" t="str">
        <f t="shared" si="765"/>
        <v/>
      </c>
      <c r="AN760" s="21" t="str">
        <f t="shared" si="765"/>
        <v/>
      </c>
      <c r="AO760" s="21" t="str">
        <f t="shared" si="102"/>
        <v/>
      </c>
    </row>
    <row r="761" ht="16.5" customHeight="1">
      <c r="J761" s="18"/>
      <c r="K761" s="19"/>
      <c r="L761" s="20"/>
      <c r="M761" s="20"/>
      <c r="N761" s="20"/>
      <c r="O761" s="20"/>
      <c r="P761" s="20"/>
      <c r="Q761" s="20"/>
      <c r="R761" s="20"/>
      <c r="S761" s="20"/>
      <c r="T761" s="20"/>
      <c r="AE761" s="21" t="str">
        <f t="shared" si="100"/>
        <v/>
      </c>
      <c r="AF761" s="21" t="str">
        <f t="shared" ref="AF761:AN761" si="766">if(not(isblank(L761)),", "&amp;L761,"")</f>
        <v/>
      </c>
      <c r="AG761" s="21" t="str">
        <f t="shared" si="766"/>
        <v/>
      </c>
      <c r="AH761" s="21" t="str">
        <f t="shared" si="766"/>
        <v/>
      </c>
      <c r="AI761" s="21" t="str">
        <f t="shared" si="766"/>
        <v/>
      </c>
      <c r="AJ761" s="21" t="str">
        <f t="shared" si="766"/>
        <v/>
      </c>
      <c r="AK761" s="21" t="str">
        <f t="shared" si="766"/>
        <v/>
      </c>
      <c r="AL761" s="21" t="str">
        <f t="shared" si="766"/>
        <v/>
      </c>
      <c r="AM761" s="21" t="str">
        <f t="shared" si="766"/>
        <v/>
      </c>
      <c r="AN761" s="21" t="str">
        <f t="shared" si="766"/>
        <v/>
      </c>
      <c r="AO761" s="21" t="str">
        <f t="shared" si="102"/>
        <v/>
      </c>
    </row>
    <row r="762" ht="16.5" customHeight="1">
      <c r="J762" s="18"/>
      <c r="K762" s="19"/>
      <c r="L762" s="20"/>
      <c r="M762" s="20"/>
      <c r="N762" s="20"/>
      <c r="O762" s="20"/>
      <c r="P762" s="20"/>
      <c r="Q762" s="20"/>
      <c r="R762" s="20"/>
      <c r="S762" s="20"/>
      <c r="T762" s="20"/>
      <c r="AE762" s="21" t="str">
        <f t="shared" si="100"/>
        <v/>
      </c>
      <c r="AF762" s="21" t="str">
        <f t="shared" ref="AF762:AN762" si="767">if(not(isblank(L762)),", "&amp;L762,"")</f>
        <v/>
      </c>
      <c r="AG762" s="21" t="str">
        <f t="shared" si="767"/>
        <v/>
      </c>
      <c r="AH762" s="21" t="str">
        <f t="shared" si="767"/>
        <v/>
      </c>
      <c r="AI762" s="21" t="str">
        <f t="shared" si="767"/>
        <v/>
      </c>
      <c r="AJ762" s="21" t="str">
        <f t="shared" si="767"/>
        <v/>
      </c>
      <c r="AK762" s="21" t="str">
        <f t="shared" si="767"/>
        <v/>
      </c>
      <c r="AL762" s="21" t="str">
        <f t="shared" si="767"/>
        <v/>
      </c>
      <c r="AM762" s="21" t="str">
        <f t="shared" si="767"/>
        <v/>
      </c>
      <c r="AN762" s="21" t="str">
        <f t="shared" si="767"/>
        <v/>
      </c>
      <c r="AO762" s="21" t="str">
        <f t="shared" si="102"/>
        <v/>
      </c>
    </row>
    <row r="763" ht="16.5" customHeight="1">
      <c r="J763" s="18"/>
      <c r="K763" s="19"/>
      <c r="L763" s="20"/>
      <c r="M763" s="20"/>
      <c r="N763" s="20"/>
      <c r="O763" s="20"/>
      <c r="P763" s="20"/>
      <c r="Q763" s="20"/>
      <c r="R763" s="20"/>
      <c r="S763" s="20"/>
      <c r="T763" s="20"/>
      <c r="AE763" s="21" t="str">
        <f t="shared" si="100"/>
        <v/>
      </c>
      <c r="AF763" s="21" t="str">
        <f t="shared" ref="AF763:AN763" si="768">if(not(isblank(L763)),", "&amp;L763,"")</f>
        <v/>
      </c>
      <c r="AG763" s="21" t="str">
        <f t="shared" si="768"/>
        <v/>
      </c>
      <c r="AH763" s="21" t="str">
        <f t="shared" si="768"/>
        <v/>
      </c>
      <c r="AI763" s="21" t="str">
        <f t="shared" si="768"/>
        <v/>
      </c>
      <c r="AJ763" s="21" t="str">
        <f t="shared" si="768"/>
        <v/>
      </c>
      <c r="AK763" s="21" t="str">
        <f t="shared" si="768"/>
        <v/>
      </c>
      <c r="AL763" s="21" t="str">
        <f t="shared" si="768"/>
        <v/>
      </c>
      <c r="AM763" s="21" t="str">
        <f t="shared" si="768"/>
        <v/>
      </c>
      <c r="AN763" s="21" t="str">
        <f t="shared" si="768"/>
        <v/>
      </c>
      <c r="AO763" s="21" t="str">
        <f t="shared" si="102"/>
        <v/>
      </c>
    </row>
    <row r="764" ht="16.5" customHeight="1">
      <c r="J764" s="18"/>
      <c r="K764" s="19"/>
      <c r="L764" s="20"/>
      <c r="M764" s="20"/>
      <c r="N764" s="20"/>
      <c r="O764" s="20"/>
      <c r="P764" s="20"/>
      <c r="Q764" s="20"/>
      <c r="R764" s="20"/>
      <c r="S764" s="20"/>
      <c r="T764" s="20"/>
      <c r="AE764" s="21" t="str">
        <f t="shared" si="100"/>
        <v/>
      </c>
      <c r="AF764" s="21" t="str">
        <f t="shared" ref="AF764:AN764" si="769">if(not(isblank(L764)),", "&amp;L764,"")</f>
        <v/>
      </c>
      <c r="AG764" s="21" t="str">
        <f t="shared" si="769"/>
        <v/>
      </c>
      <c r="AH764" s="21" t="str">
        <f t="shared" si="769"/>
        <v/>
      </c>
      <c r="AI764" s="21" t="str">
        <f t="shared" si="769"/>
        <v/>
      </c>
      <c r="AJ764" s="21" t="str">
        <f t="shared" si="769"/>
        <v/>
      </c>
      <c r="AK764" s="21" t="str">
        <f t="shared" si="769"/>
        <v/>
      </c>
      <c r="AL764" s="21" t="str">
        <f t="shared" si="769"/>
        <v/>
      </c>
      <c r="AM764" s="21" t="str">
        <f t="shared" si="769"/>
        <v/>
      </c>
      <c r="AN764" s="21" t="str">
        <f t="shared" si="769"/>
        <v/>
      </c>
      <c r="AO764" s="21" t="str">
        <f t="shared" si="102"/>
        <v/>
      </c>
    </row>
    <row r="765" ht="16.5" customHeight="1">
      <c r="J765" s="18"/>
      <c r="K765" s="19"/>
      <c r="L765" s="20"/>
      <c r="M765" s="20"/>
      <c r="N765" s="20"/>
      <c r="O765" s="20"/>
      <c r="P765" s="20"/>
      <c r="Q765" s="20"/>
      <c r="R765" s="20"/>
      <c r="S765" s="20"/>
      <c r="T765" s="20"/>
      <c r="AE765" s="21" t="str">
        <f t="shared" si="100"/>
        <v/>
      </c>
      <c r="AF765" s="21" t="str">
        <f t="shared" ref="AF765:AN765" si="770">if(not(isblank(L765)),", "&amp;L765,"")</f>
        <v/>
      </c>
      <c r="AG765" s="21" t="str">
        <f t="shared" si="770"/>
        <v/>
      </c>
      <c r="AH765" s="21" t="str">
        <f t="shared" si="770"/>
        <v/>
      </c>
      <c r="AI765" s="21" t="str">
        <f t="shared" si="770"/>
        <v/>
      </c>
      <c r="AJ765" s="21" t="str">
        <f t="shared" si="770"/>
        <v/>
      </c>
      <c r="AK765" s="21" t="str">
        <f t="shared" si="770"/>
        <v/>
      </c>
      <c r="AL765" s="21" t="str">
        <f t="shared" si="770"/>
        <v/>
      </c>
      <c r="AM765" s="21" t="str">
        <f t="shared" si="770"/>
        <v/>
      </c>
      <c r="AN765" s="21" t="str">
        <f t="shared" si="770"/>
        <v/>
      </c>
      <c r="AO765" s="21" t="str">
        <f t="shared" si="102"/>
        <v/>
      </c>
    </row>
    <row r="766" ht="16.5" customHeight="1">
      <c r="J766" s="18"/>
      <c r="K766" s="19"/>
      <c r="L766" s="20"/>
      <c r="M766" s="20"/>
      <c r="N766" s="20"/>
      <c r="O766" s="20"/>
      <c r="P766" s="20"/>
      <c r="Q766" s="20"/>
      <c r="R766" s="20"/>
      <c r="S766" s="20"/>
      <c r="T766" s="20"/>
      <c r="AE766" s="21" t="str">
        <f t="shared" si="100"/>
        <v/>
      </c>
      <c r="AF766" s="21" t="str">
        <f t="shared" ref="AF766:AN766" si="771">if(not(isblank(L766)),", "&amp;L766,"")</f>
        <v/>
      </c>
      <c r="AG766" s="21" t="str">
        <f t="shared" si="771"/>
        <v/>
      </c>
      <c r="AH766" s="21" t="str">
        <f t="shared" si="771"/>
        <v/>
      </c>
      <c r="AI766" s="21" t="str">
        <f t="shared" si="771"/>
        <v/>
      </c>
      <c r="AJ766" s="21" t="str">
        <f t="shared" si="771"/>
        <v/>
      </c>
      <c r="AK766" s="21" t="str">
        <f t="shared" si="771"/>
        <v/>
      </c>
      <c r="AL766" s="21" t="str">
        <f t="shared" si="771"/>
        <v/>
      </c>
      <c r="AM766" s="21" t="str">
        <f t="shared" si="771"/>
        <v/>
      </c>
      <c r="AN766" s="21" t="str">
        <f t="shared" si="771"/>
        <v/>
      </c>
      <c r="AO766" s="21" t="str">
        <f t="shared" si="102"/>
        <v/>
      </c>
    </row>
    <row r="767" ht="16.5" customHeight="1">
      <c r="J767" s="18"/>
      <c r="K767" s="19"/>
      <c r="L767" s="20"/>
      <c r="M767" s="20"/>
      <c r="N767" s="20"/>
      <c r="O767" s="20"/>
      <c r="P767" s="20"/>
      <c r="Q767" s="20"/>
      <c r="R767" s="20"/>
      <c r="S767" s="20"/>
      <c r="T767" s="20"/>
      <c r="AE767" s="21" t="str">
        <f t="shared" si="100"/>
        <v/>
      </c>
      <c r="AF767" s="21" t="str">
        <f t="shared" ref="AF767:AN767" si="772">if(not(isblank(L767)),", "&amp;L767,"")</f>
        <v/>
      </c>
      <c r="AG767" s="21" t="str">
        <f t="shared" si="772"/>
        <v/>
      </c>
      <c r="AH767" s="21" t="str">
        <f t="shared" si="772"/>
        <v/>
      </c>
      <c r="AI767" s="21" t="str">
        <f t="shared" si="772"/>
        <v/>
      </c>
      <c r="AJ767" s="21" t="str">
        <f t="shared" si="772"/>
        <v/>
      </c>
      <c r="AK767" s="21" t="str">
        <f t="shared" si="772"/>
        <v/>
      </c>
      <c r="AL767" s="21" t="str">
        <f t="shared" si="772"/>
        <v/>
      </c>
      <c r="AM767" s="21" t="str">
        <f t="shared" si="772"/>
        <v/>
      </c>
      <c r="AN767" s="21" t="str">
        <f t="shared" si="772"/>
        <v/>
      </c>
      <c r="AO767" s="21" t="str">
        <f t="shared" si="102"/>
        <v/>
      </c>
    </row>
    <row r="768" ht="16.5" customHeight="1">
      <c r="J768" s="18"/>
      <c r="K768" s="19"/>
      <c r="L768" s="20"/>
      <c r="M768" s="20"/>
      <c r="N768" s="20"/>
      <c r="O768" s="20"/>
      <c r="P768" s="20"/>
      <c r="Q768" s="20"/>
      <c r="R768" s="20"/>
      <c r="S768" s="20"/>
      <c r="T768" s="20"/>
      <c r="AE768" s="21" t="str">
        <f t="shared" si="100"/>
        <v/>
      </c>
      <c r="AF768" s="21" t="str">
        <f t="shared" ref="AF768:AN768" si="773">if(not(isblank(L768)),", "&amp;L768,"")</f>
        <v/>
      </c>
      <c r="AG768" s="21" t="str">
        <f t="shared" si="773"/>
        <v/>
      </c>
      <c r="AH768" s="21" t="str">
        <f t="shared" si="773"/>
        <v/>
      </c>
      <c r="AI768" s="21" t="str">
        <f t="shared" si="773"/>
        <v/>
      </c>
      <c r="AJ768" s="21" t="str">
        <f t="shared" si="773"/>
        <v/>
      </c>
      <c r="AK768" s="21" t="str">
        <f t="shared" si="773"/>
        <v/>
      </c>
      <c r="AL768" s="21" t="str">
        <f t="shared" si="773"/>
        <v/>
      </c>
      <c r="AM768" s="21" t="str">
        <f t="shared" si="773"/>
        <v/>
      </c>
      <c r="AN768" s="21" t="str">
        <f t="shared" si="773"/>
        <v/>
      </c>
      <c r="AO768" s="21" t="str">
        <f t="shared" si="102"/>
        <v/>
      </c>
    </row>
    <row r="769" ht="16.5" customHeight="1">
      <c r="J769" s="18"/>
      <c r="K769" s="19"/>
      <c r="L769" s="20"/>
      <c r="M769" s="20"/>
      <c r="N769" s="20"/>
      <c r="O769" s="20"/>
      <c r="P769" s="20"/>
      <c r="Q769" s="20"/>
      <c r="R769" s="20"/>
      <c r="S769" s="20"/>
      <c r="T769" s="20"/>
      <c r="AE769" s="21" t="str">
        <f t="shared" si="100"/>
        <v/>
      </c>
      <c r="AF769" s="21" t="str">
        <f t="shared" ref="AF769:AN769" si="774">if(not(isblank(L769)),", "&amp;L769,"")</f>
        <v/>
      </c>
      <c r="AG769" s="21" t="str">
        <f t="shared" si="774"/>
        <v/>
      </c>
      <c r="AH769" s="21" t="str">
        <f t="shared" si="774"/>
        <v/>
      </c>
      <c r="AI769" s="21" t="str">
        <f t="shared" si="774"/>
        <v/>
      </c>
      <c r="AJ769" s="21" t="str">
        <f t="shared" si="774"/>
        <v/>
      </c>
      <c r="AK769" s="21" t="str">
        <f t="shared" si="774"/>
        <v/>
      </c>
      <c r="AL769" s="21" t="str">
        <f t="shared" si="774"/>
        <v/>
      </c>
      <c r="AM769" s="21" t="str">
        <f t="shared" si="774"/>
        <v/>
      </c>
      <c r="AN769" s="21" t="str">
        <f t="shared" si="774"/>
        <v/>
      </c>
      <c r="AO769" s="21" t="str">
        <f t="shared" si="102"/>
        <v/>
      </c>
    </row>
    <row r="770" ht="16.5" customHeight="1">
      <c r="J770" s="18"/>
      <c r="K770" s="19"/>
      <c r="L770" s="20"/>
      <c r="M770" s="20"/>
      <c r="N770" s="20"/>
      <c r="O770" s="20"/>
      <c r="P770" s="20"/>
      <c r="Q770" s="20"/>
      <c r="R770" s="20"/>
      <c r="S770" s="20"/>
      <c r="T770" s="20"/>
      <c r="AE770" s="21" t="str">
        <f t="shared" si="100"/>
        <v/>
      </c>
      <c r="AF770" s="21" t="str">
        <f t="shared" ref="AF770:AN770" si="775">if(not(isblank(L770)),", "&amp;L770,"")</f>
        <v/>
      </c>
      <c r="AG770" s="21" t="str">
        <f t="shared" si="775"/>
        <v/>
      </c>
      <c r="AH770" s="21" t="str">
        <f t="shared" si="775"/>
        <v/>
      </c>
      <c r="AI770" s="21" t="str">
        <f t="shared" si="775"/>
        <v/>
      </c>
      <c r="AJ770" s="21" t="str">
        <f t="shared" si="775"/>
        <v/>
      </c>
      <c r="AK770" s="21" t="str">
        <f t="shared" si="775"/>
        <v/>
      </c>
      <c r="AL770" s="21" t="str">
        <f t="shared" si="775"/>
        <v/>
      </c>
      <c r="AM770" s="21" t="str">
        <f t="shared" si="775"/>
        <v/>
      </c>
      <c r="AN770" s="21" t="str">
        <f t="shared" si="775"/>
        <v/>
      </c>
      <c r="AO770" s="21" t="str">
        <f t="shared" si="102"/>
        <v/>
      </c>
    </row>
    <row r="771" ht="16.5" customHeight="1">
      <c r="J771" s="18"/>
      <c r="K771" s="19"/>
      <c r="L771" s="20"/>
      <c r="M771" s="20"/>
      <c r="N771" s="20"/>
      <c r="O771" s="20"/>
      <c r="P771" s="20"/>
      <c r="Q771" s="20"/>
      <c r="R771" s="20"/>
      <c r="S771" s="20"/>
      <c r="T771" s="20"/>
      <c r="AE771" s="21" t="str">
        <f t="shared" si="100"/>
        <v/>
      </c>
      <c r="AF771" s="21" t="str">
        <f t="shared" ref="AF771:AN771" si="776">if(not(isblank(L771)),", "&amp;L771,"")</f>
        <v/>
      </c>
      <c r="AG771" s="21" t="str">
        <f t="shared" si="776"/>
        <v/>
      </c>
      <c r="AH771" s="21" t="str">
        <f t="shared" si="776"/>
        <v/>
      </c>
      <c r="AI771" s="21" t="str">
        <f t="shared" si="776"/>
        <v/>
      </c>
      <c r="AJ771" s="21" t="str">
        <f t="shared" si="776"/>
        <v/>
      </c>
      <c r="AK771" s="21" t="str">
        <f t="shared" si="776"/>
        <v/>
      </c>
      <c r="AL771" s="21" t="str">
        <f t="shared" si="776"/>
        <v/>
      </c>
      <c r="AM771" s="21" t="str">
        <f t="shared" si="776"/>
        <v/>
      </c>
      <c r="AN771" s="21" t="str">
        <f t="shared" si="776"/>
        <v/>
      </c>
      <c r="AO771" s="21" t="str">
        <f t="shared" si="102"/>
        <v/>
      </c>
    </row>
    <row r="772" ht="16.5" customHeight="1">
      <c r="J772" s="18"/>
      <c r="K772" s="19"/>
      <c r="L772" s="20"/>
      <c r="M772" s="20"/>
      <c r="N772" s="20"/>
      <c r="O772" s="20"/>
      <c r="P772" s="20"/>
      <c r="Q772" s="20"/>
      <c r="R772" s="20"/>
      <c r="S772" s="20"/>
      <c r="T772" s="20"/>
      <c r="AE772" s="21" t="str">
        <f t="shared" si="100"/>
        <v/>
      </c>
      <c r="AF772" s="21" t="str">
        <f t="shared" ref="AF772:AN772" si="777">if(not(isblank(L772)),", "&amp;L772,"")</f>
        <v/>
      </c>
      <c r="AG772" s="21" t="str">
        <f t="shared" si="777"/>
        <v/>
      </c>
      <c r="AH772" s="21" t="str">
        <f t="shared" si="777"/>
        <v/>
      </c>
      <c r="AI772" s="21" t="str">
        <f t="shared" si="777"/>
        <v/>
      </c>
      <c r="AJ772" s="21" t="str">
        <f t="shared" si="777"/>
        <v/>
      </c>
      <c r="AK772" s="21" t="str">
        <f t="shared" si="777"/>
        <v/>
      </c>
      <c r="AL772" s="21" t="str">
        <f t="shared" si="777"/>
        <v/>
      </c>
      <c r="AM772" s="21" t="str">
        <f t="shared" si="777"/>
        <v/>
      </c>
      <c r="AN772" s="21" t="str">
        <f t="shared" si="777"/>
        <v/>
      </c>
      <c r="AO772" s="21" t="str">
        <f t="shared" si="102"/>
        <v/>
      </c>
    </row>
    <row r="773" ht="16.5" customHeight="1">
      <c r="J773" s="18"/>
      <c r="K773" s="19"/>
      <c r="L773" s="20"/>
      <c r="M773" s="20"/>
      <c r="N773" s="20"/>
      <c r="O773" s="20"/>
      <c r="P773" s="20"/>
      <c r="Q773" s="20"/>
      <c r="R773" s="20"/>
      <c r="S773" s="20"/>
      <c r="T773" s="20"/>
      <c r="AE773" s="21" t="str">
        <f t="shared" si="100"/>
        <v/>
      </c>
      <c r="AF773" s="21" t="str">
        <f t="shared" ref="AF773:AN773" si="778">if(not(isblank(L773)),", "&amp;L773,"")</f>
        <v/>
      </c>
      <c r="AG773" s="21" t="str">
        <f t="shared" si="778"/>
        <v/>
      </c>
      <c r="AH773" s="21" t="str">
        <f t="shared" si="778"/>
        <v/>
      </c>
      <c r="AI773" s="21" t="str">
        <f t="shared" si="778"/>
        <v/>
      </c>
      <c r="AJ773" s="21" t="str">
        <f t="shared" si="778"/>
        <v/>
      </c>
      <c r="AK773" s="21" t="str">
        <f t="shared" si="778"/>
        <v/>
      </c>
      <c r="AL773" s="21" t="str">
        <f t="shared" si="778"/>
        <v/>
      </c>
      <c r="AM773" s="21" t="str">
        <f t="shared" si="778"/>
        <v/>
      </c>
      <c r="AN773" s="21" t="str">
        <f t="shared" si="778"/>
        <v/>
      </c>
      <c r="AO773" s="21" t="str">
        <f t="shared" si="102"/>
        <v/>
      </c>
    </row>
    <row r="774" ht="16.5" customHeight="1">
      <c r="J774" s="18"/>
      <c r="K774" s="19"/>
      <c r="L774" s="20"/>
      <c r="M774" s="20"/>
      <c r="N774" s="20"/>
      <c r="O774" s="20"/>
      <c r="P774" s="20"/>
      <c r="Q774" s="20"/>
      <c r="R774" s="20"/>
      <c r="S774" s="20"/>
      <c r="T774" s="20"/>
      <c r="AE774" s="21" t="str">
        <f t="shared" si="100"/>
        <v/>
      </c>
      <c r="AF774" s="21" t="str">
        <f t="shared" ref="AF774:AN774" si="779">if(not(isblank(L774)),", "&amp;L774,"")</f>
        <v/>
      </c>
      <c r="AG774" s="21" t="str">
        <f t="shared" si="779"/>
        <v/>
      </c>
      <c r="AH774" s="21" t="str">
        <f t="shared" si="779"/>
        <v/>
      </c>
      <c r="AI774" s="21" t="str">
        <f t="shared" si="779"/>
        <v/>
      </c>
      <c r="AJ774" s="21" t="str">
        <f t="shared" si="779"/>
        <v/>
      </c>
      <c r="AK774" s="21" t="str">
        <f t="shared" si="779"/>
        <v/>
      </c>
      <c r="AL774" s="21" t="str">
        <f t="shared" si="779"/>
        <v/>
      </c>
      <c r="AM774" s="21" t="str">
        <f t="shared" si="779"/>
        <v/>
      </c>
      <c r="AN774" s="21" t="str">
        <f t="shared" si="779"/>
        <v/>
      </c>
      <c r="AO774" s="21" t="str">
        <f t="shared" si="102"/>
        <v/>
      </c>
    </row>
    <row r="775" ht="16.5" customHeight="1">
      <c r="J775" s="18"/>
      <c r="K775" s="19"/>
      <c r="L775" s="20"/>
      <c r="M775" s="20"/>
      <c r="N775" s="20"/>
      <c r="O775" s="20"/>
      <c r="P775" s="20"/>
      <c r="Q775" s="20"/>
      <c r="R775" s="20"/>
      <c r="S775" s="20"/>
      <c r="T775" s="20"/>
      <c r="AE775" s="21" t="str">
        <f t="shared" si="100"/>
        <v/>
      </c>
      <c r="AF775" s="21" t="str">
        <f t="shared" ref="AF775:AN775" si="780">if(not(isblank(L775)),", "&amp;L775,"")</f>
        <v/>
      </c>
      <c r="AG775" s="21" t="str">
        <f t="shared" si="780"/>
        <v/>
      </c>
      <c r="AH775" s="21" t="str">
        <f t="shared" si="780"/>
        <v/>
      </c>
      <c r="AI775" s="21" t="str">
        <f t="shared" si="780"/>
        <v/>
      </c>
      <c r="AJ775" s="21" t="str">
        <f t="shared" si="780"/>
        <v/>
      </c>
      <c r="AK775" s="21" t="str">
        <f t="shared" si="780"/>
        <v/>
      </c>
      <c r="AL775" s="21" t="str">
        <f t="shared" si="780"/>
        <v/>
      </c>
      <c r="AM775" s="21" t="str">
        <f t="shared" si="780"/>
        <v/>
      </c>
      <c r="AN775" s="21" t="str">
        <f t="shared" si="780"/>
        <v/>
      </c>
      <c r="AO775" s="21" t="str">
        <f t="shared" si="102"/>
        <v/>
      </c>
    </row>
    <row r="776" ht="16.5" customHeight="1">
      <c r="J776" s="18"/>
      <c r="K776" s="19"/>
      <c r="L776" s="20"/>
      <c r="M776" s="20"/>
      <c r="N776" s="20"/>
      <c r="O776" s="20"/>
      <c r="P776" s="20"/>
      <c r="Q776" s="20"/>
      <c r="R776" s="20"/>
      <c r="S776" s="20"/>
      <c r="T776" s="20"/>
      <c r="AE776" s="21" t="str">
        <f t="shared" si="100"/>
        <v/>
      </c>
      <c r="AF776" s="21" t="str">
        <f t="shared" ref="AF776:AN776" si="781">if(not(isblank(L776)),", "&amp;L776,"")</f>
        <v/>
      </c>
      <c r="AG776" s="21" t="str">
        <f t="shared" si="781"/>
        <v/>
      </c>
      <c r="AH776" s="21" t="str">
        <f t="shared" si="781"/>
        <v/>
      </c>
      <c r="AI776" s="21" t="str">
        <f t="shared" si="781"/>
        <v/>
      </c>
      <c r="AJ776" s="21" t="str">
        <f t="shared" si="781"/>
        <v/>
      </c>
      <c r="AK776" s="21" t="str">
        <f t="shared" si="781"/>
        <v/>
      </c>
      <c r="AL776" s="21" t="str">
        <f t="shared" si="781"/>
        <v/>
      </c>
      <c r="AM776" s="21" t="str">
        <f t="shared" si="781"/>
        <v/>
      </c>
      <c r="AN776" s="21" t="str">
        <f t="shared" si="781"/>
        <v/>
      </c>
      <c r="AO776" s="21" t="str">
        <f t="shared" si="102"/>
        <v/>
      </c>
    </row>
    <row r="777" ht="16.5" customHeight="1">
      <c r="J777" s="18"/>
      <c r="K777" s="19"/>
      <c r="L777" s="20"/>
      <c r="M777" s="20"/>
      <c r="N777" s="20"/>
      <c r="O777" s="20"/>
      <c r="P777" s="20"/>
      <c r="Q777" s="20"/>
      <c r="R777" s="20"/>
      <c r="S777" s="20"/>
      <c r="T777" s="20"/>
      <c r="AE777" s="21" t="str">
        <f t="shared" si="100"/>
        <v/>
      </c>
      <c r="AF777" s="21" t="str">
        <f t="shared" ref="AF777:AN777" si="782">if(not(isblank(L777)),", "&amp;L777,"")</f>
        <v/>
      </c>
      <c r="AG777" s="21" t="str">
        <f t="shared" si="782"/>
        <v/>
      </c>
      <c r="AH777" s="21" t="str">
        <f t="shared" si="782"/>
        <v/>
      </c>
      <c r="AI777" s="21" t="str">
        <f t="shared" si="782"/>
        <v/>
      </c>
      <c r="AJ777" s="21" t="str">
        <f t="shared" si="782"/>
        <v/>
      </c>
      <c r="AK777" s="21" t="str">
        <f t="shared" si="782"/>
        <v/>
      </c>
      <c r="AL777" s="21" t="str">
        <f t="shared" si="782"/>
        <v/>
      </c>
      <c r="AM777" s="21" t="str">
        <f t="shared" si="782"/>
        <v/>
      </c>
      <c r="AN777" s="21" t="str">
        <f t="shared" si="782"/>
        <v/>
      </c>
      <c r="AO777" s="21" t="str">
        <f t="shared" si="102"/>
        <v/>
      </c>
    </row>
    <row r="778" ht="16.5" customHeight="1">
      <c r="J778" s="18"/>
      <c r="K778" s="19"/>
      <c r="L778" s="20"/>
      <c r="M778" s="20"/>
      <c r="N778" s="20"/>
      <c r="O778" s="20"/>
      <c r="P778" s="20"/>
      <c r="Q778" s="20"/>
      <c r="R778" s="20"/>
      <c r="S778" s="20"/>
      <c r="T778" s="20"/>
      <c r="AE778" s="21" t="str">
        <f t="shared" si="100"/>
        <v/>
      </c>
      <c r="AF778" s="21" t="str">
        <f t="shared" ref="AF778:AN778" si="783">if(not(isblank(L778)),", "&amp;L778,"")</f>
        <v/>
      </c>
      <c r="AG778" s="21" t="str">
        <f t="shared" si="783"/>
        <v/>
      </c>
      <c r="AH778" s="21" t="str">
        <f t="shared" si="783"/>
        <v/>
      </c>
      <c r="AI778" s="21" t="str">
        <f t="shared" si="783"/>
        <v/>
      </c>
      <c r="AJ778" s="21" t="str">
        <f t="shared" si="783"/>
        <v/>
      </c>
      <c r="AK778" s="21" t="str">
        <f t="shared" si="783"/>
        <v/>
      </c>
      <c r="AL778" s="21" t="str">
        <f t="shared" si="783"/>
        <v/>
      </c>
      <c r="AM778" s="21" t="str">
        <f t="shared" si="783"/>
        <v/>
      </c>
      <c r="AN778" s="21" t="str">
        <f t="shared" si="783"/>
        <v/>
      </c>
      <c r="AO778" s="21" t="str">
        <f t="shared" si="102"/>
        <v/>
      </c>
    </row>
    <row r="779" ht="16.5" customHeight="1">
      <c r="J779" s="18"/>
      <c r="K779" s="19"/>
      <c r="L779" s="20"/>
      <c r="M779" s="20"/>
      <c r="N779" s="20"/>
      <c r="O779" s="20"/>
      <c r="P779" s="20"/>
      <c r="Q779" s="20"/>
      <c r="R779" s="20"/>
      <c r="S779" s="20"/>
      <c r="T779" s="20"/>
      <c r="AE779" s="21" t="str">
        <f t="shared" si="100"/>
        <v/>
      </c>
      <c r="AF779" s="21" t="str">
        <f t="shared" ref="AF779:AN779" si="784">if(not(isblank(L779)),", "&amp;L779,"")</f>
        <v/>
      </c>
      <c r="AG779" s="21" t="str">
        <f t="shared" si="784"/>
        <v/>
      </c>
      <c r="AH779" s="21" t="str">
        <f t="shared" si="784"/>
        <v/>
      </c>
      <c r="AI779" s="21" t="str">
        <f t="shared" si="784"/>
        <v/>
      </c>
      <c r="AJ779" s="21" t="str">
        <f t="shared" si="784"/>
        <v/>
      </c>
      <c r="AK779" s="21" t="str">
        <f t="shared" si="784"/>
        <v/>
      </c>
      <c r="AL779" s="21" t="str">
        <f t="shared" si="784"/>
        <v/>
      </c>
      <c r="AM779" s="21" t="str">
        <f t="shared" si="784"/>
        <v/>
      </c>
      <c r="AN779" s="21" t="str">
        <f t="shared" si="784"/>
        <v/>
      </c>
      <c r="AO779" s="21" t="str">
        <f t="shared" si="102"/>
        <v/>
      </c>
    </row>
    <row r="780" ht="16.5" customHeight="1">
      <c r="J780" s="18"/>
      <c r="K780" s="19"/>
      <c r="L780" s="20"/>
      <c r="M780" s="20"/>
      <c r="N780" s="20"/>
      <c r="O780" s="20"/>
      <c r="P780" s="20"/>
      <c r="Q780" s="20"/>
      <c r="R780" s="20"/>
      <c r="S780" s="20"/>
      <c r="T780" s="20"/>
      <c r="AE780" s="21" t="str">
        <f t="shared" si="100"/>
        <v/>
      </c>
      <c r="AF780" s="21" t="str">
        <f t="shared" ref="AF780:AN780" si="785">if(not(isblank(L780)),", "&amp;L780,"")</f>
        <v/>
      </c>
      <c r="AG780" s="21" t="str">
        <f t="shared" si="785"/>
        <v/>
      </c>
      <c r="AH780" s="21" t="str">
        <f t="shared" si="785"/>
        <v/>
      </c>
      <c r="AI780" s="21" t="str">
        <f t="shared" si="785"/>
        <v/>
      </c>
      <c r="AJ780" s="21" t="str">
        <f t="shared" si="785"/>
        <v/>
      </c>
      <c r="AK780" s="21" t="str">
        <f t="shared" si="785"/>
        <v/>
      </c>
      <c r="AL780" s="21" t="str">
        <f t="shared" si="785"/>
        <v/>
      </c>
      <c r="AM780" s="21" t="str">
        <f t="shared" si="785"/>
        <v/>
      </c>
      <c r="AN780" s="21" t="str">
        <f t="shared" si="785"/>
        <v/>
      </c>
      <c r="AO780" s="21" t="str">
        <f t="shared" si="102"/>
        <v/>
      </c>
    </row>
    <row r="781" ht="16.5" customHeight="1">
      <c r="J781" s="18"/>
      <c r="K781" s="19"/>
      <c r="L781" s="20"/>
      <c r="M781" s="20"/>
      <c r="N781" s="20"/>
      <c r="O781" s="20"/>
      <c r="P781" s="20"/>
      <c r="Q781" s="20"/>
      <c r="R781" s="20"/>
      <c r="S781" s="20"/>
      <c r="T781" s="20"/>
      <c r="AE781" s="21" t="str">
        <f t="shared" si="100"/>
        <v/>
      </c>
      <c r="AF781" s="21" t="str">
        <f t="shared" ref="AF781:AN781" si="786">if(not(isblank(L781)),", "&amp;L781,"")</f>
        <v/>
      </c>
      <c r="AG781" s="21" t="str">
        <f t="shared" si="786"/>
        <v/>
      </c>
      <c r="AH781" s="21" t="str">
        <f t="shared" si="786"/>
        <v/>
      </c>
      <c r="AI781" s="21" t="str">
        <f t="shared" si="786"/>
        <v/>
      </c>
      <c r="AJ781" s="21" t="str">
        <f t="shared" si="786"/>
        <v/>
      </c>
      <c r="AK781" s="21" t="str">
        <f t="shared" si="786"/>
        <v/>
      </c>
      <c r="AL781" s="21" t="str">
        <f t="shared" si="786"/>
        <v/>
      </c>
      <c r="AM781" s="21" t="str">
        <f t="shared" si="786"/>
        <v/>
      </c>
      <c r="AN781" s="21" t="str">
        <f t="shared" si="786"/>
        <v/>
      </c>
      <c r="AO781" s="21" t="str">
        <f t="shared" si="102"/>
        <v/>
      </c>
    </row>
    <row r="782" ht="16.5" customHeight="1">
      <c r="J782" s="18"/>
      <c r="K782" s="19"/>
      <c r="L782" s="20"/>
      <c r="M782" s="20"/>
      <c r="N782" s="20"/>
      <c r="O782" s="20"/>
      <c r="P782" s="20"/>
      <c r="Q782" s="20"/>
      <c r="R782" s="20"/>
      <c r="S782" s="20"/>
      <c r="T782" s="20"/>
      <c r="AE782" s="21" t="str">
        <f t="shared" si="100"/>
        <v/>
      </c>
      <c r="AF782" s="21" t="str">
        <f t="shared" ref="AF782:AN782" si="787">if(not(isblank(L782)),", "&amp;L782,"")</f>
        <v/>
      </c>
      <c r="AG782" s="21" t="str">
        <f t="shared" si="787"/>
        <v/>
      </c>
      <c r="AH782" s="21" t="str">
        <f t="shared" si="787"/>
        <v/>
      </c>
      <c r="AI782" s="21" t="str">
        <f t="shared" si="787"/>
        <v/>
      </c>
      <c r="AJ782" s="21" t="str">
        <f t="shared" si="787"/>
        <v/>
      </c>
      <c r="AK782" s="21" t="str">
        <f t="shared" si="787"/>
        <v/>
      </c>
      <c r="AL782" s="21" t="str">
        <f t="shared" si="787"/>
        <v/>
      </c>
      <c r="AM782" s="21" t="str">
        <f t="shared" si="787"/>
        <v/>
      </c>
      <c r="AN782" s="21" t="str">
        <f t="shared" si="787"/>
        <v/>
      </c>
      <c r="AO782" s="21" t="str">
        <f t="shared" si="102"/>
        <v/>
      </c>
    </row>
    <row r="783" ht="16.5" customHeight="1">
      <c r="J783" s="18"/>
      <c r="K783" s="19"/>
      <c r="L783" s="20"/>
      <c r="M783" s="20"/>
      <c r="N783" s="20"/>
      <c r="O783" s="20"/>
      <c r="P783" s="20"/>
      <c r="Q783" s="20"/>
      <c r="R783" s="20"/>
      <c r="S783" s="20"/>
      <c r="T783" s="20"/>
      <c r="AE783" s="21" t="str">
        <f t="shared" si="100"/>
        <v/>
      </c>
      <c r="AF783" s="21" t="str">
        <f t="shared" ref="AF783:AN783" si="788">if(not(isblank(L783)),", "&amp;L783,"")</f>
        <v/>
      </c>
      <c r="AG783" s="21" t="str">
        <f t="shared" si="788"/>
        <v/>
      </c>
      <c r="AH783" s="21" t="str">
        <f t="shared" si="788"/>
        <v/>
      </c>
      <c r="AI783" s="21" t="str">
        <f t="shared" si="788"/>
        <v/>
      </c>
      <c r="AJ783" s="21" t="str">
        <f t="shared" si="788"/>
        <v/>
      </c>
      <c r="AK783" s="21" t="str">
        <f t="shared" si="788"/>
        <v/>
      </c>
      <c r="AL783" s="21" t="str">
        <f t="shared" si="788"/>
        <v/>
      </c>
      <c r="AM783" s="21" t="str">
        <f t="shared" si="788"/>
        <v/>
      </c>
      <c r="AN783" s="21" t="str">
        <f t="shared" si="788"/>
        <v/>
      </c>
      <c r="AO783" s="21" t="str">
        <f t="shared" si="102"/>
        <v/>
      </c>
    </row>
    <row r="784" ht="16.5" customHeight="1">
      <c r="J784" s="18"/>
      <c r="K784" s="19"/>
      <c r="L784" s="20"/>
      <c r="M784" s="20"/>
      <c r="N784" s="20"/>
      <c r="O784" s="20"/>
      <c r="P784" s="20"/>
      <c r="Q784" s="20"/>
      <c r="R784" s="20"/>
      <c r="S784" s="20"/>
      <c r="T784" s="20"/>
      <c r="AE784" s="21" t="str">
        <f t="shared" si="100"/>
        <v/>
      </c>
      <c r="AF784" s="21" t="str">
        <f t="shared" ref="AF784:AN784" si="789">if(not(isblank(L784)),", "&amp;L784,"")</f>
        <v/>
      </c>
      <c r="AG784" s="21" t="str">
        <f t="shared" si="789"/>
        <v/>
      </c>
      <c r="AH784" s="21" t="str">
        <f t="shared" si="789"/>
        <v/>
      </c>
      <c r="AI784" s="21" t="str">
        <f t="shared" si="789"/>
        <v/>
      </c>
      <c r="AJ784" s="21" t="str">
        <f t="shared" si="789"/>
        <v/>
      </c>
      <c r="AK784" s="21" t="str">
        <f t="shared" si="789"/>
        <v/>
      </c>
      <c r="AL784" s="21" t="str">
        <f t="shared" si="789"/>
        <v/>
      </c>
      <c r="AM784" s="21" t="str">
        <f t="shared" si="789"/>
        <v/>
      </c>
      <c r="AN784" s="21" t="str">
        <f t="shared" si="789"/>
        <v/>
      </c>
      <c r="AO784" s="21" t="str">
        <f t="shared" si="102"/>
        <v/>
      </c>
    </row>
    <row r="785" ht="16.5" customHeight="1">
      <c r="J785" s="18"/>
      <c r="K785" s="19"/>
      <c r="L785" s="20"/>
      <c r="M785" s="20"/>
      <c r="N785" s="20"/>
      <c r="O785" s="20"/>
      <c r="P785" s="20"/>
      <c r="Q785" s="20"/>
      <c r="R785" s="20"/>
      <c r="S785" s="20"/>
      <c r="T785" s="20"/>
      <c r="AE785" s="21" t="str">
        <f t="shared" si="100"/>
        <v/>
      </c>
      <c r="AF785" s="21" t="str">
        <f t="shared" ref="AF785:AN785" si="790">if(not(isblank(L785)),", "&amp;L785,"")</f>
        <v/>
      </c>
      <c r="AG785" s="21" t="str">
        <f t="shared" si="790"/>
        <v/>
      </c>
      <c r="AH785" s="21" t="str">
        <f t="shared" si="790"/>
        <v/>
      </c>
      <c r="AI785" s="21" t="str">
        <f t="shared" si="790"/>
        <v/>
      </c>
      <c r="AJ785" s="21" t="str">
        <f t="shared" si="790"/>
        <v/>
      </c>
      <c r="AK785" s="21" t="str">
        <f t="shared" si="790"/>
        <v/>
      </c>
      <c r="AL785" s="21" t="str">
        <f t="shared" si="790"/>
        <v/>
      </c>
      <c r="AM785" s="21" t="str">
        <f t="shared" si="790"/>
        <v/>
      </c>
      <c r="AN785" s="21" t="str">
        <f t="shared" si="790"/>
        <v/>
      </c>
      <c r="AO785" s="21" t="str">
        <f t="shared" si="102"/>
        <v/>
      </c>
    </row>
    <row r="786" ht="16.5" customHeight="1">
      <c r="J786" s="18"/>
      <c r="K786" s="19"/>
      <c r="L786" s="20"/>
      <c r="M786" s="20"/>
      <c r="N786" s="20"/>
      <c r="O786" s="20"/>
      <c r="P786" s="20"/>
      <c r="Q786" s="20"/>
      <c r="R786" s="20"/>
      <c r="S786" s="20"/>
      <c r="T786" s="20"/>
      <c r="AE786" s="21" t="str">
        <f t="shared" si="100"/>
        <v/>
      </c>
      <c r="AF786" s="21" t="str">
        <f t="shared" ref="AF786:AN786" si="791">if(not(isblank(L786)),", "&amp;L786,"")</f>
        <v/>
      </c>
      <c r="AG786" s="21" t="str">
        <f t="shared" si="791"/>
        <v/>
      </c>
      <c r="AH786" s="21" t="str">
        <f t="shared" si="791"/>
        <v/>
      </c>
      <c r="AI786" s="21" t="str">
        <f t="shared" si="791"/>
        <v/>
      </c>
      <c r="AJ786" s="21" t="str">
        <f t="shared" si="791"/>
        <v/>
      </c>
      <c r="AK786" s="21" t="str">
        <f t="shared" si="791"/>
        <v/>
      </c>
      <c r="AL786" s="21" t="str">
        <f t="shared" si="791"/>
        <v/>
      </c>
      <c r="AM786" s="21" t="str">
        <f t="shared" si="791"/>
        <v/>
      </c>
      <c r="AN786" s="21" t="str">
        <f t="shared" si="791"/>
        <v/>
      </c>
      <c r="AO786" s="21" t="str">
        <f t="shared" si="102"/>
        <v/>
      </c>
    </row>
    <row r="787" ht="16.5" customHeight="1">
      <c r="J787" s="18"/>
      <c r="K787" s="19"/>
      <c r="L787" s="20"/>
      <c r="M787" s="20"/>
      <c r="N787" s="20"/>
      <c r="O787" s="20"/>
      <c r="P787" s="20"/>
      <c r="Q787" s="20"/>
      <c r="R787" s="20"/>
      <c r="S787" s="20"/>
      <c r="T787" s="20"/>
      <c r="AE787" s="21" t="str">
        <f t="shared" si="100"/>
        <v/>
      </c>
      <c r="AF787" s="21" t="str">
        <f t="shared" ref="AF787:AN787" si="792">if(not(isblank(L787)),", "&amp;L787,"")</f>
        <v/>
      </c>
      <c r="AG787" s="21" t="str">
        <f t="shared" si="792"/>
        <v/>
      </c>
      <c r="AH787" s="21" t="str">
        <f t="shared" si="792"/>
        <v/>
      </c>
      <c r="AI787" s="21" t="str">
        <f t="shared" si="792"/>
        <v/>
      </c>
      <c r="AJ787" s="21" t="str">
        <f t="shared" si="792"/>
        <v/>
      </c>
      <c r="AK787" s="21" t="str">
        <f t="shared" si="792"/>
        <v/>
      </c>
      <c r="AL787" s="21" t="str">
        <f t="shared" si="792"/>
        <v/>
      </c>
      <c r="AM787" s="21" t="str">
        <f t="shared" si="792"/>
        <v/>
      </c>
      <c r="AN787" s="21" t="str">
        <f t="shared" si="792"/>
        <v/>
      </c>
      <c r="AO787" s="21" t="str">
        <f t="shared" si="102"/>
        <v/>
      </c>
    </row>
    <row r="788" ht="16.5" customHeight="1">
      <c r="J788" s="18"/>
      <c r="K788" s="19"/>
      <c r="L788" s="20"/>
      <c r="M788" s="20"/>
      <c r="N788" s="20"/>
      <c r="O788" s="20"/>
      <c r="P788" s="20"/>
      <c r="Q788" s="20"/>
      <c r="R788" s="20"/>
      <c r="S788" s="20"/>
      <c r="T788" s="20"/>
      <c r="AE788" s="21" t="str">
        <f t="shared" si="100"/>
        <v/>
      </c>
      <c r="AF788" s="21" t="str">
        <f t="shared" ref="AF788:AN788" si="793">if(not(isblank(L788)),", "&amp;L788,"")</f>
        <v/>
      </c>
      <c r="AG788" s="21" t="str">
        <f t="shared" si="793"/>
        <v/>
      </c>
      <c r="AH788" s="21" t="str">
        <f t="shared" si="793"/>
        <v/>
      </c>
      <c r="AI788" s="21" t="str">
        <f t="shared" si="793"/>
        <v/>
      </c>
      <c r="AJ788" s="21" t="str">
        <f t="shared" si="793"/>
        <v/>
      </c>
      <c r="AK788" s="21" t="str">
        <f t="shared" si="793"/>
        <v/>
      </c>
      <c r="AL788" s="21" t="str">
        <f t="shared" si="793"/>
        <v/>
      </c>
      <c r="AM788" s="21" t="str">
        <f t="shared" si="793"/>
        <v/>
      </c>
      <c r="AN788" s="21" t="str">
        <f t="shared" si="793"/>
        <v/>
      </c>
      <c r="AO788" s="21" t="str">
        <f t="shared" si="102"/>
        <v/>
      </c>
    </row>
    <row r="789" ht="16.5" customHeight="1">
      <c r="J789" s="18"/>
      <c r="K789" s="19"/>
      <c r="L789" s="20"/>
      <c r="M789" s="20"/>
      <c r="N789" s="20"/>
      <c r="O789" s="20"/>
      <c r="P789" s="20"/>
      <c r="Q789" s="20"/>
      <c r="R789" s="20"/>
      <c r="S789" s="20"/>
      <c r="T789" s="20"/>
      <c r="AE789" s="21" t="str">
        <f t="shared" si="100"/>
        <v/>
      </c>
      <c r="AF789" s="21" t="str">
        <f t="shared" ref="AF789:AN789" si="794">if(not(isblank(L789)),", "&amp;L789,"")</f>
        <v/>
      </c>
      <c r="AG789" s="21" t="str">
        <f t="shared" si="794"/>
        <v/>
      </c>
      <c r="AH789" s="21" t="str">
        <f t="shared" si="794"/>
        <v/>
      </c>
      <c r="AI789" s="21" t="str">
        <f t="shared" si="794"/>
        <v/>
      </c>
      <c r="AJ789" s="21" t="str">
        <f t="shared" si="794"/>
        <v/>
      </c>
      <c r="AK789" s="21" t="str">
        <f t="shared" si="794"/>
        <v/>
      </c>
      <c r="AL789" s="21" t="str">
        <f t="shared" si="794"/>
        <v/>
      </c>
      <c r="AM789" s="21" t="str">
        <f t="shared" si="794"/>
        <v/>
      </c>
      <c r="AN789" s="21" t="str">
        <f t="shared" si="794"/>
        <v/>
      </c>
      <c r="AO789" s="21" t="str">
        <f t="shared" si="102"/>
        <v/>
      </c>
    </row>
    <row r="790" ht="16.5" customHeight="1">
      <c r="J790" s="18"/>
      <c r="K790" s="19"/>
      <c r="L790" s="20"/>
      <c r="M790" s="20"/>
      <c r="N790" s="20"/>
      <c r="O790" s="20"/>
      <c r="P790" s="20"/>
      <c r="Q790" s="20"/>
      <c r="R790" s="20"/>
      <c r="S790" s="20"/>
      <c r="T790" s="20"/>
      <c r="AE790" s="21" t="str">
        <f t="shared" si="100"/>
        <v/>
      </c>
      <c r="AF790" s="21" t="str">
        <f t="shared" ref="AF790:AN790" si="795">if(not(isblank(L790)),", "&amp;L790,"")</f>
        <v/>
      </c>
      <c r="AG790" s="21" t="str">
        <f t="shared" si="795"/>
        <v/>
      </c>
      <c r="AH790" s="21" t="str">
        <f t="shared" si="795"/>
        <v/>
      </c>
      <c r="AI790" s="21" t="str">
        <f t="shared" si="795"/>
        <v/>
      </c>
      <c r="AJ790" s="21" t="str">
        <f t="shared" si="795"/>
        <v/>
      </c>
      <c r="AK790" s="21" t="str">
        <f t="shared" si="795"/>
        <v/>
      </c>
      <c r="AL790" s="21" t="str">
        <f t="shared" si="795"/>
        <v/>
      </c>
      <c r="AM790" s="21" t="str">
        <f t="shared" si="795"/>
        <v/>
      </c>
      <c r="AN790" s="21" t="str">
        <f t="shared" si="795"/>
        <v/>
      </c>
      <c r="AO790" s="21" t="str">
        <f t="shared" si="102"/>
        <v/>
      </c>
    </row>
    <row r="791" ht="16.5" customHeight="1">
      <c r="J791" s="18"/>
      <c r="K791" s="19"/>
      <c r="L791" s="20"/>
      <c r="M791" s="20"/>
      <c r="N791" s="20"/>
      <c r="O791" s="20"/>
      <c r="P791" s="20"/>
      <c r="Q791" s="20"/>
      <c r="R791" s="20"/>
      <c r="S791" s="20"/>
      <c r="T791" s="20"/>
      <c r="AE791" s="21" t="str">
        <f t="shared" si="100"/>
        <v/>
      </c>
      <c r="AF791" s="21" t="str">
        <f t="shared" ref="AF791:AN791" si="796">if(not(isblank(L791)),", "&amp;L791,"")</f>
        <v/>
      </c>
      <c r="AG791" s="21" t="str">
        <f t="shared" si="796"/>
        <v/>
      </c>
      <c r="AH791" s="21" t="str">
        <f t="shared" si="796"/>
        <v/>
      </c>
      <c r="AI791" s="21" t="str">
        <f t="shared" si="796"/>
        <v/>
      </c>
      <c r="AJ791" s="21" t="str">
        <f t="shared" si="796"/>
        <v/>
      </c>
      <c r="AK791" s="21" t="str">
        <f t="shared" si="796"/>
        <v/>
      </c>
      <c r="AL791" s="21" t="str">
        <f t="shared" si="796"/>
        <v/>
      </c>
      <c r="AM791" s="21" t="str">
        <f t="shared" si="796"/>
        <v/>
      </c>
      <c r="AN791" s="21" t="str">
        <f t="shared" si="796"/>
        <v/>
      </c>
      <c r="AO791" s="21" t="str">
        <f t="shared" si="102"/>
        <v/>
      </c>
    </row>
    <row r="792" ht="16.5" customHeight="1">
      <c r="J792" s="18"/>
      <c r="K792" s="19"/>
      <c r="L792" s="20"/>
      <c r="M792" s="20"/>
      <c r="N792" s="20"/>
      <c r="O792" s="20"/>
      <c r="P792" s="20"/>
      <c r="Q792" s="20"/>
      <c r="R792" s="20"/>
      <c r="S792" s="20"/>
      <c r="T792" s="20"/>
      <c r="AE792" s="21" t="str">
        <f t="shared" si="100"/>
        <v/>
      </c>
      <c r="AF792" s="21" t="str">
        <f t="shared" ref="AF792:AN792" si="797">if(not(isblank(L792)),", "&amp;L792,"")</f>
        <v/>
      </c>
      <c r="AG792" s="21" t="str">
        <f t="shared" si="797"/>
        <v/>
      </c>
      <c r="AH792" s="21" t="str">
        <f t="shared" si="797"/>
        <v/>
      </c>
      <c r="AI792" s="21" t="str">
        <f t="shared" si="797"/>
        <v/>
      </c>
      <c r="AJ792" s="21" t="str">
        <f t="shared" si="797"/>
        <v/>
      </c>
      <c r="AK792" s="21" t="str">
        <f t="shared" si="797"/>
        <v/>
      </c>
      <c r="AL792" s="21" t="str">
        <f t="shared" si="797"/>
        <v/>
      </c>
      <c r="AM792" s="21" t="str">
        <f t="shared" si="797"/>
        <v/>
      </c>
      <c r="AN792" s="21" t="str">
        <f t="shared" si="797"/>
        <v/>
      </c>
      <c r="AO792" s="21" t="str">
        <f t="shared" si="102"/>
        <v/>
      </c>
    </row>
    <row r="793" ht="16.5" customHeight="1">
      <c r="J793" s="18"/>
      <c r="K793" s="19"/>
      <c r="L793" s="20"/>
      <c r="M793" s="20"/>
      <c r="N793" s="20"/>
      <c r="O793" s="20"/>
      <c r="P793" s="20"/>
      <c r="Q793" s="20"/>
      <c r="R793" s="20"/>
      <c r="S793" s="20"/>
      <c r="T793" s="20"/>
      <c r="AE793" s="21" t="str">
        <f t="shared" si="100"/>
        <v/>
      </c>
      <c r="AF793" s="21" t="str">
        <f t="shared" ref="AF793:AN793" si="798">if(not(isblank(L793)),", "&amp;L793,"")</f>
        <v/>
      </c>
      <c r="AG793" s="21" t="str">
        <f t="shared" si="798"/>
        <v/>
      </c>
      <c r="AH793" s="21" t="str">
        <f t="shared" si="798"/>
        <v/>
      </c>
      <c r="AI793" s="21" t="str">
        <f t="shared" si="798"/>
        <v/>
      </c>
      <c r="AJ793" s="21" t="str">
        <f t="shared" si="798"/>
        <v/>
      </c>
      <c r="AK793" s="21" t="str">
        <f t="shared" si="798"/>
        <v/>
      </c>
      <c r="AL793" s="21" t="str">
        <f t="shared" si="798"/>
        <v/>
      </c>
      <c r="AM793" s="21" t="str">
        <f t="shared" si="798"/>
        <v/>
      </c>
      <c r="AN793" s="21" t="str">
        <f t="shared" si="798"/>
        <v/>
      </c>
      <c r="AO793" s="21" t="str">
        <f t="shared" si="102"/>
        <v/>
      </c>
    </row>
    <row r="794" ht="16.5" customHeight="1">
      <c r="J794" s="18"/>
      <c r="K794" s="19"/>
      <c r="L794" s="20"/>
      <c r="M794" s="20"/>
      <c r="N794" s="20"/>
      <c r="O794" s="20"/>
      <c r="P794" s="20"/>
      <c r="Q794" s="20"/>
      <c r="R794" s="20"/>
      <c r="S794" s="20"/>
      <c r="T794" s="20"/>
      <c r="AE794" s="21" t="str">
        <f t="shared" si="100"/>
        <v/>
      </c>
      <c r="AF794" s="21" t="str">
        <f t="shared" ref="AF794:AN794" si="799">if(not(isblank(L794)),", "&amp;L794,"")</f>
        <v/>
      </c>
      <c r="AG794" s="21" t="str">
        <f t="shared" si="799"/>
        <v/>
      </c>
      <c r="AH794" s="21" t="str">
        <f t="shared" si="799"/>
        <v/>
      </c>
      <c r="AI794" s="21" t="str">
        <f t="shared" si="799"/>
        <v/>
      </c>
      <c r="AJ794" s="21" t="str">
        <f t="shared" si="799"/>
        <v/>
      </c>
      <c r="AK794" s="21" t="str">
        <f t="shared" si="799"/>
        <v/>
      </c>
      <c r="AL794" s="21" t="str">
        <f t="shared" si="799"/>
        <v/>
      </c>
      <c r="AM794" s="21" t="str">
        <f t="shared" si="799"/>
        <v/>
      </c>
      <c r="AN794" s="21" t="str">
        <f t="shared" si="799"/>
        <v/>
      </c>
      <c r="AO794" s="21" t="str">
        <f t="shared" si="102"/>
        <v/>
      </c>
    </row>
    <row r="795" ht="16.5" customHeight="1">
      <c r="J795" s="18"/>
      <c r="K795" s="19"/>
      <c r="L795" s="20"/>
      <c r="M795" s="20"/>
      <c r="N795" s="20"/>
      <c r="O795" s="20"/>
      <c r="P795" s="20"/>
      <c r="Q795" s="20"/>
      <c r="R795" s="20"/>
      <c r="S795" s="20"/>
      <c r="T795" s="20"/>
      <c r="AE795" s="21" t="str">
        <f t="shared" si="100"/>
        <v/>
      </c>
      <c r="AF795" s="21" t="str">
        <f t="shared" ref="AF795:AN795" si="800">if(not(isblank(L795)),", "&amp;L795,"")</f>
        <v/>
      </c>
      <c r="AG795" s="21" t="str">
        <f t="shared" si="800"/>
        <v/>
      </c>
      <c r="AH795" s="21" t="str">
        <f t="shared" si="800"/>
        <v/>
      </c>
      <c r="AI795" s="21" t="str">
        <f t="shared" si="800"/>
        <v/>
      </c>
      <c r="AJ795" s="21" t="str">
        <f t="shared" si="800"/>
        <v/>
      </c>
      <c r="AK795" s="21" t="str">
        <f t="shared" si="800"/>
        <v/>
      </c>
      <c r="AL795" s="21" t="str">
        <f t="shared" si="800"/>
        <v/>
      </c>
      <c r="AM795" s="21" t="str">
        <f t="shared" si="800"/>
        <v/>
      </c>
      <c r="AN795" s="21" t="str">
        <f t="shared" si="800"/>
        <v/>
      </c>
      <c r="AO795" s="21" t="str">
        <f t="shared" si="102"/>
        <v/>
      </c>
    </row>
    <row r="796" ht="16.5" customHeight="1">
      <c r="J796" s="18"/>
      <c r="K796" s="19"/>
      <c r="L796" s="20"/>
      <c r="M796" s="20"/>
      <c r="N796" s="20"/>
      <c r="O796" s="20"/>
      <c r="P796" s="20"/>
      <c r="Q796" s="20"/>
      <c r="R796" s="20"/>
      <c r="S796" s="20"/>
      <c r="T796" s="20"/>
      <c r="AE796" s="21" t="str">
        <f t="shared" si="100"/>
        <v/>
      </c>
      <c r="AF796" s="21" t="str">
        <f t="shared" ref="AF796:AN796" si="801">if(not(isblank(L796)),", "&amp;L796,"")</f>
        <v/>
      </c>
      <c r="AG796" s="21" t="str">
        <f t="shared" si="801"/>
        <v/>
      </c>
      <c r="AH796" s="21" t="str">
        <f t="shared" si="801"/>
        <v/>
      </c>
      <c r="AI796" s="21" t="str">
        <f t="shared" si="801"/>
        <v/>
      </c>
      <c r="AJ796" s="21" t="str">
        <f t="shared" si="801"/>
        <v/>
      </c>
      <c r="AK796" s="21" t="str">
        <f t="shared" si="801"/>
        <v/>
      </c>
      <c r="AL796" s="21" t="str">
        <f t="shared" si="801"/>
        <v/>
      </c>
      <c r="AM796" s="21" t="str">
        <f t="shared" si="801"/>
        <v/>
      </c>
      <c r="AN796" s="21" t="str">
        <f t="shared" si="801"/>
        <v/>
      </c>
      <c r="AO796" s="21" t="str">
        <f t="shared" si="102"/>
        <v/>
      </c>
    </row>
    <row r="797" ht="16.5" customHeight="1">
      <c r="J797" s="18"/>
      <c r="K797" s="19"/>
      <c r="L797" s="20"/>
      <c r="M797" s="20"/>
      <c r="N797" s="20"/>
      <c r="O797" s="20"/>
      <c r="P797" s="20"/>
      <c r="Q797" s="20"/>
      <c r="R797" s="20"/>
      <c r="S797" s="20"/>
      <c r="T797" s="20"/>
      <c r="AE797" s="21" t="str">
        <f t="shared" si="100"/>
        <v/>
      </c>
      <c r="AF797" s="21" t="str">
        <f t="shared" ref="AF797:AN797" si="802">if(not(isblank(L797)),", "&amp;L797,"")</f>
        <v/>
      </c>
      <c r="AG797" s="21" t="str">
        <f t="shared" si="802"/>
        <v/>
      </c>
      <c r="AH797" s="21" t="str">
        <f t="shared" si="802"/>
        <v/>
      </c>
      <c r="AI797" s="21" t="str">
        <f t="shared" si="802"/>
        <v/>
      </c>
      <c r="AJ797" s="21" t="str">
        <f t="shared" si="802"/>
        <v/>
      </c>
      <c r="AK797" s="21" t="str">
        <f t="shared" si="802"/>
        <v/>
      </c>
      <c r="AL797" s="21" t="str">
        <f t="shared" si="802"/>
        <v/>
      </c>
      <c r="AM797" s="21" t="str">
        <f t="shared" si="802"/>
        <v/>
      </c>
      <c r="AN797" s="21" t="str">
        <f t="shared" si="802"/>
        <v/>
      </c>
      <c r="AO797" s="21" t="str">
        <f t="shared" si="102"/>
        <v/>
      </c>
    </row>
    <row r="798" ht="16.5" customHeight="1">
      <c r="J798" s="18"/>
      <c r="K798" s="19"/>
      <c r="L798" s="20"/>
      <c r="M798" s="20"/>
      <c r="N798" s="20"/>
      <c r="O798" s="20"/>
      <c r="P798" s="20"/>
      <c r="Q798" s="20"/>
      <c r="R798" s="20"/>
      <c r="S798" s="20"/>
      <c r="T798" s="20"/>
      <c r="AE798" s="21" t="str">
        <f t="shared" si="100"/>
        <v/>
      </c>
      <c r="AF798" s="21" t="str">
        <f t="shared" ref="AF798:AN798" si="803">if(not(isblank(L798)),", "&amp;L798,"")</f>
        <v/>
      </c>
      <c r="AG798" s="21" t="str">
        <f t="shared" si="803"/>
        <v/>
      </c>
      <c r="AH798" s="21" t="str">
        <f t="shared" si="803"/>
        <v/>
      </c>
      <c r="AI798" s="21" t="str">
        <f t="shared" si="803"/>
        <v/>
      </c>
      <c r="AJ798" s="21" t="str">
        <f t="shared" si="803"/>
        <v/>
      </c>
      <c r="AK798" s="21" t="str">
        <f t="shared" si="803"/>
        <v/>
      </c>
      <c r="AL798" s="21" t="str">
        <f t="shared" si="803"/>
        <v/>
      </c>
      <c r="AM798" s="21" t="str">
        <f t="shared" si="803"/>
        <v/>
      </c>
      <c r="AN798" s="21" t="str">
        <f t="shared" si="803"/>
        <v/>
      </c>
      <c r="AO798" s="21" t="str">
        <f t="shared" si="102"/>
        <v/>
      </c>
    </row>
    <row r="799" ht="16.5" customHeight="1">
      <c r="J799" s="18"/>
      <c r="K799" s="19"/>
      <c r="L799" s="20"/>
      <c r="M799" s="20"/>
      <c r="N799" s="20"/>
      <c r="O799" s="20"/>
      <c r="P799" s="20"/>
      <c r="Q799" s="20"/>
      <c r="R799" s="20"/>
      <c r="S799" s="20"/>
      <c r="T799" s="20"/>
      <c r="AE799" s="21" t="str">
        <f t="shared" si="100"/>
        <v/>
      </c>
      <c r="AF799" s="21" t="str">
        <f t="shared" ref="AF799:AN799" si="804">if(not(isblank(L799)),", "&amp;L799,"")</f>
        <v/>
      </c>
      <c r="AG799" s="21" t="str">
        <f t="shared" si="804"/>
        <v/>
      </c>
      <c r="AH799" s="21" t="str">
        <f t="shared" si="804"/>
        <v/>
      </c>
      <c r="AI799" s="21" t="str">
        <f t="shared" si="804"/>
        <v/>
      </c>
      <c r="AJ799" s="21" t="str">
        <f t="shared" si="804"/>
        <v/>
      </c>
      <c r="AK799" s="21" t="str">
        <f t="shared" si="804"/>
        <v/>
      </c>
      <c r="AL799" s="21" t="str">
        <f t="shared" si="804"/>
        <v/>
      </c>
      <c r="AM799" s="21" t="str">
        <f t="shared" si="804"/>
        <v/>
      </c>
      <c r="AN799" s="21" t="str">
        <f t="shared" si="804"/>
        <v/>
      </c>
      <c r="AO799" s="21" t="str">
        <f t="shared" si="102"/>
        <v/>
      </c>
    </row>
    <row r="800" ht="16.5" customHeight="1">
      <c r="J800" s="18"/>
      <c r="K800" s="19"/>
      <c r="L800" s="20"/>
      <c r="M800" s="20"/>
      <c r="N800" s="20"/>
      <c r="O800" s="20"/>
      <c r="P800" s="20"/>
      <c r="Q800" s="20"/>
      <c r="R800" s="20"/>
      <c r="S800" s="20"/>
      <c r="T800" s="20"/>
      <c r="AE800" s="21" t="str">
        <f t="shared" si="100"/>
        <v/>
      </c>
      <c r="AF800" s="21" t="str">
        <f t="shared" ref="AF800:AN800" si="805">if(not(isblank(L800)),", "&amp;L800,"")</f>
        <v/>
      </c>
      <c r="AG800" s="21" t="str">
        <f t="shared" si="805"/>
        <v/>
      </c>
      <c r="AH800" s="21" t="str">
        <f t="shared" si="805"/>
        <v/>
      </c>
      <c r="AI800" s="21" t="str">
        <f t="shared" si="805"/>
        <v/>
      </c>
      <c r="AJ800" s="21" t="str">
        <f t="shared" si="805"/>
        <v/>
      </c>
      <c r="AK800" s="21" t="str">
        <f t="shared" si="805"/>
        <v/>
      </c>
      <c r="AL800" s="21" t="str">
        <f t="shared" si="805"/>
        <v/>
      </c>
      <c r="AM800" s="21" t="str">
        <f t="shared" si="805"/>
        <v/>
      </c>
      <c r="AN800" s="21" t="str">
        <f t="shared" si="805"/>
        <v/>
      </c>
      <c r="AO800" s="21" t="str">
        <f t="shared" si="102"/>
        <v/>
      </c>
    </row>
    <row r="801" ht="16.5" customHeight="1">
      <c r="J801" s="18"/>
      <c r="K801" s="19"/>
      <c r="L801" s="20"/>
      <c r="M801" s="20"/>
      <c r="N801" s="20"/>
      <c r="O801" s="20"/>
      <c r="P801" s="20"/>
      <c r="Q801" s="20"/>
      <c r="R801" s="20"/>
      <c r="S801" s="20"/>
      <c r="T801" s="20"/>
      <c r="AE801" s="21" t="str">
        <f t="shared" si="100"/>
        <v/>
      </c>
      <c r="AF801" s="21" t="str">
        <f t="shared" ref="AF801:AN801" si="806">if(not(isblank(L801)),", "&amp;L801,"")</f>
        <v/>
      </c>
      <c r="AG801" s="21" t="str">
        <f t="shared" si="806"/>
        <v/>
      </c>
      <c r="AH801" s="21" t="str">
        <f t="shared" si="806"/>
        <v/>
      </c>
      <c r="AI801" s="21" t="str">
        <f t="shared" si="806"/>
        <v/>
      </c>
      <c r="AJ801" s="21" t="str">
        <f t="shared" si="806"/>
        <v/>
      </c>
      <c r="AK801" s="21" t="str">
        <f t="shared" si="806"/>
        <v/>
      </c>
      <c r="AL801" s="21" t="str">
        <f t="shared" si="806"/>
        <v/>
      </c>
      <c r="AM801" s="21" t="str">
        <f t="shared" si="806"/>
        <v/>
      </c>
      <c r="AN801" s="21" t="str">
        <f t="shared" si="806"/>
        <v/>
      </c>
      <c r="AO801" s="21" t="str">
        <f t="shared" si="102"/>
        <v/>
      </c>
    </row>
    <row r="802" ht="16.5" customHeight="1">
      <c r="J802" s="18"/>
      <c r="K802" s="19"/>
      <c r="L802" s="20"/>
      <c r="M802" s="20"/>
      <c r="N802" s="20"/>
      <c r="O802" s="20"/>
      <c r="P802" s="20"/>
      <c r="Q802" s="20"/>
      <c r="R802" s="20"/>
      <c r="S802" s="20"/>
      <c r="T802" s="20"/>
      <c r="AE802" s="21" t="str">
        <f t="shared" si="100"/>
        <v/>
      </c>
      <c r="AF802" s="21" t="str">
        <f t="shared" ref="AF802:AN802" si="807">if(not(isblank(L802)),", "&amp;L802,"")</f>
        <v/>
      </c>
      <c r="AG802" s="21" t="str">
        <f t="shared" si="807"/>
        <v/>
      </c>
      <c r="AH802" s="21" t="str">
        <f t="shared" si="807"/>
        <v/>
      </c>
      <c r="AI802" s="21" t="str">
        <f t="shared" si="807"/>
        <v/>
      </c>
      <c r="AJ802" s="21" t="str">
        <f t="shared" si="807"/>
        <v/>
      </c>
      <c r="AK802" s="21" t="str">
        <f t="shared" si="807"/>
        <v/>
      </c>
      <c r="AL802" s="21" t="str">
        <f t="shared" si="807"/>
        <v/>
      </c>
      <c r="AM802" s="21" t="str">
        <f t="shared" si="807"/>
        <v/>
      </c>
      <c r="AN802" s="21" t="str">
        <f t="shared" si="807"/>
        <v/>
      </c>
      <c r="AO802" s="21" t="str">
        <f t="shared" si="102"/>
        <v/>
      </c>
    </row>
    <row r="803" ht="16.5" customHeight="1">
      <c r="J803" s="18"/>
      <c r="K803" s="19"/>
      <c r="L803" s="20"/>
      <c r="M803" s="20"/>
      <c r="N803" s="20"/>
      <c r="O803" s="20"/>
      <c r="P803" s="20"/>
      <c r="Q803" s="20"/>
      <c r="R803" s="20"/>
      <c r="S803" s="20"/>
      <c r="T803" s="20"/>
      <c r="AE803" s="21" t="str">
        <f t="shared" si="100"/>
        <v/>
      </c>
      <c r="AF803" s="21" t="str">
        <f t="shared" ref="AF803:AN803" si="808">if(not(isblank(L803)),", "&amp;L803,"")</f>
        <v/>
      </c>
      <c r="AG803" s="21" t="str">
        <f t="shared" si="808"/>
        <v/>
      </c>
      <c r="AH803" s="21" t="str">
        <f t="shared" si="808"/>
        <v/>
      </c>
      <c r="AI803" s="21" t="str">
        <f t="shared" si="808"/>
        <v/>
      </c>
      <c r="AJ803" s="21" t="str">
        <f t="shared" si="808"/>
        <v/>
      </c>
      <c r="AK803" s="21" t="str">
        <f t="shared" si="808"/>
        <v/>
      </c>
      <c r="AL803" s="21" t="str">
        <f t="shared" si="808"/>
        <v/>
      </c>
      <c r="AM803" s="21" t="str">
        <f t="shared" si="808"/>
        <v/>
      </c>
      <c r="AN803" s="21" t="str">
        <f t="shared" si="808"/>
        <v/>
      </c>
      <c r="AO803" s="21" t="str">
        <f t="shared" si="102"/>
        <v/>
      </c>
    </row>
    <row r="804" ht="16.5" customHeight="1">
      <c r="J804" s="18"/>
      <c r="K804" s="19"/>
      <c r="L804" s="20"/>
      <c r="M804" s="20"/>
      <c r="N804" s="20"/>
      <c r="O804" s="20"/>
      <c r="P804" s="20"/>
      <c r="Q804" s="20"/>
      <c r="R804" s="20"/>
      <c r="S804" s="20"/>
      <c r="T804" s="20"/>
      <c r="AE804" s="21" t="str">
        <f t="shared" si="100"/>
        <v/>
      </c>
      <c r="AF804" s="21" t="str">
        <f t="shared" ref="AF804:AN804" si="809">if(not(isblank(L804)),", "&amp;L804,"")</f>
        <v/>
      </c>
      <c r="AG804" s="21" t="str">
        <f t="shared" si="809"/>
        <v/>
      </c>
      <c r="AH804" s="21" t="str">
        <f t="shared" si="809"/>
        <v/>
      </c>
      <c r="AI804" s="21" t="str">
        <f t="shared" si="809"/>
        <v/>
      </c>
      <c r="AJ804" s="21" t="str">
        <f t="shared" si="809"/>
        <v/>
      </c>
      <c r="AK804" s="21" t="str">
        <f t="shared" si="809"/>
        <v/>
      </c>
      <c r="AL804" s="21" t="str">
        <f t="shared" si="809"/>
        <v/>
      </c>
      <c r="AM804" s="21" t="str">
        <f t="shared" si="809"/>
        <v/>
      </c>
      <c r="AN804" s="21" t="str">
        <f t="shared" si="809"/>
        <v/>
      </c>
      <c r="AO804" s="21" t="str">
        <f t="shared" si="102"/>
        <v/>
      </c>
    </row>
    <row r="805" ht="16.5" customHeight="1">
      <c r="J805" s="18"/>
      <c r="K805" s="19"/>
      <c r="L805" s="20"/>
      <c r="M805" s="20"/>
      <c r="N805" s="20"/>
      <c r="O805" s="20"/>
      <c r="P805" s="20"/>
      <c r="Q805" s="20"/>
      <c r="R805" s="20"/>
      <c r="S805" s="20"/>
      <c r="T805" s="20"/>
      <c r="AE805" s="21" t="str">
        <f t="shared" si="100"/>
        <v/>
      </c>
      <c r="AF805" s="21" t="str">
        <f t="shared" ref="AF805:AN805" si="810">if(not(isblank(L805)),", "&amp;L805,"")</f>
        <v/>
      </c>
      <c r="AG805" s="21" t="str">
        <f t="shared" si="810"/>
        <v/>
      </c>
      <c r="AH805" s="21" t="str">
        <f t="shared" si="810"/>
        <v/>
      </c>
      <c r="AI805" s="21" t="str">
        <f t="shared" si="810"/>
        <v/>
      </c>
      <c r="AJ805" s="21" t="str">
        <f t="shared" si="810"/>
        <v/>
      </c>
      <c r="AK805" s="21" t="str">
        <f t="shared" si="810"/>
        <v/>
      </c>
      <c r="AL805" s="21" t="str">
        <f t="shared" si="810"/>
        <v/>
      </c>
      <c r="AM805" s="21" t="str">
        <f t="shared" si="810"/>
        <v/>
      </c>
      <c r="AN805" s="21" t="str">
        <f t="shared" si="810"/>
        <v/>
      </c>
      <c r="AO805" s="21" t="str">
        <f t="shared" si="102"/>
        <v/>
      </c>
    </row>
    <row r="806" ht="16.5" customHeight="1">
      <c r="J806" s="18"/>
      <c r="K806" s="19"/>
      <c r="L806" s="20"/>
      <c r="M806" s="20"/>
      <c r="N806" s="20"/>
      <c r="O806" s="20"/>
      <c r="P806" s="20"/>
      <c r="Q806" s="20"/>
      <c r="R806" s="20"/>
      <c r="S806" s="20"/>
      <c r="T806" s="20"/>
      <c r="AE806" s="21" t="str">
        <f t="shared" si="100"/>
        <v/>
      </c>
      <c r="AF806" s="21" t="str">
        <f t="shared" ref="AF806:AN806" si="811">if(not(isblank(L806)),", "&amp;L806,"")</f>
        <v/>
      </c>
      <c r="AG806" s="21" t="str">
        <f t="shared" si="811"/>
        <v/>
      </c>
      <c r="AH806" s="21" t="str">
        <f t="shared" si="811"/>
        <v/>
      </c>
      <c r="AI806" s="21" t="str">
        <f t="shared" si="811"/>
        <v/>
      </c>
      <c r="AJ806" s="21" t="str">
        <f t="shared" si="811"/>
        <v/>
      </c>
      <c r="AK806" s="21" t="str">
        <f t="shared" si="811"/>
        <v/>
      </c>
      <c r="AL806" s="21" t="str">
        <f t="shared" si="811"/>
        <v/>
      </c>
      <c r="AM806" s="21" t="str">
        <f t="shared" si="811"/>
        <v/>
      </c>
      <c r="AN806" s="21" t="str">
        <f t="shared" si="811"/>
        <v/>
      </c>
      <c r="AO806" s="21" t="str">
        <f t="shared" si="102"/>
        <v/>
      </c>
    </row>
    <row r="807" ht="16.5" customHeight="1">
      <c r="J807" s="18"/>
      <c r="K807" s="19"/>
      <c r="L807" s="20"/>
      <c r="M807" s="20"/>
      <c r="N807" s="20"/>
      <c r="O807" s="20"/>
      <c r="P807" s="20"/>
      <c r="Q807" s="20"/>
      <c r="R807" s="20"/>
      <c r="S807" s="20"/>
      <c r="T807" s="20"/>
      <c r="AE807" s="21" t="str">
        <f t="shared" si="100"/>
        <v/>
      </c>
      <c r="AF807" s="21" t="str">
        <f t="shared" ref="AF807:AN807" si="812">if(not(isblank(L807)),", "&amp;L807,"")</f>
        <v/>
      </c>
      <c r="AG807" s="21" t="str">
        <f t="shared" si="812"/>
        <v/>
      </c>
      <c r="AH807" s="21" t="str">
        <f t="shared" si="812"/>
        <v/>
      </c>
      <c r="AI807" s="21" t="str">
        <f t="shared" si="812"/>
        <v/>
      </c>
      <c r="AJ807" s="21" t="str">
        <f t="shared" si="812"/>
        <v/>
      </c>
      <c r="AK807" s="21" t="str">
        <f t="shared" si="812"/>
        <v/>
      </c>
      <c r="AL807" s="21" t="str">
        <f t="shared" si="812"/>
        <v/>
      </c>
      <c r="AM807" s="21" t="str">
        <f t="shared" si="812"/>
        <v/>
      </c>
      <c r="AN807" s="21" t="str">
        <f t="shared" si="812"/>
        <v/>
      </c>
      <c r="AO807" s="21" t="str">
        <f t="shared" si="102"/>
        <v/>
      </c>
    </row>
    <row r="808" ht="16.5" customHeight="1">
      <c r="J808" s="18"/>
      <c r="K808" s="19"/>
      <c r="L808" s="20"/>
      <c r="M808" s="20"/>
      <c r="N808" s="20"/>
      <c r="O808" s="20"/>
      <c r="P808" s="20"/>
      <c r="Q808" s="20"/>
      <c r="R808" s="20"/>
      <c r="S808" s="20"/>
      <c r="T808" s="20"/>
      <c r="AE808" s="21" t="str">
        <f t="shared" si="100"/>
        <v/>
      </c>
      <c r="AF808" s="21" t="str">
        <f t="shared" ref="AF808:AN808" si="813">if(not(isblank(L808)),", "&amp;L808,"")</f>
        <v/>
      </c>
      <c r="AG808" s="21" t="str">
        <f t="shared" si="813"/>
        <v/>
      </c>
      <c r="AH808" s="21" t="str">
        <f t="shared" si="813"/>
        <v/>
      </c>
      <c r="AI808" s="21" t="str">
        <f t="shared" si="813"/>
        <v/>
      </c>
      <c r="AJ808" s="21" t="str">
        <f t="shared" si="813"/>
        <v/>
      </c>
      <c r="AK808" s="21" t="str">
        <f t="shared" si="813"/>
        <v/>
      </c>
      <c r="AL808" s="21" t="str">
        <f t="shared" si="813"/>
        <v/>
      </c>
      <c r="AM808" s="21" t="str">
        <f t="shared" si="813"/>
        <v/>
      </c>
      <c r="AN808" s="21" t="str">
        <f t="shared" si="813"/>
        <v/>
      </c>
      <c r="AO808" s="21" t="str">
        <f t="shared" si="102"/>
        <v/>
      </c>
    </row>
    <row r="809" ht="16.5" customHeight="1">
      <c r="J809" s="18"/>
      <c r="K809" s="19"/>
      <c r="L809" s="20"/>
      <c r="M809" s="20"/>
      <c r="N809" s="20"/>
      <c r="O809" s="20"/>
      <c r="P809" s="20"/>
      <c r="Q809" s="20"/>
      <c r="R809" s="20"/>
      <c r="S809" s="20"/>
      <c r="T809" s="20"/>
      <c r="AE809" s="21" t="str">
        <f t="shared" si="100"/>
        <v/>
      </c>
      <c r="AF809" s="21" t="str">
        <f t="shared" ref="AF809:AN809" si="814">if(not(isblank(L809)),", "&amp;L809,"")</f>
        <v/>
      </c>
      <c r="AG809" s="21" t="str">
        <f t="shared" si="814"/>
        <v/>
      </c>
      <c r="AH809" s="21" t="str">
        <f t="shared" si="814"/>
        <v/>
      </c>
      <c r="AI809" s="21" t="str">
        <f t="shared" si="814"/>
        <v/>
      </c>
      <c r="AJ809" s="21" t="str">
        <f t="shared" si="814"/>
        <v/>
      </c>
      <c r="AK809" s="21" t="str">
        <f t="shared" si="814"/>
        <v/>
      </c>
      <c r="AL809" s="21" t="str">
        <f t="shared" si="814"/>
        <v/>
      </c>
      <c r="AM809" s="21" t="str">
        <f t="shared" si="814"/>
        <v/>
      </c>
      <c r="AN809" s="21" t="str">
        <f t="shared" si="814"/>
        <v/>
      </c>
      <c r="AO809" s="21" t="str">
        <f t="shared" si="102"/>
        <v/>
      </c>
    </row>
    <row r="810" ht="16.5" customHeight="1">
      <c r="J810" s="18"/>
      <c r="K810" s="19"/>
      <c r="L810" s="20"/>
      <c r="M810" s="20"/>
      <c r="N810" s="20"/>
      <c r="O810" s="20"/>
      <c r="P810" s="20"/>
      <c r="Q810" s="20"/>
      <c r="R810" s="20"/>
      <c r="S810" s="20"/>
      <c r="T810" s="20"/>
      <c r="AE810" s="21" t="str">
        <f t="shared" si="100"/>
        <v/>
      </c>
      <c r="AF810" s="21" t="str">
        <f t="shared" ref="AF810:AN810" si="815">if(not(isblank(L810)),", "&amp;L810,"")</f>
        <v/>
      </c>
      <c r="AG810" s="21" t="str">
        <f t="shared" si="815"/>
        <v/>
      </c>
      <c r="AH810" s="21" t="str">
        <f t="shared" si="815"/>
        <v/>
      </c>
      <c r="AI810" s="21" t="str">
        <f t="shared" si="815"/>
        <v/>
      </c>
      <c r="AJ810" s="21" t="str">
        <f t="shared" si="815"/>
        <v/>
      </c>
      <c r="AK810" s="21" t="str">
        <f t="shared" si="815"/>
        <v/>
      </c>
      <c r="AL810" s="21" t="str">
        <f t="shared" si="815"/>
        <v/>
      </c>
      <c r="AM810" s="21" t="str">
        <f t="shared" si="815"/>
        <v/>
      </c>
      <c r="AN810" s="21" t="str">
        <f t="shared" si="815"/>
        <v/>
      </c>
      <c r="AO810" s="21" t="str">
        <f t="shared" si="102"/>
        <v/>
      </c>
    </row>
    <row r="811" ht="16.5" customHeight="1">
      <c r="J811" s="18"/>
      <c r="K811" s="19"/>
      <c r="L811" s="20"/>
      <c r="M811" s="20"/>
      <c r="N811" s="20"/>
      <c r="O811" s="20"/>
      <c r="P811" s="20"/>
      <c r="Q811" s="20"/>
      <c r="R811" s="20"/>
      <c r="S811" s="20"/>
      <c r="T811" s="20"/>
      <c r="AE811" s="21" t="str">
        <f t="shared" si="100"/>
        <v/>
      </c>
      <c r="AF811" s="21" t="str">
        <f t="shared" ref="AF811:AN811" si="816">if(not(isblank(L811)),", "&amp;L811,"")</f>
        <v/>
      </c>
      <c r="AG811" s="21" t="str">
        <f t="shared" si="816"/>
        <v/>
      </c>
      <c r="AH811" s="21" t="str">
        <f t="shared" si="816"/>
        <v/>
      </c>
      <c r="AI811" s="21" t="str">
        <f t="shared" si="816"/>
        <v/>
      </c>
      <c r="AJ811" s="21" t="str">
        <f t="shared" si="816"/>
        <v/>
      </c>
      <c r="AK811" s="21" t="str">
        <f t="shared" si="816"/>
        <v/>
      </c>
      <c r="AL811" s="21" t="str">
        <f t="shared" si="816"/>
        <v/>
      </c>
      <c r="AM811" s="21" t="str">
        <f t="shared" si="816"/>
        <v/>
      </c>
      <c r="AN811" s="21" t="str">
        <f t="shared" si="816"/>
        <v/>
      </c>
      <c r="AO811" s="21" t="str">
        <f t="shared" si="102"/>
        <v/>
      </c>
    </row>
    <row r="812" ht="16.5" customHeight="1">
      <c r="J812" s="18"/>
      <c r="K812" s="19"/>
      <c r="L812" s="20"/>
      <c r="M812" s="20"/>
      <c r="N812" s="20"/>
      <c r="O812" s="20"/>
      <c r="P812" s="20"/>
      <c r="Q812" s="20"/>
      <c r="R812" s="20"/>
      <c r="S812" s="20"/>
      <c r="T812" s="20"/>
      <c r="AE812" s="21" t="str">
        <f t="shared" si="100"/>
        <v/>
      </c>
      <c r="AF812" s="21" t="str">
        <f t="shared" ref="AF812:AN812" si="817">if(not(isblank(L812)),", "&amp;L812,"")</f>
        <v/>
      </c>
      <c r="AG812" s="21" t="str">
        <f t="shared" si="817"/>
        <v/>
      </c>
      <c r="AH812" s="21" t="str">
        <f t="shared" si="817"/>
        <v/>
      </c>
      <c r="AI812" s="21" t="str">
        <f t="shared" si="817"/>
        <v/>
      </c>
      <c r="AJ812" s="21" t="str">
        <f t="shared" si="817"/>
        <v/>
      </c>
      <c r="AK812" s="21" t="str">
        <f t="shared" si="817"/>
        <v/>
      </c>
      <c r="AL812" s="21" t="str">
        <f t="shared" si="817"/>
        <v/>
      </c>
      <c r="AM812" s="21" t="str">
        <f t="shared" si="817"/>
        <v/>
      </c>
      <c r="AN812" s="21" t="str">
        <f t="shared" si="817"/>
        <v/>
      </c>
      <c r="AO812" s="21" t="str">
        <f t="shared" si="102"/>
        <v/>
      </c>
    </row>
    <row r="813" ht="16.5" customHeight="1">
      <c r="J813" s="18"/>
      <c r="K813" s="19"/>
      <c r="L813" s="20"/>
      <c r="M813" s="20"/>
      <c r="N813" s="20"/>
      <c r="O813" s="20"/>
      <c r="P813" s="20"/>
      <c r="Q813" s="20"/>
      <c r="R813" s="20"/>
      <c r="S813" s="20"/>
      <c r="T813" s="20"/>
      <c r="AE813" s="21" t="str">
        <f t="shared" si="100"/>
        <v/>
      </c>
      <c r="AF813" s="21" t="str">
        <f t="shared" ref="AF813:AN813" si="818">if(not(isblank(L813)),", "&amp;L813,"")</f>
        <v/>
      </c>
      <c r="AG813" s="21" t="str">
        <f t="shared" si="818"/>
        <v/>
      </c>
      <c r="AH813" s="21" t="str">
        <f t="shared" si="818"/>
        <v/>
      </c>
      <c r="AI813" s="21" t="str">
        <f t="shared" si="818"/>
        <v/>
      </c>
      <c r="AJ813" s="21" t="str">
        <f t="shared" si="818"/>
        <v/>
      </c>
      <c r="AK813" s="21" t="str">
        <f t="shared" si="818"/>
        <v/>
      </c>
      <c r="AL813" s="21" t="str">
        <f t="shared" si="818"/>
        <v/>
      </c>
      <c r="AM813" s="21" t="str">
        <f t="shared" si="818"/>
        <v/>
      </c>
      <c r="AN813" s="21" t="str">
        <f t="shared" si="818"/>
        <v/>
      </c>
      <c r="AO813" s="21" t="str">
        <f t="shared" si="102"/>
        <v/>
      </c>
    </row>
    <row r="814" ht="16.5" customHeight="1">
      <c r="J814" s="18"/>
      <c r="K814" s="19"/>
      <c r="L814" s="20"/>
      <c r="M814" s="20"/>
      <c r="N814" s="20"/>
      <c r="O814" s="20"/>
      <c r="P814" s="20"/>
      <c r="Q814" s="20"/>
      <c r="R814" s="20"/>
      <c r="S814" s="20"/>
      <c r="T814" s="20"/>
      <c r="AE814" s="21" t="str">
        <f t="shared" si="100"/>
        <v/>
      </c>
      <c r="AF814" s="21" t="str">
        <f t="shared" ref="AF814:AN814" si="819">if(not(isblank(L814)),", "&amp;L814,"")</f>
        <v/>
      </c>
      <c r="AG814" s="21" t="str">
        <f t="shared" si="819"/>
        <v/>
      </c>
      <c r="AH814" s="21" t="str">
        <f t="shared" si="819"/>
        <v/>
      </c>
      <c r="AI814" s="21" t="str">
        <f t="shared" si="819"/>
        <v/>
      </c>
      <c r="AJ814" s="21" t="str">
        <f t="shared" si="819"/>
        <v/>
      </c>
      <c r="AK814" s="21" t="str">
        <f t="shared" si="819"/>
        <v/>
      </c>
      <c r="AL814" s="21" t="str">
        <f t="shared" si="819"/>
        <v/>
      </c>
      <c r="AM814" s="21" t="str">
        <f t="shared" si="819"/>
        <v/>
      </c>
      <c r="AN814" s="21" t="str">
        <f t="shared" si="819"/>
        <v/>
      </c>
      <c r="AO814" s="21" t="str">
        <f t="shared" si="102"/>
        <v/>
      </c>
    </row>
    <row r="815" ht="16.5" customHeight="1">
      <c r="J815" s="18"/>
      <c r="K815" s="19"/>
      <c r="L815" s="20"/>
      <c r="M815" s="20"/>
      <c r="N815" s="20"/>
      <c r="O815" s="20"/>
      <c r="P815" s="20"/>
      <c r="Q815" s="20"/>
      <c r="R815" s="20"/>
      <c r="S815" s="20"/>
      <c r="T815" s="20"/>
      <c r="AE815" s="21" t="str">
        <f t="shared" si="100"/>
        <v/>
      </c>
      <c r="AF815" s="21" t="str">
        <f t="shared" ref="AF815:AN815" si="820">if(not(isblank(L815)),", "&amp;L815,"")</f>
        <v/>
      </c>
      <c r="AG815" s="21" t="str">
        <f t="shared" si="820"/>
        <v/>
      </c>
      <c r="AH815" s="21" t="str">
        <f t="shared" si="820"/>
        <v/>
      </c>
      <c r="AI815" s="21" t="str">
        <f t="shared" si="820"/>
        <v/>
      </c>
      <c r="AJ815" s="21" t="str">
        <f t="shared" si="820"/>
        <v/>
      </c>
      <c r="AK815" s="21" t="str">
        <f t="shared" si="820"/>
        <v/>
      </c>
      <c r="AL815" s="21" t="str">
        <f t="shared" si="820"/>
        <v/>
      </c>
      <c r="AM815" s="21" t="str">
        <f t="shared" si="820"/>
        <v/>
      </c>
      <c r="AN815" s="21" t="str">
        <f t="shared" si="820"/>
        <v/>
      </c>
      <c r="AO815" s="21" t="str">
        <f t="shared" si="102"/>
        <v/>
      </c>
    </row>
    <row r="816" ht="16.5" customHeight="1">
      <c r="J816" s="18"/>
      <c r="K816" s="19"/>
      <c r="L816" s="20"/>
      <c r="M816" s="20"/>
      <c r="N816" s="20"/>
      <c r="O816" s="20"/>
      <c r="P816" s="20"/>
      <c r="Q816" s="20"/>
      <c r="R816" s="20"/>
      <c r="S816" s="20"/>
      <c r="T816" s="20"/>
      <c r="AE816" s="21" t="str">
        <f t="shared" si="100"/>
        <v/>
      </c>
      <c r="AF816" s="21" t="str">
        <f t="shared" ref="AF816:AN816" si="821">if(not(isblank(L816)),", "&amp;L816,"")</f>
        <v/>
      </c>
      <c r="AG816" s="21" t="str">
        <f t="shared" si="821"/>
        <v/>
      </c>
      <c r="AH816" s="21" t="str">
        <f t="shared" si="821"/>
        <v/>
      </c>
      <c r="AI816" s="21" t="str">
        <f t="shared" si="821"/>
        <v/>
      </c>
      <c r="AJ816" s="21" t="str">
        <f t="shared" si="821"/>
        <v/>
      </c>
      <c r="AK816" s="21" t="str">
        <f t="shared" si="821"/>
        <v/>
      </c>
      <c r="AL816" s="21" t="str">
        <f t="shared" si="821"/>
        <v/>
      </c>
      <c r="AM816" s="21" t="str">
        <f t="shared" si="821"/>
        <v/>
      </c>
      <c r="AN816" s="21" t="str">
        <f t="shared" si="821"/>
        <v/>
      </c>
      <c r="AO816" s="21" t="str">
        <f t="shared" si="102"/>
        <v/>
      </c>
    </row>
    <row r="817" ht="16.5" customHeight="1">
      <c r="J817" s="18"/>
      <c r="K817" s="19"/>
      <c r="L817" s="20"/>
      <c r="M817" s="20"/>
      <c r="N817" s="20"/>
      <c r="O817" s="20"/>
      <c r="P817" s="20"/>
      <c r="Q817" s="20"/>
      <c r="R817" s="20"/>
      <c r="S817" s="20"/>
      <c r="T817" s="20"/>
      <c r="AE817" s="21" t="str">
        <f t="shared" si="100"/>
        <v/>
      </c>
      <c r="AF817" s="21" t="str">
        <f t="shared" ref="AF817:AN817" si="822">if(not(isblank(L817)),", "&amp;L817,"")</f>
        <v/>
      </c>
      <c r="AG817" s="21" t="str">
        <f t="shared" si="822"/>
        <v/>
      </c>
      <c r="AH817" s="21" t="str">
        <f t="shared" si="822"/>
        <v/>
      </c>
      <c r="AI817" s="21" t="str">
        <f t="shared" si="822"/>
        <v/>
      </c>
      <c r="AJ817" s="21" t="str">
        <f t="shared" si="822"/>
        <v/>
      </c>
      <c r="AK817" s="21" t="str">
        <f t="shared" si="822"/>
        <v/>
      </c>
      <c r="AL817" s="21" t="str">
        <f t="shared" si="822"/>
        <v/>
      </c>
      <c r="AM817" s="21" t="str">
        <f t="shared" si="822"/>
        <v/>
      </c>
      <c r="AN817" s="21" t="str">
        <f t="shared" si="822"/>
        <v/>
      </c>
      <c r="AO817" s="21" t="str">
        <f t="shared" si="102"/>
        <v/>
      </c>
    </row>
    <row r="818" ht="16.5" customHeight="1">
      <c r="J818" s="18"/>
      <c r="K818" s="19"/>
      <c r="L818" s="20"/>
      <c r="M818" s="20"/>
      <c r="N818" s="20"/>
      <c r="O818" s="20"/>
      <c r="P818" s="20"/>
      <c r="Q818" s="20"/>
      <c r="R818" s="20"/>
      <c r="S818" s="20"/>
      <c r="T818" s="20"/>
      <c r="AE818" s="21" t="str">
        <f t="shared" si="100"/>
        <v/>
      </c>
      <c r="AF818" s="21" t="str">
        <f t="shared" ref="AF818:AN818" si="823">if(not(isblank(L818)),", "&amp;L818,"")</f>
        <v/>
      </c>
      <c r="AG818" s="21" t="str">
        <f t="shared" si="823"/>
        <v/>
      </c>
      <c r="AH818" s="21" t="str">
        <f t="shared" si="823"/>
        <v/>
      </c>
      <c r="AI818" s="21" t="str">
        <f t="shared" si="823"/>
        <v/>
      </c>
      <c r="AJ818" s="21" t="str">
        <f t="shared" si="823"/>
        <v/>
      </c>
      <c r="AK818" s="21" t="str">
        <f t="shared" si="823"/>
        <v/>
      </c>
      <c r="AL818" s="21" t="str">
        <f t="shared" si="823"/>
        <v/>
      </c>
      <c r="AM818" s="21" t="str">
        <f t="shared" si="823"/>
        <v/>
      </c>
      <c r="AN818" s="21" t="str">
        <f t="shared" si="823"/>
        <v/>
      </c>
      <c r="AO818" s="21" t="str">
        <f t="shared" si="102"/>
        <v/>
      </c>
    </row>
    <row r="819" ht="16.5" customHeight="1">
      <c r="J819" s="18"/>
      <c r="K819" s="19"/>
      <c r="L819" s="20"/>
      <c r="M819" s="20"/>
      <c r="N819" s="20"/>
      <c r="O819" s="20"/>
      <c r="P819" s="20"/>
      <c r="Q819" s="20"/>
      <c r="R819" s="20"/>
      <c r="S819" s="20"/>
      <c r="T819" s="20"/>
      <c r="AE819" s="21" t="str">
        <f t="shared" si="100"/>
        <v/>
      </c>
      <c r="AF819" s="21" t="str">
        <f t="shared" ref="AF819:AN819" si="824">if(not(isblank(L819)),", "&amp;L819,"")</f>
        <v/>
      </c>
      <c r="AG819" s="21" t="str">
        <f t="shared" si="824"/>
        <v/>
      </c>
      <c r="AH819" s="21" t="str">
        <f t="shared" si="824"/>
        <v/>
      </c>
      <c r="AI819" s="21" t="str">
        <f t="shared" si="824"/>
        <v/>
      </c>
      <c r="AJ819" s="21" t="str">
        <f t="shared" si="824"/>
        <v/>
      </c>
      <c r="AK819" s="21" t="str">
        <f t="shared" si="824"/>
        <v/>
      </c>
      <c r="AL819" s="21" t="str">
        <f t="shared" si="824"/>
        <v/>
      </c>
      <c r="AM819" s="21" t="str">
        <f t="shared" si="824"/>
        <v/>
      </c>
      <c r="AN819" s="21" t="str">
        <f t="shared" si="824"/>
        <v/>
      </c>
      <c r="AO819" s="21" t="str">
        <f t="shared" si="102"/>
        <v/>
      </c>
    </row>
    <row r="820" ht="16.5" customHeight="1">
      <c r="J820" s="18"/>
      <c r="K820" s="19"/>
      <c r="L820" s="20"/>
      <c r="M820" s="20"/>
      <c r="N820" s="20"/>
      <c r="O820" s="20"/>
      <c r="P820" s="20"/>
      <c r="Q820" s="20"/>
      <c r="R820" s="20"/>
      <c r="S820" s="20"/>
      <c r="T820" s="20"/>
      <c r="AE820" s="21" t="str">
        <f t="shared" si="100"/>
        <v/>
      </c>
      <c r="AF820" s="21" t="str">
        <f t="shared" ref="AF820:AN820" si="825">if(not(isblank(L820)),", "&amp;L820,"")</f>
        <v/>
      </c>
      <c r="AG820" s="21" t="str">
        <f t="shared" si="825"/>
        <v/>
      </c>
      <c r="AH820" s="21" t="str">
        <f t="shared" si="825"/>
        <v/>
      </c>
      <c r="AI820" s="21" t="str">
        <f t="shared" si="825"/>
        <v/>
      </c>
      <c r="AJ820" s="21" t="str">
        <f t="shared" si="825"/>
        <v/>
      </c>
      <c r="AK820" s="21" t="str">
        <f t="shared" si="825"/>
        <v/>
      </c>
      <c r="AL820" s="21" t="str">
        <f t="shared" si="825"/>
        <v/>
      </c>
      <c r="AM820" s="21" t="str">
        <f t="shared" si="825"/>
        <v/>
      </c>
      <c r="AN820" s="21" t="str">
        <f t="shared" si="825"/>
        <v/>
      </c>
      <c r="AO820" s="21" t="str">
        <f t="shared" si="102"/>
        <v/>
      </c>
    </row>
    <row r="821" ht="16.5" customHeight="1">
      <c r="J821" s="18"/>
      <c r="K821" s="19"/>
      <c r="L821" s="20"/>
      <c r="M821" s="20"/>
      <c r="N821" s="20"/>
      <c r="O821" s="20"/>
      <c r="P821" s="20"/>
      <c r="Q821" s="20"/>
      <c r="R821" s="20"/>
      <c r="S821" s="20"/>
      <c r="T821" s="20"/>
      <c r="AE821" s="21" t="str">
        <f t="shared" si="100"/>
        <v/>
      </c>
      <c r="AF821" s="21" t="str">
        <f t="shared" ref="AF821:AN821" si="826">if(not(isblank(L821)),", "&amp;L821,"")</f>
        <v/>
      </c>
      <c r="AG821" s="21" t="str">
        <f t="shared" si="826"/>
        <v/>
      </c>
      <c r="AH821" s="21" t="str">
        <f t="shared" si="826"/>
        <v/>
      </c>
      <c r="AI821" s="21" t="str">
        <f t="shared" si="826"/>
        <v/>
      </c>
      <c r="AJ821" s="21" t="str">
        <f t="shared" si="826"/>
        <v/>
      </c>
      <c r="AK821" s="21" t="str">
        <f t="shared" si="826"/>
        <v/>
      </c>
      <c r="AL821" s="21" t="str">
        <f t="shared" si="826"/>
        <v/>
      </c>
      <c r="AM821" s="21" t="str">
        <f t="shared" si="826"/>
        <v/>
      </c>
      <c r="AN821" s="21" t="str">
        <f t="shared" si="826"/>
        <v/>
      </c>
      <c r="AO821" s="21" t="str">
        <f t="shared" si="102"/>
        <v/>
      </c>
    </row>
    <row r="822" ht="16.5" customHeight="1">
      <c r="J822" s="18"/>
      <c r="K822" s="19"/>
      <c r="L822" s="20"/>
      <c r="M822" s="20"/>
      <c r="N822" s="20"/>
      <c r="O822" s="20"/>
      <c r="P822" s="20"/>
      <c r="Q822" s="20"/>
      <c r="R822" s="20"/>
      <c r="S822" s="20"/>
      <c r="T822" s="20"/>
      <c r="AE822" s="21" t="str">
        <f t="shared" si="100"/>
        <v/>
      </c>
      <c r="AF822" s="21" t="str">
        <f t="shared" ref="AF822:AN822" si="827">if(not(isblank(L822)),", "&amp;L822,"")</f>
        <v/>
      </c>
      <c r="AG822" s="21" t="str">
        <f t="shared" si="827"/>
        <v/>
      </c>
      <c r="AH822" s="21" t="str">
        <f t="shared" si="827"/>
        <v/>
      </c>
      <c r="AI822" s="21" t="str">
        <f t="shared" si="827"/>
        <v/>
      </c>
      <c r="AJ822" s="21" t="str">
        <f t="shared" si="827"/>
        <v/>
      </c>
      <c r="AK822" s="21" t="str">
        <f t="shared" si="827"/>
        <v/>
      </c>
      <c r="AL822" s="21" t="str">
        <f t="shared" si="827"/>
        <v/>
      </c>
      <c r="AM822" s="21" t="str">
        <f t="shared" si="827"/>
        <v/>
      </c>
      <c r="AN822" s="21" t="str">
        <f t="shared" si="827"/>
        <v/>
      </c>
      <c r="AO822" s="21" t="str">
        <f t="shared" si="102"/>
        <v/>
      </c>
    </row>
    <row r="823" ht="16.5" customHeight="1">
      <c r="J823" s="18"/>
      <c r="K823" s="19"/>
      <c r="L823" s="20"/>
      <c r="M823" s="20"/>
      <c r="N823" s="20"/>
      <c r="O823" s="20"/>
      <c r="P823" s="20"/>
      <c r="Q823" s="20"/>
      <c r="R823" s="20"/>
      <c r="S823" s="20"/>
      <c r="T823" s="20"/>
      <c r="AE823" s="21" t="str">
        <f t="shared" si="100"/>
        <v/>
      </c>
      <c r="AF823" s="21" t="str">
        <f t="shared" ref="AF823:AN823" si="828">if(not(isblank(L823)),", "&amp;L823,"")</f>
        <v/>
      </c>
      <c r="AG823" s="21" t="str">
        <f t="shared" si="828"/>
        <v/>
      </c>
      <c r="AH823" s="21" t="str">
        <f t="shared" si="828"/>
        <v/>
      </c>
      <c r="AI823" s="21" t="str">
        <f t="shared" si="828"/>
        <v/>
      </c>
      <c r="AJ823" s="21" t="str">
        <f t="shared" si="828"/>
        <v/>
      </c>
      <c r="AK823" s="21" t="str">
        <f t="shared" si="828"/>
        <v/>
      </c>
      <c r="AL823" s="21" t="str">
        <f t="shared" si="828"/>
        <v/>
      </c>
      <c r="AM823" s="21" t="str">
        <f t="shared" si="828"/>
        <v/>
      </c>
      <c r="AN823" s="21" t="str">
        <f t="shared" si="828"/>
        <v/>
      </c>
      <c r="AO823" s="21" t="str">
        <f t="shared" si="102"/>
        <v/>
      </c>
    </row>
    <row r="824" ht="16.5" customHeight="1">
      <c r="J824" s="18"/>
      <c r="K824" s="19"/>
      <c r="L824" s="20"/>
      <c r="M824" s="20"/>
      <c r="N824" s="20"/>
      <c r="O824" s="20"/>
      <c r="P824" s="20"/>
      <c r="Q824" s="20"/>
      <c r="R824" s="20"/>
      <c r="S824" s="20"/>
      <c r="T824" s="20"/>
      <c r="AE824" s="21" t="str">
        <f t="shared" si="100"/>
        <v/>
      </c>
      <c r="AF824" s="21" t="str">
        <f t="shared" ref="AF824:AN824" si="829">if(not(isblank(L824)),", "&amp;L824,"")</f>
        <v/>
      </c>
      <c r="AG824" s="21" t="str">
        <f t="shared" si="829"/>
        <v/>
      </c>
      <c r="AH824" s="21" t="str">
        <f t="shared" si="829"/>
        <v/>
      </c>
      <c r="AI824" s="21" t="str">
        <f t="shared" si="829"/>
        <v/>
      </c>
      <c r="AJ824" s="21" t="str">
        <f t="shared" si="829"/>
        <v/>
      </c>
      <c r="AK824" s="21" t="str">
        <f t="shared" si="829"/>
        <v/>
      </c>
      <c r="AL824" s="21" t="str">
        <f t="shared" si="829"/>
        <v/>
      </c>
      <c r="AM824" s="21" t="str">
        <f t="shared" si="829"/>
        <v/>
      </c>
      <c r="AN824" s="21" t="str">
        <f t="shared" si="829"/>
        <v/>
      </c>
      <c r="AO824" s="21" t="str">
        <f t="shared" si="102"/>
        <v/>
      </c>
    </row>
    <row r="825" ht="16.5" customHeight="1">
      <c r="J825" s="18"/>
      <c r="K825" s="19"/>
      <c r="L825" s="20"/>
      <c r="M825" s="20"/>
      <c r="N825" s="20"/>
      <c r="O825" s="20"/>
      <c r="P825" s="20"/>
      <c r="Q825" s="20"/>
      <c r="R825" s="20"/>
      <c r="S825" s="20"/>
      <c r="T825" s="20"/>
      <c r="AE825" s="21" t="str">
        <f t="shared" si="100"/>
        <v/>
      </c>
      <c r="AF825" s="21" t="str">
        <f t="shared" ref="AF825:AN825" si="830">if(not(isblank(L825)),", "&amp;L825,"")</f>
        <v/>
      </c>
      <c r="AG825" s="21" t="str">
        <f t="shared" si="830"/>
        <v/>
      </c>
      <c r="AH825" s="21" t="str">
        <f t="shared" si="830"/>
        <v/>
      </c>
      <c r="AI825" s="21" t="str">
        <f t="shared" si="830"/>
        <v/>
      </c>
      <c r="AJ825" s="21" t="str">
        <f t="shared" si="830"/>
        <v/>
      </c>
      <c r="AK825" s="21" t="str">
        <f t="shared" si="830"/>
        <v/>
      </c>
      <c r="AL825" s="21" t="str">
        <f t="shared" si="830"/>
        <v/>
      </c>
      <c r="AM825" s="21" t="str">
        <f t="shared" si="830"/>
        <v/>
      </c>
      <c r="AN825" s="21" t="str">
        <f t="shared" si="830"/>
        <v/>
      </c>
      <c r="AO825" s="21" t="str">
        <f t="shared" si="102"/>
        <v/>
      </c>
    </row>
    <row r="826" ht="16.5" customHeight="1">
      <c r="J826" s="18"/>
      <c r="K826" s="19"/>
      <c r="L826" s="20"/>
      <c r="M826" s="20"/>
      <c r="N826" s="20"/>
      <c r="O826" s="20"/>
      <c r="P826" s="20"/>
      <c r="Q826" s="20"/>
      <c r="R826" s="20"/>
      <c r="S826" s="20"/>
      <c r="T826" s="20"/>
      <c r="AE826" s="21" t="str">
        <f t="shared" si="100"/>
        <v/>
      </c>
      <c r="AF826" s="21" t="str">
        <f t="shared" ref="AF826:AN826" si="831">if(not(isblank(L826)),", "&amp;L826,"")</f>
        <v/>
      </c>
      <c r="AG826" s="21" t="str">
        <f t="shared" si="831"/>
        <v/>
      </c>
      <c r="AH826" s="21" t="str">
        <f t="shared" si="831"/>
        <v/>
      </c>
      <c r="AI826" s="21" t="str">
        <f t="shared" si="831"/>
        <v/>
      </c>
      <c r="AJ826" s="21" t="str">
        <f t="shared" si="831"/>
        <v/>
      </c>
      <c r="AK826" s="21" t="str">
        <f t="shared" si="831"/>
        <v/>
      </c>
      <c r="AL826" s="21" t="str">
        <f t="shared" si="831"/>
        <v/>
      </c>
      <c r="AM826" s="21" t="str">
        <f t="shared" si="831"/>
        <v/>
      </c>
      <c r="AN826" s="21" t="str">
        <f t="shared" si="831"/>
        <v/>
      </c>
      <c r="AO826" s="21" t="str">
        <f t="shared" si="102"/>
        <v/>
      </c>
    </row>
    <row r="827" ht="16.5" customHeight="1">
      <c r="J827" s="18"/>
      <c r="K827" s="19"/>
      <c r="L827" s="20"/>
      <c r="M827" s="20"/>
      <c r="N827" s="20"/>
      <c r="O827" s="20"/>
      <c r="P827" s="20"/>
      <c r="Q827" s="20"/>
      <c r="R827" s="20"/>
      <c r="S827" s="20"/>
      <c r="T827" s="20"/>
      <c r="AE827" s="21" t="str">
        <f t="shared" si="100"/>
        <v/>
      </c>
      <c r="AF827" s="21" t="str">
        <f t="shared" ref="AF827:AN827" si="832">if(not(isblank(L827)),", "&amp;L827,"")</f>
        <v/>
      </c>
      <c r="AG827" s="21" t="str">
        <f t="shared" si="832"/>
        <v/>
      </c>
      <c r="AH827" s="21" t="str">
        <f t="shared" si="832"/>
        <v/>
      </c>
      <c r="AI827" s="21" t="str">
        <f t="shared" si="832"/>
        <v/>
      </c>
      <c r="AJ827" s="21" t="str">
        <f t="shared" si="832"/>
        <v/>
      </c>
      <c r="AK827" s="21" t="str">
        <f t="shared" si="832"/>
        <v/>
      </c>
      <c r="AL827" s="21" t="str">
        <f t="shared" si="832"/>
        <v/>
      </c>
      <c r="AM827" s="21" t="str">
        <f t="shared" si="832"/>
        <v/>
      </c>
      <c r="AN827" s="21" t="str">
        <f t="shared" si="832"/>
        <v/>
      </c>
      <c r="AO827" s="21" t="str">
        <f t="shared" si="102"/>
        <v/>
      </c>
    </row>
    <row r="828" ht="16.5" customHeight="1">
      <c r="J828" s="18"/>
      <c r="K828" s="19"/>
      <c r="L828" s="20"/>
      <c r="M828" s="20"/>
      <c r="N828" s="20"/>
      <c r="O828" s="20"/>
      <c r="P828" s="20"/>
      <c r="Q828" s="20"/>
      <c r="R828" s="20"/>
      <c r="S828" s="20"/>
      <c r="T828" s="20"/>
      <c r="AE828" s="21" t="str">
        <f t="shared" si="100"/>
        <v/>
      </c>
      <c r="AF828" s="21" t="str">
        <f t="shared" ref="AF828:AN828" si="833">if(not(isblank(L828)),", "&amp;L828,"")</f>
        <v/>
      </c>
      <c r="AG828" s="21" t="str">
        <f t="shared" si="833"/>
        <v/>
      </c>
      <c r="AH828" s="21" t="str">
        <f t="shared" si="833"/>
        <v/>
      </c>
      <c r="AI828" s="21" t="str">
        <f t="shared" si="833"/>
        <v/>
      </c>
      <c r="AJ828" s="21" t="str">
        <f t="shared" si="833"/>
        <v/>
      </c>
      <c r="AK828" s="21" t="str">
        <f t="shared" si="833"/>
        <v/>
      </c>
      <c r="AL828" s="21" t="str">
        <f t="shared" si="833"/>
        <v/>
      </c>
      <c r="AM828" s="21" t="str">
        <f t="shared" si="833"/>
        <v/>
      </c>
      <c r="AN828" s="21" t="str">
        <f t="shared" si="833"/>
        <v/>
      </c>
      <c r="AO828" s="21" t="str">
        <f t="shared" si="102"/>
        <v/>
      </c>
    </row>
    <row r="829" ht="16.5" customHeight="1">
      <c r="J829" s="18"/>
      <c r="K829" s="19"/>
      <c r="L829" s="20"/>
      <c r="M829" s="20"/>
      <c r="N829" s="20"/>
      <c r="O829" s="20"/>
      <c r="P829" s="20"/>
      <c r="Q829" s="20"/>
      <c r="R829" s="20"/>
      <c r="S829" s="20"/>
      <c r="T829" s="20"/>
      <c r="AE829" s="21" t="str">
        <f t="shared" si="100"/>
        <v/>
      </c>
      <c r="AF829" s="21" t="str">
        <f t="shared" ref="AF829:AN829" si="834">if(not(isblank(L829)),", "&amp;L829,"")</f>
        <v/>
      </c>
      <c r="AG829" s="21" t="str">
        <f t="shared" si="834"/>
        <v/>
      </c>
      <c r="AH829" s="21" t="str">
        <f t="shared" si="834"/>
        <v/>
      </c>
      <c r="AI829" s="21" t="str">
        <f t="shared" si="834"/>
        <v/>
      </c>
      <c r="AJ829" s="21" t="str">
        <f t="shared" si="834"/>
        <v/>
      </c>
      <c r="AK829" s="21" t="str">
        <f t="shared" si="834"/>
        <v/>
      </c>
      <c r="AL829" s="21" t="str">
        <f t="shared" si="834"/>
        <v/>
      </c>
      <c r="AM829" s="21" t="str">
        <f t="shared" si="834"/>
        <v/>
      </c>
      <c r="AN829" s="21" t="str">
        <f t="shared" si="834"/>
        <v/>
      </c>
      <c r="AO829" s="21" t="str">
        <f t="shared" si="102"/>
        <v/>
      </c>
    </row>
    <row r="830" ht="16.5" customHeight="1">
      <c r="J830" s="18"/>
      <c r="K830" s="19"/>
      <c r="L830" s="20"/>
      <c r="M830" s="20"/>
      <c r="N830" s="20"/>
      <c r="O830" s="20"/>
      <c r="P830" s="20"/>
      <c r="Q830" s="20"/>
      <c r="R830" s="20"/>
      <c r="S830" s="20"/>
      <c r="T830" s="20"/>
      <c r="AE830" s="21" t="str">
        <f t="shared" si="100"/>
        <v/>
      </c>
      <c r="AF830" s="21" t="str">
        <f t="shared" ref="AF830:AN830" si="835">if(not(isblank(L830)),", "&amp;L830,"")</f>
        <v/>
      </c>
      <c r="AG830" s="21" t="str">
        <f t="shared" si="835"/>
        <v/>
      </c>
      <c r="AH830" s="21" t="str">
        <f t="shared" si="835"/>
        <v/>
      </c>
      <c r="AI830" s="21" t="str">
        <f t="shared" si="835"/>
        <v/>
      </c>
      <c r="AJ830" s="21" t="str">
        <f t="shared" si="835"/>
        <v/>
      </c>
      <c r="AK830" s="21" t="str">
        <f t="shared" si="835"/>
        <v/>
      </c>
      <c r="AL830" s="21" t="str">
        <f t="shared" si="835"/>
        <v/>
      </c>
      <c r="AM830" s="21" t="str">
        <f t="shared" si="835"/>
        <v/>
      </c>
      <c r="AN830" s="21" t="str">
        <f t="shared" si="835"/>
        <v/>
      </c>
      <c r="AO830" s="21" t="str">
        <f t="shared" si="102"/>
        <v/>
      </c>
    </row>
    <row r="831" ht="16.5" customHeight="1">
      <c r="J831" s="18"/>
      <c r="K831" s="19"/>
      <c r="L831" s="20"/>
      <c r="M831" s="20"/>
      <c r="N831" s="20"/>
      <c r="O831" s="20"/>
      <c r="P831" s="20"/>
      <c r="Q831" s="20"/>
      <c r="R831" s="20"/>
      <c r="S831" s="20"/>
      <c r="T831" s="20"/>
      <c r="AE831" s="21" t="str">
        <f t="shared" si="100"/>
        <v/>
      </c>
      <c r="AF831" s="21" t="str">
        <f t="shared" ref="AF831:AN831" si="836">if(not(isblank(L831)),", "&amp;L831,"")</f>
        <v/>
      </c>
      <c r="AG831" s="21" t="str">
        <f t="shared" si="836"/>
        <v/>
      </c>
      <c r="AH831" s="21" t="str">
        <f t="shared" si="836"/>
        <v/>
      </c>
      <c r="AI831" s="21" t="str">
        <f t="shared" si="836"/>
        <v/>
      </c>
      <c r="AJ831" s="21" t="str">
        <f t="shared" si="836"/>
        <v/>
      </c>
      <c r="AK831" s="21" t="str">
        <f t="shared" si="836"/>
        <v/>
      </c>
      <c r="AL831" s="21" t="str">
        <f t="shared" si="836"/>
        <v/>
      </c>
      <c r="AM831" s="21" t="str">
        <f t="shared" si="836"/>
        <v/>
      </c>
      <c r="AN831" s="21" t="str">
        <f t="shared" si="836"/>
        <v/>
      </c>
      <c r="AO831" s="21" t="str">
        <f t="shared" si="102"/>
        <v/>
      </c>
    </row>
    <row r="832" ht="16.5" customHeight="1">
      <c r="J832" s="18"/>
      <c r="K832" s="19"/>
      <c r="L832" s="20"/>
      <c r="M832" s="20"/>
      <c r="N832" s="20"/>
      <c r="O832" s="20"/>
      <c r="P832" s="20"/>
      <c r="Q832" s="20"/>
      <c r="R832" s="20"/>
      <c r="S832" s="20"/>
      <c r="T832" s="20"/>
      <c r="AE832" s="21" t="str">
        <f t="shared" si="100"/>
        <v/>
      </c>
      <c r="AF832" s="21" t="str">
        <f t="shared" ref="AF832:AN832" si="837">if(not(isblank(L832)),", "&amp;L832,"")</f>
        <v/>
      </c>
      <c r="AG832" s="21" t="str">
        <f t="shared" si="837"/>
        <v/>
      </c>
      <c r="AH832" s="21" t="str">
        <f t="shared" si="837"/>
        <v/>
      </c>
      <c r="AI832" s="21" t="str">
        <f t="shared" si="837"/>
        <v/>
      </c>
      <c r="AJ832" s="21" t="str">
        <f t="shared" si="837"/>
        <v/>
      </c>
      <c r="AK832" s="21" t="str">
        <f t="shared" si="837"/>
        <v/>
      </c>
      <c r="AL832" s="21" t="str">
        <f t="shared" si="837"/>
        <v/>
      </c>
      <c r="AM832" s="21" t="str">
        <f t="shared" si="837"/>
        <v/>
      </c>
      <c r="AN832" s="21" t="str">
        <f t="shared" si="837"/>
        <v/>
      </c>
      <c r="AO832" s="21" t="str">
        <f t="shared" si="102"/>
        <v/>
      </c>
    </row>
    <row r="833" ht="16.5" customHeight="1">
      <c r="J833" s="18"/>
      <c r="K833" s="19"/>
      <c r="L833" s="20"/>
      <c r="M833" s="20"/>
      <c r="N833" s="20"/>
      <c r="O833" s="20"/>
      <c r="P833" s="20"/>
      <c r="Q833" s="20"/>
      <c r="R833" s="20"/>
      <c r="S833" s="20"/>
      <c r="T833" s="20"/>
      <c r="AE833" s="21" t="str">
        <f t="shared" si="100"/>
        <v/>
      </c>
      <c r="AF833" s="21" t="str">
        <f t="shared" ref="AF833:AN833" si="838">if(not(isblank(L833)),", "&amp;L833,"")</f>
        <v/>
      </c>
      <c r="AG833" s="21" t="str">
        <f t="shared" si="838"/>
        <v/>
      </c>
      <c r="AH833" s="21" t="str">
        <f t="shared" si="838"/>
        <v/>
      </c>
      <c r="AI833" s="21" t="str">
        <f t="shared" si="838"/>
        <v/>
      </c>
      <c r="AJ833" s="21" t="str">
        <f t="shared" si="838"/>
        <v/>
      </c>
      <c r="AK833" s="21" t="str">
        <f t="shared" si="838"/>
        <v/>
      </c>
      <c r="AL833" s="21" t="str">
        <f t="shared" si="838"/>
        <v/>
      </c>
      <c r="AM833" s="21" t="str">
        <f t="shared" si="838"/>
        <v/>
      </c>
      <c r="AN833" s="21" t="str">
        <f t="shared" si="838"/>
        <v/>
      </c>
      <c r="AO833" s="21" t="str">
        <f t="shared" si="102"/>
        <v/>
      </c>
    </row>
    <row r="834" ht="16.5" customHeight="1">
      <c r="J834" s="18"/>
      <c r="K834" s="19"/>
      <c r="L834" s="20"/>
      <c r="M834" s="20"/>
      <c r="N834" s="20"/>
      <c r="O834" s="20"/>
      <c r="P834" s="20"/>
      <c r="Q834" s="20"/>
      <c r="R834" s="20"/>
      <c r="S834" s="20"/>
      <c r="T834" s="20"/>
      <c r="AE834" s="21" t="str">
        <f t="shared" si="100"/>
        <v/>
      </c>
      <c r="AF834" s="21" t="str">
        <f t="shared" ref="AF834:AN834" si="839">if(not(isblank(L834)),", "&amp;L834,"")</f>
        <v/>
      </c>
      <c r="AG834" s="21" t="str">
        <f t="shared" si="839"/>
        <v/>
      </c>
      <c r="AH834" s="21" t="str">
        <f t="shared" si="839"/>
        <v/>
      </c>
      <c r="AI834" s="21" t="str">
        <f t="shared" si="839"/>
        <v/>
      </c>
      <c r="AJ834" s="21" t="str">
        <f t="shared" si="839"/>
        <v/>
      </c>
      <c r="AK834" s="21" t="str">
        <f t="shared" si="839"/>
        <v/>
      </c>
      <c r="AL834" s="21" t="str">
        <f t="shared" si="839"/>
        <v/>
      </c>
      <c r="AM834" s="21" t="str">
        <f t="shared" si="839"/>
        <v/>
      </c>
      <c r="AN834" s="21" t="str">
        <f t="shared" si="839"/>
        <v/>
      </c>
      <c r="AO834" s="21" t="str">
        <f t="shared" si="102"/>
        <v/>
      </c>
    </row>
    <row r="835" ht="16.5" customHeight="1">
      <c r="J835" s="18"/>
      <c r="K835" s="19"/>
      <c r="L835" s="20"/>
      <c r="M835" s="20"/>
      <c r="N835" s="20"/>
      <c r="O835" s="20"/>
      <c r="P835" s="20"/>
      <c r="Q835" s="20"/>
      <c r="R835" s="20"/>
      <c r="S835" s="20"/>
      <c r="T835" s="20"/>
      <c r="AE835" s="21" t="str">
        <f t="shared" si="100"/>
        <v/>
      </c>
      <c r="AF835" s="21" t="str">
        <f t="shared" ref="AF835:AN835" si="840">if(not(isblank(L835)),", "&amp;L835,"")</f>
        <v/>
      </c>
      <c r="AG835" s="21" t="str">
        <f t="shared" si="840"/>
        <v/>
      </c>
      <c r="AH835" s="21" t="str">
        <f t="shared" si="840"/>
        <v/>
      </c>
      <c r="AI835" s="21" t="str">
        <f t="shared" si="840"/>
        <v/>
      </c>
      <c r="AJ835" s="21" t="str">
        <f t="shared" si="840"/>
        <v/>
      </c>
      <c r="AK835" s="21" t="str">
        <f t="shared" si="840"/>
        <v/>
      </c>
      <c r="AL835" s="21" t="str">
        <f t="shared" si="840"/>
        <v/>
      </c>
      <c r="AM835" s="21" t="str">
        <f t="shared" si="840"/>
        <v/>
      </c>
      <c r="AN835" s="21" t="str">
        <f t="shared" si="840"/>
        <v/>
      </c>
      <c r="AO835" s="21" t="str">
        <f t="shared" si="102"/>
        <v/>
      </c>
    </row>
    <row r="836" ht="16.5" customHeight="1">
      <c r="J836" s="18"/>
      <c r="K836" s="19"/>
      <c r="L836" s="20"/>
      <c r="M836" s="20"/>
      <c r="N836" s="20"/>
      <c r="O836" s="20"/>
      <c r="P836" s="20"/>
      <c r="Q836" s="20"/>
      <c r="R836" s="20"/>
      <c r="S836" s="20"/>
      <c r="T836" s="20"/>
      <c r="AE836" s="21" t="str">
        <f t="shared" si="100"/>
        <v/>
      </c>
      <c r="AF836" s="21" t="str">
        <f t="shared" ref="AF836:AN836" si="841">if(not(isblank(L836)),", "&amp;L836,"")</f>
        <v/>
      </c>
      <c r="AG836" s="21" t="str">
        <f t="shared" si="841"/>
        <v/>
      </c>
      <c r="AH836" s="21" t="str">
        <f t="shared" si="841"/>
        <v/>
      </c>
      <c r="AI836" s="21" t="str">
        <f t="shared" si="841"/>
        <v/>
      </c>
      <c r="AJ836" s="21" t="str">
        <f t="shared" si="841"/>
        <v/>
      </c>
      <c r="AK836" s="21" t="str">
        <f t="shared" si="841"/>
        <v/>
      </c>
      <c r="AL836" s="21" t="str">
        <f t="shared" si="841"/>
        <v/>
      </c>
      <c r="AM836" s="21" t="str">
        <f t="shared" si="841"/>
        <v/>
      </c>
      <c r="AN836" s="21" t="str">
        <f t="shared" si="841"/>
        <v/>
      </c>
      <c r="AO836" s="21" t="str">
        <f t="shared" si="102"/>
        <v/>
      </c>
    </row>
    <row r="837" ht="16.5" customHeight="1">
      <c r="J837" s="18"/>
      <c r="K837" s="19"/>
      <c r="L837" s="20"/>
      <c r="M837" s="20"/>
      <c r="N837" s="20"/>
      <c r="O837" s="20"/>
      <c r="P837" s="20"/>
      <c r="Q837" s="20"/>
      <c r="R837" s="20"/>
      <c r="S837" s="20"/>
      <c r="T837" s="20"/>
      <c r="AE837" s="21" t="str">
        <f t="shared" si="100"/>
        <v/>
      </c>
      <c r="AF837" s="21" t="str">
        <f t="shared" ref="AF837:AN837" si="842">if(not(isblank(L837)),", "&amp;L837,"")</f>
        <v/>
      </c>
      <c r="AG837" s="21" t="str">
        <f t="shared" si="842"/>
        <v/>
      </c>
      <c r="AH837" s="21" t="str">
        <f t="shared" si="842"/>
        <v/>
      </c>
      <c r="AI837" s="21" t="str">
        <f t="shared" si="842"/>
        <v/>
      </c>
      <c r="AJ837" s="21" t="str">
        <f t="shared" si="842"/>
        <v/>
      </c>
      <c r="AK837" s="21" t="str">
        <f t="shared" si="842"/>
        <v/>
      </c>
      <c r="AL837" s="21" t="str">
        <f t="shared" si="842"/>
        <v/>
      </c>
      <c r="AM837" s="21" t="str">
        <f t="shared" si="842"/>
        <v/>
      </c>
      <c r="AN837" s="21" t="str">
        <f t="shared" si="842"/>
        <v/>
      </c>
      <c r="AO837" s="21" t="str">
        <f t="shared" si="102"/>
        <v/>
      </c>
    </row>
    <row r="838" ht="16.5" customHeight="1">
      <c r="J838" s="18"/>
      <c r="K838" s="19"/>
      <c r="L838" s="20"/>
      <c r="M838" s="20"/>
      <c r="N838" s="20"/>
      <c r="O838" s="20"/>
      <c r="P838" s="20"/>
      <c r="Q838" s="20"/>
      <c r="R838" s="20"/>
      <c r="S838" s="20"/>
      <c r="T838" s="20"/>
      <c r="AE838" s="21" t="str">
        <f t="shared" si="100"/>
        <v/>
      </c>
      <c r="AF838" s="21" t="str">
        <f t="shared" ref="AF838:AN838" si="843">if(not(isblank(L838)),", "&amp;L838,"")</f>
        <v/>
      </c>
      <c r="AG838" s="21" t="str">
        <f t="shared" si="843"/>
        <v/>
      </c>
      <c r="AH838" s="21" t="str">
        <f t="shared" si="843"/>
        <v/>
      </c>
      <c r="AI838" s="21" t="str">
        <f t="shared" si="843"/>
        <v/>
      </c>
      <c r="AJ838" s="21" t="str">
        <f t="shared" si="843"/>
        <v/>
      </c>
      <c r="AK838" s="21" t="str">
        <f t="shared" si="843"/>
        <v/>
      </c>
      <c r="AL838" s="21" t="str">
        <f t="shared" si="843"/>
        <v/>
      </c>
      <c r="AM838" s="21" t="str">
        <f t="shared" si="843"/>
        <v/>
      </c>
      <c r="AN838" s="21" t="str">
        <f t="shared" si="843"/>
        <v/>
      </c>
      <c r="AO838" s="21" t="str">
        <f t="shared" si="102"/>
        <v/>
      </c>
    </row>
    <row r="839" ht="16.5" customHeight="1">
      <c r="J839" s="18"/>
      <c r="K839" s="19"/>
      <c r="L839" s="20"/>
      <c r="M839" s="20"/>
      <c r="N839" s="20"/>
      <c r="O839" s="20"/>
      <c r="P839" s="20"/>
      <c r="Q839" s="20"/>
      <c r="R839" s="20"/>
      <c r="S839" s="20"/>
      <c r="T839" s="20"/>
      <c r="AE839" s="21" t="str">
        <f t="shared" si="100"/>
        <v/>
      </c>
      <c r="AF839" s="21" t="str">
        <f t="shared" ref="AF839:AN839" si="844">if(not(isblank(L839)),", "&amp;L839,"")</f>
        <v/>
      </c>
      <c r="AG839" s="21" t="str">
        <f t="shared" si="844"/>
        <v/>
      </c>
      <c r="AH839" s="21" t="str">
        <f t="shared" si="844"/>
        <v/>
      </c>
      <c r="AI839" s="21" t="str">
        <f t="shared" si="844"/>
        <v/>
      </c>
      <c r="AJ839" s="21" t="str">
        <f t="shared" si="844"/>
        <v/>
      </c>
      <c r="AK839" s="21" t="str">
        <f t="shared" si="844"/>
        <v/>
      </c>
      <c r="AL839" s="21" t="str">
        <f t="shared" si="844"/>
        <v/>
      </c>
      <c r="AM839" s="21" t="str">
        <f t="shared" si="844"/>
        <v/>
      </c>
      <c r="AN839" s="21" t="str">
        <f t="shared" si="844"/>
        <v/>
      </c>
      <c r="AO839" s="21" t="str">
        <f t="shared" si="102"/>
        <v/>
      </c>
    </row>
    <row r="840" ht="16.5" customHeight="1">
      <c r="J840" s="18"/>
      <c r="K840" s="19"/>
      <c r="L840" s="20"/>
      <c r="M840" s="20"/>
      <c r="N840" s="20"/>
      <c r="O840" s="20"/>
      <c r="P840" s="20"/>
      <c r="Q840" s="20"/>
      <c r="R840" s="20"/>
      <c r="S840" s="20"/>
      <c r="T840" s="20"/>
      <c r="AE840" s="21" t="str">
        <f t="shared" si="100"/>
        <v/>
      </c>
      <c r="AF840" s="21" t="str">
        <f t="shared" ref="AF840:AN840" si="845">if(not(isblank(L840)),", "&amp;L840,"")</f>
        <v/>
      </c>
      <c r="AG840" s="21" t="str">
        <f t="shared" si="845"/>
        <v/>
      </c>
      <c r="AH840" s="21" t="str">
        <f t="shared" si="845"/>
        <v/>
      </c>
      <c r="AI840" s="21" t="str">
        <f t="shared" si="845"/>
        <v/>
      </c>
      <c r="AJ840" s="21" t="str">
        <f t="shared" si="845"/>
        <v/>
      </c>
      <c r="AK840" s="21" t="str">
        <f t="shared" si="845"/>
        <v/>
      </c>
      <c r="AL840" s="21" t="str">
        <f t="shared" si="845"/>
        <v/>
      </c>
      <c r="AM840" s="21" t="str">
        <f t="shared" si="845"/>
        <v/>
      </c>
      <c r="AN840" s="21" t="str">
        <f t="shared" si="845"/>
        <v/>
      </c>
      <c r="AO840" s="21" t="str">
        <f t="shared" si="102"/>
        <v/>
      </c>
    </row>
    <row r="841" ht="16.5" customHeight="1">
      <c r="J841" s="18"/>
      <c r="K841" s="19"/>
      <c r="L841" s="20"/>
      <c r="M841" s="20"/>
      <c r="N841" s="20"/>
      <c r="O841" s="20"/>
      <c r="P841" s="20"/>
      <c r="Q841" s="20"/>
      <c r="R841" s="20"/>
      <c r="S841" s="20"/>
      <c r="T841" s="20"/>
      <c r="AE841" s="21" t="str">
        <f t="shared" si="100"/>
        <v/>
      </c>
      <c r="AF841" s="21" t="str">
        <f t="shared" ref="AF841:AN841" si="846">if(not(isblank(L841)),", "&amp;L841,"")</f>
        <v/>
      </c>
      <c r="AG841" s="21" t="str">
        <f t="shared" si="846"/>
        <v/>
      </c>
      <c r="AH841" s="21" t="str">
        <f t="shared" si="846"/>
        <v/>
      </c>
      <c r="AI841" s="21" t="str">
        <f t="shared" si="846"/>
        <v/>
      </c>
      <c r="AJ841" s="21" t="str">
        <f t="shared" si="846"/>
        <v/>
      </c>
      <c r="AK841" s="21" t="str">
        <f t="shared" si="846"/>
        <v/>
      </c>
      <c r="AL841" s="21" t="str">
        <f t="shared" si="846"/>
        <v/>
      </c>
      <c r="AM841" s="21" t="str">
        <f t="shared" si="846"/>
        <v/>
      </c>
      <c r="AN841" s="21" t="str">
        <f t="shared" si="846"/>
        <v/>
      </c>
      <c r="AO841" s="21" t="str">
        <f t="shared" si="102"/>
        <v/>
      </c>
    </row>
    <row r="842" ht="16.5" customHeight="1">
      <c r="J842" s="18"/>
      <c r="K842" s="19"/>
      <c r="L842" s="20"/>
      <c r="M842" s="20"/>
      <c r="N842" s="20"/>
      <c r="O842" s="20"/>
      <c r="P842" s="20"/>
      <c r="Q842" s="20"/>
      <c r="R842" s="20"/>
      <c r="S842" s="20"/>
      <c r="T842" s="20"/>
      <c r="AE842" s="21" t="str">
        <f t="shared" si="100"/>
        <v/>
      </c>
      <c r="AF842" s="21" t="str">
        <f t="shared" ref="AF842:AN842" si="847">if(not(isblank(L842)),", "&amp;L842,"")</f>
        <v/>
      </c>
      <c r="AG842" s="21" t="str">
        <f t="shared" si="847"/>
        <v/>
      </c>
      <c r="AH842" s="21" t="str">
        <f t="shared" si="847"/>
        <v/>
      </c>
      <c r="AI842" s="21" t="str">
        <f t="shared" si="847"/>
        <v/>
      </c>
      <c r="AJ842" s="21" t="str">
        <f t="shared" si="847"/>
        <v/>
      </c>
      <c r="AK842" s="21" t="str">
        <f t="shared" si="847"/>
        <v/>
      </c>
      <c r="AL842" s="21" t="str">
        <f t="shared" si="847"/>
        <v/>
      </c>
      <c r="AM842" s="21" t="str">
        <f t="shared" si="847"/>
        <v/>
      </c>
      <c r="AN842" s="21" t="str">
        <f t="shared" si="847"/>
        <v/>
      </c>
      <c r="AO842" s="21" t="str">
        <f t="shared" si="102"/>
        <v/>
      </c>
    </row>
    <row r="843" ht="16.5" customHeight="1">
      <c r="J843" s="18"/>
      <c r="K843" s="19"/>
      <c r="L843" s="20"/>
      <c r="M843" s="20"/>
      <c r="N843" s="20"/>
      <c r="O843" s="20"/>
      <c r="P843" s="20"/>
      <c r="Q843" s="20"/>
      <c r="R843" s="20"/>
      <c r="S843" s="20"/>
      <c r="T843" s="20"/>
      <c r="AE843" s="21" t="str">
        <f t="shared" si="100"/>
        <v/>
      </c>
      <c r="AF843" s="21" t="str">
        <f t="shared" ref="AF843:AN843" si="848">if(not(isblank(L843)),", "&amp;L843,"")</f>
        <v/>
      </c>
      <c r="AG843" s="21" t="str">
        <f t="shared" si="848"/>
        <v/>
      </c>
      <c r="AH843" s="21" t="str">
        <f t="shared" si="848"/>
        <v/>
      </c>
      <c r="AI843" s="21" t="str">
        <f t="shared" si="848"/>
        <v/>
      </c>
      <c r="AJ843" s="21" t="str">
        <f t="shared" si="848"/>
        <v/>
      </c>
      <c r="AK843" s="21" t="str">
        <f t="shared" si="848"/>
        <v/>
      </c>
      <c r="AL843" s="21" t="str">
        <f t="shared" si="848"/>
        <v/>
      </c>
      <c r="AM843" s="21" t="str">
        <f t="shared" si="848"/>
        <v/>
      </c>
      <c r="AN843" s="21" t="str">
        <f t="shared" si="848"/>
        <v/>
      </c>
      <c r="AO843" s="21" t="str">
        <f t="shared" si="102"/>
        <v/>
      </c>
    </row>
    <row r="844" ht="16.5" customHeight="1">
      <c r="J844" s="18"/>
      <c r="K844" s="19"/>
      <c r="L844" s="20"/>
      <c r="M844" s="20"/>
      <c r="N844" s="20"/>
      <c r="O844" s="20"/>
      <c r="P844" s="20"/>
      <c r="Q844" s="20"/>
      <c r="R844" s="20"/>
      <c r="S844" s="20"/>
      <c r="T844" s="20"/>
      <c r="AE844" s="21" t="str">
        <f t="shared" si="100"/>
        <v/>
      </c>
      <c r="AF844" s="21" t="str">
        <f t="shared" ref="AF844:AN844" si="849">if(not(isblank(L844)),", "&amp;L844,"")</f>
        <v/>
      </c>
      <c r="AG844" s="21" t="str">
        <f t="shared" si="849"/>
        <v/>
      </c>
      <c r="AH844" s="21" t="str">
        <f t="shared" si="849"/>
        <v/>
      </c>
      <c r="AI844" s="21" t="str">
        <f t="shared" si="849"/>
        <v/>
      </c>
      <c r="AJ844" s="21" t="str">
        <f t="shared" si="849"/>
        <v/>
      </c>
      <c r="AK844" s="21" t="str">
        <f t="shared" si="849"/>
        <v/>
      </c>
      <c r="AL844" s="21" t="str">
        <f t="shared" si="849"/>
        <v/>
      </c>
      <c r="AM844" s="21" t="str">
        <f t="shared" si="849"/>
        <v/>
      </c>
      <c r="AN844" s="21" t="str">
        <f t="shared" si="849"/>
        <v/>
      </c>
      <c r="AO844" s="21" t="str">
        <f t="shared" si="102"/>
        <v/>
      </c>
    </row>
    <row r="845" ht="16.5" customHeight="1">
      <c r="J845" s="18"/>
      <c r="K845" s="19"/>
      <c r="L845" s="20"/>
      <c r="M845" s="20"/>
      <c r="N845" s="20"/>
      <c r="O845" s="20"/>
      <c r="P845" s="20"/>
      <c r="Q845" s="20"/>
      <c r="R845" s="20"/>
      <c r="S845" s="20"/>
      <c r="T845" s="20"/>
      <c r="AE845" s="21" t="str">
        <f t="shared" si="100"/>
        <v/>
      </c>
      <c r="AF845" s="21" t="str">
        <f t="shared" ref="AF845:AN845" si="850">if(not(isblank(L845)),", "&amp;L845,"")</f>
        <v/>
      </c>
      <c r="AG845" s="21" t="str">
        <f t="shared" si="850"/>
        <v/>
      </c>
      <c r="AH845" s="21" t="str">
        <f t="shared" si="850"/>
        <v/>
      </c>
      <c r="AI845" s="21" t="str">
        <f t="shared" si="850"/>
        <v/>
      </c>
      <c r="AJ845" s="21" t="str">
        <f t="shared" si="850"/>
        <v/>
      </c>
      <c r="AK845" s="21" t="str">
        <f t="shared" si="850"/>
        <v/>
      </c>
      <c r="AL845" s="21" t="str">
        <f t="shared" si="850"/>
        <v/>
      </c>
      <c r="AM845" s="21" t="str">
        <f t="shared" si="850"/>
        <v/>
      </c>
      <c r="AN845" s="21" t="str">
        <f t="shared" si="850"/>
        <v/>
      </c>
      <c r="AO845" s="21" t="str">
        <f t="shared" si="102"/>
        <v/>
      </c>
    </row>
    <row r="846" ht="16.5" customHeight="1">
      <c r="J846" s="18"/>
      <c r="K846" s="19"/>
      <c r="L846" s="20"/>
      <c r="M846" s="20"/>
      <c r="N846" s="20"/>
      <c r="O846" s="20"/>
      <c r="P846" s="20"/>
      <c r="Q846" s="20"/>
      <c r="R846" s="20"/>
      <c r="S846" s="20"/>
      <c r="T846" s="20"/>
      <c r="AE846" s="21" t="str">
        <f t="shared" si="100"/>
        <v/>
      </c>
      <c r="AF846" s="21" t="str">
        <f t="shared" ref="AF846:AN846" si="851">if(not(isblank(L846)),", "&amp;L846,"")</f>
        <v/>
      </c>
      <c r="AG846" s="21" t="str">
        <f t="shared" si="851"/>
        <v/>
      </c>
      <c r="AH846" s="21" t="str">
        <f t="shared" si="851"/>
        <v/>
      </c>
      <c r="AI846" s="21" t="str">
        <f t="shared" si="851"/>
        <v/>
      </c>
      <c r="AJ846" s="21" t="str">
        <f t="shared" si="851"/>
        <v/>
      </c>
      <c r="AK846" s="21" t="str">
        <f t="shared" si="851"/>
        <v/>
      </c>
      <c r="AL846" s="21" t="str">
        <f t="shared" si="851"/>
        <v/>
      </c>
      <c r="AM846" s="21" t="str">
        <f t="shared" si="851"/>
        <v/>
      </c>
      <c r="AN846" s="21" t="str">
        <f t="shared" si="851"/>
        <v/>
      </c>
      <c r="AO846" s="21" t="str">
        <f t="shared" si="102"/>
        <v/>
      </c>
    </row>
    <row r="847" ht="16.5" customHeight="1">
      <c r="J847" s="18"/>
      <c r="K847" s="19"/>
      <c r="L847" s="20"/>
      <c r="M847" s="20"/>
      <c r="N847" s="20"/>
      <c r="O847" s="20"/>
      <c r="P847" s="20"/>
      <c r="Q847" s="20"/>
      <c r="R847" s="20"/>
      <c r="S847" s="20"/>
      <c r="T847" s="20"/>
      <c r="AE847" s="21" t="str">
        <f t="shared" si="100"/>
        <v/>
      </c>
      <c r="AF847" s="21" t="str">
        <f t="shared" ref="AF847:AN847" si="852">if(not(isblank(L847)),", "&amp;L847,"")</f>
        <v/>
      </c>
      <c r="AG847" s="21" t="str">
        <f t="shared" si="852"/>
        <v/>
      </c>
      <c r="AH847" s="21" t="str">
        <f t="shared" si="852"/>
        <v/>
      </c>
      <c r="AI847" s="21" t="str">
        <f t="shared" si="852"/>
        <v/>
      </c>
      <c r="AJ847" s="21" t="str">
        <f t="shared" si="852"/>
        <v/>
      </c>
      <c r="AK847" s="21" t="str">
        <f t="shared" si="852"/>
        <v/>
      </c>
      <c r="AL847" s="21" t="str">
        <f t="shared" si="852"/>
        <v/>
      </c>
      <c r="AM847" s="21" t="str">
        <f t="shared" si="852"/>
        <v/>
      </c>
      <c r="AN847" s="21" t="str">
        <f t="shared" si="852"/>
        <v/>
      </c>
      <c r="AO847" s="21" t="str">
        <f t="shared" si="102"/>
        <v/>
      </c>
    </row>
    <row r="848" ht="16.5" customHeight="1">
      <c r="J848" s="18"/>
      <c r="K848" s="19"/>
      <c r="L848" s="20"/>
      <c r="M848" s="20"/>
      <c r="N848" s="20"/>
      <c r="O848" s="20"/>
      <c r="P848" s="20"/>
      <c r="Q848" s="20"/>
      <c r="R848" s="20"/>
      <c r="S848" s="20"/>
      <c r="T848" s="20"/>
      <c r="AE848" s="21" t="str">
        <f t="shared" si="100"/>
        <v/>
      </c>
      <c r="AF848" s="21" t="str">
        <f t="shared" ref="AF848:AN848" si="853">if(not(isblank(L848)),", "&amp;L848,"")</f>
        <v/>
      </c>
      <c r="AG848" s="21" t="str">
        <f t="shared" si="853"/>
        <v/>
      </c>
      <c r="AH848" s="21" t="str">
        <f t="shared" si="853"/>
        <v/>
      </c>
      <c r="AI848" s="21" t="str">
        <f t="shared" si="853"/>
        <v/>
      </c>
      <c r="AJ848" s="21" t="str">
        <f t="shared" si="853"/>
        <v/>
      </c>
      <c r="AK848" s="21" t="str">
        <f t="shared" si="853"/>
        <v/>
      </c>
      <c r="AL848" s="21" t="str">
        <f t="shared" si="853"/>
        <v/>
      </c>
      <c r="AM848" s="21" t="str">
        <f t="shared" si="853"/>
        <v/>
      </c>
      <c r="AN848" s="21" t="str">
        <f t="shared" si="853"/>
        <v/>
      </c>
      <c r="AO848" s="21" t="str">
        <f t="shared" si="102"/>
        <v/>
      </c>
    </row>
    <row r="849" ht="16.5" customHeight="1">
      <c r="J849" s="18"/>
      <c r="K849" s="19"/>
      <c r="L849" s="20"/>
      <c r="M849" s="20"/>
      <c r="N849" s="20"/>
      <c r="O849" s="20"/>
      <c r="P849" s="20"/>
      <c r="Q849" s="20"/>
      <c r="R849" s="20"/>
      <c r="S849" s="20"/>
      <c r="T849" s="20"/>
      <c r="AE849" s="21" t="str">
        <f t="shared" si="100"/>
        <v/>
      </c>
      <c r="AF849" s="21" t="str">
        <f t="shared" ref="AF849:AN849" si="854">if(not(isblank(L849)),", "&amp;L849,"")</f>
        <v/>
      </c>
      <c r="AG849" s="21" t="str">
        <f t="shared" si="854"/>
        <v/>
      </c>
      <c r="AH849" s="21" t="str">
        <f t="shared" si="854"/>
        <v/>
      </c>
      <c r="AI849" s="21" t="str">
        <f t="shared" si="854"/>
        <v/>
      </c>
      <c r="AJ849" s="21" t="str">
        <f t="shared" si="854"/>
        <v/>
      </c>
      <c r="AK849" s="21" t="str">
        <f t="shared" si="854"/>
        <v/>
      </c>
      <c r="AL849" s="21" t="str">
        <f t="shared" si="854"/>
        <v/>
      </c>
      <c r="AM849" s="21" t="str">
        <f t="shared" si="854"/>
        <v/>
      </c>
      <c r="AN849" s="21" t="str">
        <f t="shared" si="854"/>
        <v/>
      </c>
      <c r="AO849" s="21" t="str">
        <f t="shared" si="102"/>
        <v/>
      </c>
    </row>
    <row r="850" ht="16.5" customHeight="1">
      <c r="J850" s="18"/>
      <c r="K850" s="19"/>
      <c r="L850" s="20"/>
      <c r="M850" s="20"/>
      <c r="N850" s="20"/>
      <c r="O850" s="20"/>
      <c r="P850" s="20"/>
      <c r="Q850" s="20"/>
      <c r="R850" s="20"/>
      <c r="S850" s="20"/>
      <c r="T850" s="20"/>
      <c r="AE850" s="21" t="str">
        <f t="shared" si="100"/>
        <v/>
      </c>
      <c r="AF850" s="21" t="str">
        <f t="shared" ref="AF850:AN850" si="855">if(not(isblank(L850)),", "&amp;L850,"")</f>
        <v/>
      </c>
      <c r="AG850" s="21" t="str">
        <f t="shared" si="855"/>
        <v/>
      </c>
      <c r="AH850" s="21" t="str">
        <f t="shared" si="855"/>
        <v/>
      </c>
      <c r="AI850" s="21" t="str">
        <f t="shared" si="855"/>
        <v/>
      </c>
      <c r="AJ850" s="21" t="str">
        <f t="shared" si="855"/>
        <v/>
      </c>
      <c r="AK850" s="21" t="str">
        <f t="shared" si="855"/>
        <v/>
      </c>
      <c r="AL850" s="21" t="str">
        <f t="shared" si="855"/>
        <v/>
      </c>
      <c r="AM850" s="21" t="str">
        <f t="shared" si="855"/>
        <v/>
      </c>
      <c r="AN850" s="21" t="str">
        <f t="shared" si="855"/>
        <v/>
      </c>
      <c r="AO850" s="21" t="str">
        <f t="shared" si="102"/>
        <v/>
      </c>
    </row>
    <row r="851" ht="16.5" customHeight="1">
      <c r="J851" s="18"/>
      <c r="K851" s="19"/>
      <c r="L851" s="20"/>
      <c r="M851" s="20"/>
      <c r="N851" s="20"/>
      <c r="O851" s="20"/>
      <c r="P851" s="20"/>
      <c r="Q851" s="20"/>
      <c r="R851" s="20"/>
      <c r="S851" s="20"/>
      <c r="T851" s="20"/>
      <c r="AE851" s="21" t="str">
        <f t="shared" si="100"/>
        <v/>
      </c>
      <c r="AF851" s="21" t="str">
        <f t="shared" ref="AF851:AN851" si="856">if(not(isblank(L851)),", "&amp;L851,"")</f>
        <v/>
      </c>
      <c r="AG851" s="21" t="str">
        <f t="shared" si="856"/>
        <v/>
      </c>
      <c r="AH851" s="21" t="str">
        <f t="shared" si="856"/>
        <v/>
      </c>
      <c r="AI851" s="21" t="str">
        <f t="shared" si="856"/>
        <v/>
      </c>
      <c r="AJ851" s="21" t="str">
        <f t="shared" si="856"/>
        <v/>
      </c>
      <c r="AK851" s="21" t="str">
        <f t="shared" si="856"/>
        <v/>
      </c>
      <c r="AL851" s="21" t="str">
        <f t="shared" si="856"/>
        <v/>
      </c>
      <c r="AM851" s="21" t="str">
        <f t="shared" si="856"/>
        <v/>
      </c>
      <c r="AN851" s="21" t="str">
        <f t="shared" si="856"/>
        <v/>
      </c>
      <c r="AO851" s="21" t="str">
        <f t="shared" si="102"/>
        <v/>
      </c>
    </row>
    <row r="852" ht="16.5" customHeight="1">
      <c r="J852" s="18"/>
      <c r="K852" s="19"/>
      <c r="L852" s="20"/>
      <c r="M852" s="20"/>
      <c r="N852" s="20"/>
      <c r="O852" s="20"/>
      <c r="P852" s="20"/>
      <c r="Q852" s="20"/>
      <c r="R852" s="20"/>
      <c r="S852" s="20"/>
      <c r="T852" s="20"/>
      <c r="AE852" s="21" t="str">
        <f t="shared" si="100"/>
        <v/>
      </c>
      <c r="AF852" s="21" t="str">
        <f t="shared" ref="AF852:AN852" si="857">if(not(isblank(L852)),", "&amp;L852,"")</f>
        <v/>
      </c>
      <c r="AG852" s="21" t="str">
        <f t="shared" si="857"/>
        <v/>
      </c>
      <c r="AH852" s="21" t="str">
        <f t="shared" si="857"/>
        <v/>
      </c>
      <c r="AI852" s="21" t="str">
        <f t="shared" si="857"/>
        <v/>
      </c>
      <c r="AJ852" s="21" t="str">
        <f t="shared" si="857"/>
        <v/>
      </c>
      <c r="AK852" s="21" t="str">
        <f t="shared" si="857"/>
        <v/>
      </c>
      <c r="AL852" s="21" t="str">
        <f t="shared" si="857"/>
        <v/>
      </c>
      <c r="AM852" s="21" t="str">
        <f t="shared" si="857"/>
        <v/>
      </c>
      <c r="AN852" s="21" t="str">
        <f t="shared" si="857"/>
        <v/>
      </c>
      <c r="AO852" s="21" t="str">
        <f t="shared" si="102"/>
        <v/>
      </c>
    </row>
    <row r="853" ht="16.5" customHeight="1">
      <c r="J853" s="18"/>
      <c r="K853" s="19"/>
      <c r="L853" s="20"/>
      <c r="M853" s="20"/>
      <c r="N853" s="20"/>
      <c r="O853" s="20"/>
      <c r="P853" s="20"/>
      <c r="Q853" s="20"/>
      <c r="R853" s="20"/>
      <c r="S853" s="20"/>
      <c r="T853" s="20"/>
      <c r="AE853" s="21" t="str">
        <f t="shared" si="100"/>
        <v/>
      </c>
      <c r="AF853" s="21" t="str">
        <f t="shared" ref="AF853:AN853" si="858">if(not(isblank(L853)),", "&amp;L853,"")</f>
        <v/>
      </c>
      <c r="AG853" s="21" t="str">
        <f t="shared" si="858"/>
        <v/>
      </c>
      <c r="AH853" s="21" t="str">
        <f t="shared" si="858"/>
        <v/>
      </c>
      <c r="AI853" s="21" t="str">
        <f t="shared" si="858"/>
        <v/>
      </c>
      <c r="AJ853" s="21" t="str">
        <f t="shared" si="858"/>
        <v/>
      </c>
      <c r="AK853" s="21" t="str">
        <f t="shared" si="858"/>
        <v/>
      </c>
      <c r="AL853" s="21" t="str">
        <f t="shared" si="858"/>
        <v/>
      </c>
      <c r="AM853" s="21" t="str">
        <f t="shared" si="858"/>
        <v/>
      </c>
      <c r="AN853" s="21" t="str">
        <f t="shared" si="858"/>
        <v/>
      </c>
      <c r="AO853" s="21" t="str">
        <f t="shared" si="102"/>
        <v/>
      </c>
    </row>
    <row r="854" ht="16.5" customHeight="1">
      <c r="J854" s="18"/>
      <c r="K854" s="19"/>
      <c r="L854" s="20"/>
      <c r="M854" s="20"/>
      <c r="N854" s="20"/>
      <c r="O854" s="20"/>
      <c r="P854" s="20"/>
      <c r="Q854" s="20"/>
      <c r="R854" s="20"/>
      <c r="S854" s="20"/>
      <c r="T854" s="20"/>
      <c r="AE854" s="21" t="str">
        <f t="shared" si="100"/>
        <v/>
      </c>
      <c r="AF854" s="21" t="str">
        <f t="shared" ref="AF854:AN854" si="859">if(not(isblank(L854)),", "&amp;L854,"")</f>
        <v/>
      </c>
      <c r="AG854" s="21" t="str">
        <f t="shared" si="859"/>
        <v/>
      </c>
      <c r="AH854" s="21" t="str">
        <f t="shared" si="859"/>
        <v/>
      </c>
      <c r="AI854" s="21" t="str">
        <f t="shared" si="859"/>
        <v/>
      </c>
      <c r="AJ854" s="21" t="str">
        <f t="shared" si="859"/>
        <v/>
      </c>
      <c r="AK854" s="21" t="str">
        <f t="shared" si="859"/>
        <v/>
      </c>
      <c r="AL854" s="21" t="str">
        <f t="shared" si="859"/>
        <v/>
      </c>
      <c r="AM854" s="21" t="str">
        <f t="shared" si="859"/>
        <v/>
      </c>
      <c r="AN854" s="21" t="str">
        <f t="shared" si="859"/>
        <v/>
      </c>
      <c r="AO854" s="21" t="str">
        <f t="shared" si="102"/>
        <v/>
      </c>
    </row>
    <row r="855" ht="16.5" customHeight="1">
      <c r="J855" s="18"/>
      <c r="K855" s="19"/>
      <c r="L855" s="20"/>
      <c r="M855" s="20"/>
      <c r="N855" s="20"/>
      <c r="O855" s="20"/>
      <c r="P855" s="20"/>
      <c r="Q855" s="20"/>
      <c r="R855" s="20"/>
      <c r="S855" s="20"/>
      <c r="T855" s="20"/>
      <c r="AE855" s="21" t="str">
        <f t="shared" si="100"/>
        <v/>
      </c>
      <c r="AF855" s="21" t="str">
        <f t="shared" ref="AF855:AN855" si="860">if(not(isblank(L855)),", "&amp;L855,"")</f>
        <v/>
      </c>
      <c r="AG855" s="21" t="str">
        <f t="shared" si="860"/>
        <v/>
      </c>
      <c r="AH855" s="21" t="str">
        <f t="shared" si="860"/>
        <v/>
      </c>
      <c r="AI855" s="21" t="str">
        <f t="shared" si="860"/>
        <v/>
      </c>
      <c r="AJ855" s="21" t="str">
        <f t="shared" si="860"/>
        <v/>
      </c>
      <c r="AK855" s="21" t="str">
        <f t="shared" si="860"/>
        <v/>
      </c>
      <c r="AL855" s="21" t="str">
        <f t="shared" si="860"/>
        <v/>
      </c>
      <c r="AM855" s="21" t="str">
        <f t="shared" si="860"/>
        <v/>
      </c>
      <c r="AN855" s="21" t="str">
        <f t="shared" si="860"/>
        <v/>
      </c>
      <c r="AO855" s="21" t="str">
        <f t="shared" si="102"/>
        <v/>
      </c>
    </row>
    <row r="856" ht="16.5" customHeight="1">
      <c r="J856" s="18"/>
      <c r="K856" s="19"/>
      <c r="L856" s="20"/>
      <c r="M856" s="20"/>
      <c r="N856" s="20"/>
      <c r="O856" s="20"/>
      <c r="P856" s="20"/>
      <c r="Q856" s="20"/>
      <c r="R856" s="20"/>
      <c r="S856" s="20"/>
      <c r="T856" s="20"/>
      <c r="AE856" s="21" t="str">
        <f t="shared" si="100"/>
        <v/>
      </c>
      <c r="AF856" s="21" t="str">
        <f t="shared" ref="AF856:AN856" si="861">if(not(isblank(L856)),", "&amp;L856,"")</f>
        <v/>
      </c>
      <c r="AG856" s="21" t="str">
        <f t="shared" si="861"/>
        <v/>
      </c>
      <c r="AH856" s="21" t="str">
        <f t="shared" si="861"/>
        <v/>
      </c>
      <c r="AI856" s="21" t="str">
        <f t="shared" si="861"/>
        <v/>
      </c>
      <c r="AJ856" s="21" t="str">
        <f t="shared" si="861"/>
        <v/>
      </c>
      <c r="AK856" s="21" t="str">
        <f t="shared" si="861"/>
        <v/>
      </c>
      <c r="AL856" s="21" t="str">
        <f t="shared" si="861"/>
        <v/>
      </c>
      <c r="AM856" s="21" t="str">
        <f t="shared" si="861"/>
        <v/>
      </c>
      <c r="AN856" s="21" t="str">
        <f t="shared" si="861"/>
        <v/>
      </c>
      <c r="AO856" s="21" t="str">
        <f t="shared" si="102"/>
        <v/>
      </c>
    </row>
    <row r="857" ht="16.5" customHeight="1">
      <c r="J857" s="18"/>
      <c r="K857" s="19"/>
      <c r="L857" s="20"/>
      <c r="M857" s="20"/>
      <c r="N857" s="20"/>
      <c r="O857" s="20"/>
      <c r="P857" s="20"/>
      <c r="Q857" s="20"/>
      <c r="R857" s="20"/>
      <c r="S857" s="20"/>
      <c r="T857" s="20"/>
      <c r="AE857" s="21" t="str">
        <f t="shared" si="100"/>
        <v/>
      </c>
      <c r="AF857" s="21" t="str">
        <f t="shared" ref="AF857:AN857" si="862">if(not(isblank(L857)),", "&amp;L857,"")</f>
        <v/>
      </c>
      <c r="AG857" s="21" t="str">
        <f t="shared" si="862"/>
        <v/>
      </c>
      <c r="AH857" s="21" t="str">
        <f t="shared" si="862"/>
        <v/>
      </c>
      <c r="AI857" s="21" t="str">
        <f t="shared" si="862"/>
        <v/>
      </c>
      <c r="AJ857" s="21" t="str">
        <f t="shared" si="862"/>
        <v/>
      </c>
      <c r="AK857" s="21" t="str">
        <f t="shared" si="862"/>
        <v/>
      </c>
      <c r="AL857" s="21" t="str">
        <f t="shared" si="862"/>
        <v/>
      </c>
      <c r="AM857" s="21" t="str">
        <f t="shared" si="862"/>
        <v/>
      </c>
      <c r="AN857" s="21" t="str">
        <f t="shared" si="862"/>
        <v/>
      </c>
      <c r="AO857" s="21" t="str">
        <f t="shared" si="102"/>
        <v/>
      </c>
    </row>
    <row r="858" ht="16.5" customHeight="1">
      <c r="J858" s="18"/>
      <c r="K858" s="19"/>
      <c r="L858" s="20"/>
      <c r="M858" s="20"/>
      <c r="N858" s="20"/>
      <c r="O858" s="20"/>
      <c r="P858" s="20"/>
      <c r="Q858" s="20"/>
      <c r="R858" s="20"/>
      <c r="S858" s="20"/>
      <c r="T858" s="20"/>
      <c r="AE858" s="21" t="str">
        <f t="shared" si="100"/>
        <v/>
      </c>
      <c r="AF858" s="21" t="str">
        <f t="shared" ref="AF858:AN858" si="863">if(not(isblank(L858)),", "&amp;L858,"")</f>
        <v/>
      </c>
      <c r="AG858" s="21" t="str">
        <f t="shared" si="863"/>
        <v/>
      </c>
      <c r="AH858" s="21" t="str">
        <f t="shared" si="863"/>
        <v/>
      </c>
      <c r="AI858" s="21" t="str">
        <f t="shared" si="863"/>
        <v/>
      </c>
      <c r="AJ858" s="21" t="str">
        <f t="shared" si="863"/>
        <v/>
      </c>
      <c r="AK858" s="21" t="str">
        <f t="shared" si="863"/>
        <v/>
      </c>
      <c r="AL858" s="21" t="str">
        <f t="shared" si="863"/>
        <v/>
      </c>
      <c r="AM858" s="21" t="str">
        <f t="shared" si="863"/>
        <v/>
      </c>
      <c r="AN858" s="21" t="str">
        <f t="shared" si="863"/>
        <v/>
      </c>
      <c r="AO858" s="21" t="str">
        <f t="shared" si="102"/>
        <v/>
      </c>
    </row>
    <row r="859" ht="16.5" customHeight="1">
      <c r="J859" s="18"/>
      <c r="K859" s="19"/>
      <c r="L859" s="20"/>
      <c r="M859" s="20"/>
      <c r="N859" s="20"/>
      <c r="O859" s="20"/>
      <c r="P859" s="20"/>
      <c r="Q859" s="20"/>
      <c r="R859" s="20"/>
      <c r="S859" s="20"/>
      <c r="T859" s="20"/>
      <c r="AE859" s="21" t="str">
        <f t="shared" si="100"/>
        <v/>
      </c>
      <c r="AF859" s="21" t="str">
        <f t="shared" ref="AF859:AN859" si="864">if(not(isblank(L859)),", "&amp;L859,"")</f>
        <v/>
      </c>
      <c r="AG859" s="21" t="str">
        <f t="shared" si="864"/>
        <v/>
      </c>
      <c r="AH859" s="21" t="str">
        <f t="shared" si="864"/>
        <v/>
      </c>
      <c r="AI859" s="21" t="str">
        <f t="shared" si="864"/>
        <v/>
      </c>
      <c r="AJ859" s="21" t="str">
        <f t="shared" si="864"/>
        <v/>
      </c>
      <c r="AK859" s="21" t="str">
        <f t="shared" si="864"/>
        <v/>
      </c>
      <c r="AL859" s="21" t="str">
        <f t="shared" si="864"/>
        <v/>
      </c>
      <c r="AM859" s="21" t="str">
        <f t="shared" si="864"/>
        <v/>
      </c>
      <c r="AN859" s="21" t="str">
        <f t="shared" si="864"/>
        <v/>
      </c>
      <c r="AO859" s="21" t="str">
        <f t="shared" si="102"/>
        <v/>
      </c>
    </row>
    <row r="860" ht="16.5" customHeight="1">
      <c r="J860" s="18"/>
      <c r="K860" s="19"/>
      <c r="L860" s="20"/>
      <c r="M860" s="20"/>
      <c r="N860" s="20"/>
      <c r="O860" s="20"/>
      <c r="P860" s="20"/>
      <c r="Q860" s="20"/>
      <c r="R860" s="20"/>
      <c r="S860" s="20"/>
      <c r="T860" s="20"/>
      <c r="AE860" s="21" t="str">
        <f t="shared" si="100"/>
        <v/>
      </c>
      <c r="AF860" s="21" t="str">
        <f t="shared" ref="AF860:AN860" si="865">if(not(isblank(L860)),", "&amp;L860,"")</f>
        <v/>
      </c>
      <c r="AG860" s="21" t="str">
        <f t="shared" si="865"/>
        <v/>
      </c>
      <c r="AH860" s="21" t="str">
        <f t="shared" si="865"/>
        <v/>
      </c>
      <c r="AI860" s="21" t="str">
        <f t="shared" si="865"/>
        <v/>
      </c>
      <c r="AJ860" s="21" t="str">
        <f t="shared" si="865"/>
        <v/>
      </c>
      <c r="AK860" s="21" t="str">
        <f t="shared" si="865"/>
        <v/>
      </c>
      <c r="AL860" s="21" t="str">
        <f t="shared" si="865"/>
        <v/>
      </c>
      <c r="AM860" s="21" t="str">
        <f t="shared" si="865"/>
        <v/>
      </c>
      <c r="AN860" s="21" t="str">
        <f t="shared" si="865"/>
        <v/>
      </c>
      <c r="AO860" s="21" t="str">
        <f t="shared" si="102"/>
        <v/>
      </c>
    </row>
    <row r="861" ht="16.5" customHeight="1">
      <c r="J861" s="18"/>
      <c r="K861" s="19"/>
      <c r="L861" s="20"/>
      <c r="M861" s="20"/>
      <c r="N861" s="20"/>
      <c r="O861" s="20"/>
      <c r="P861" s="20"/>
      <c r="Q861" s="20"/>
      <c r="R861" s="20"/>
      <c r="S861" s="20"/>
      <c r="T861" s="20"/>
      <c r="AE861" s="21" t="str">
        <f t="shared" si="100"/>
        <v/>
      </c>
      <c r="AF861" s="21" t="str">
        <f t="shared" ref="AF861:AN861" si="866">if(not(isblank(L861)),", "&amp;L861,"")</f>
        <v/>
      </c>
      <c r="AG861" s="21" t="str">
        <f t="shared" si="866"/>
        <v/>
      </c>
      <c r="AH861" s="21" t="str">
        <f t="shared" si="866"/>
        <v/>
      </c>
      <c r="AI861" s="21" t="str">
        <f t="shared" si="866"/>
        <v/>
      </c>
      <c r="AJ861" s="21" t="str">
        <f t="shared" si="866"/>
        <v/>
      </c>
      <c r="AK861" s="21" t="str">
        <f t="shared" si="866"/>
        <v/>
      </c>
      <c r="AL861" s="21" t="str">
        <f t="shared" si="866"/>
        <v/>
      </c>
      <c r="AM861" s="21" t="str">
        <f t="shared" si="866"/>
        <v/>
      </c>
      <c r="AN861" s="21" t="str">
        <f t="shared" si="866"/>
        <v/>
      </c>
      <c r="AO861" s="21" t="str">
        <f t="shared" si="102"/>
        <v/>
      </c>
    </row>
    <row r="862" ht="16.5" customHeight="1">
      <c r="J862" s="18"/>
      <c r="K862" s="19"/>
      <c r="L862" s="20"/>
      <c r="M862" s="20"/>
      <c r="N862" s="20"/>
      <c r="O862" s="20"/>
      <c r="P862" s="20"/>
      <c r="Q862" s="20"/>
      <c r="R862" s="20"/>
      <c r="S862" s="20"/>
      <c r="T862" s="20"/>
      <c r="AE862" s="21" t="str">
        <f t="shared" si="100"/>
        <v/>
      </c>
      <c r="AF862" s="21" t="str">
        <f t="shared" ref="AF862:AN862" si="867">if(not(isblank(L862)),", "&amp;L862,"")</f>
        <v/>
      </c>
      <c r="AG862" s="21" t="str">
        <f t="shared" si="867"/>
        <v/>
      </c>
      <c r="AH862" s="21" t="str">
        <f t="shared" si="867"/>
        <v/>
      </c>
      <c r="AI862" s="21" t="str">
        <f t="shared" si="867"/>
        <v/>
      </c>
      <c r="AJ862" s="21" t="str">
        <f t="shared" si="867"/>
        <v/>
      </c>
      <c r="AK862" s="21" t="str">
        <f t="shared" si="867"/>
        <v/>
      </c>
      <c r="AL862" s="21" t="str">
        <f t="shared" si="867"/>
        <v/>
      </c>
      <c r="AM862" s="21" t="str">
        <f t="shared" si="867"/>
        <v/>
      </c>
      <c r="AN862" s="21" t="str">
        <f t="shared" si="867"/>
        <v/>
      </c>
      <c r="AO862" s="21" t="str">
        <f t="shared" si="102"/>
        <v/>
      </c>
    </row>
    <row r="863" ht="16.5" customHeight="1">
      <c r="J863" s="18"/>
      <c r="K863" s="19"/>
      <c r="L863" s="20"/>
      <c r="M863" s="20"/>
      <c r="N863" s="20"/>
      <c r="O863" s="20"/>
      <c r="P863" s="20"/>
      <c r="Q863" s="20"/>
      <c r="R863" s="20"/>
      <c r="S863" s="20"/>
      <c r="T863" s="20"/>
      <c r="AE863" s="21" t="str">
        <f t="shared" si="100"/>
        <v/>
      </c>
      <c r="AF863" s="21" t="str">
        <f t="shared" ref="AF863:AN863" si="868">if(not(isblank(L863)),", "&amp;L863,"")</f>
        <v/>
      </c>
      <c r="AG863" s="21" t="str">
        <f t="shared" si="868"/>
        <v/>
      </c>
      <c r="AH863" s="21" t="str">
        <f t="shared" si="868"/>
        <v/>
      </c>
      <c r="AI863" s="21" t="str">
        <f t="shared" si="868"/>
        <v/>
      </c>
      <c r="AJ863" s="21" t="str">
        <f t="shared" si="868"/>
        <v/>
      </c>
      <c r="AK863" s="21" t="str">
        <f t="shared" si="868"/>
        <v/>
      </c>
      <c r="AL863" s="21" t="str">
        <f t="shared" si="868"/>
        <v/>
      </c>
      <c r="AM863" s="21" t="str">
        <f t="shared" si="868"/>
        <v/>
      </c>
      <c r="AN863" s="21" t="str">
        <f t="shared" si="868"/>
        <v/>
      </c>
      <c r="AO863" s="21" t="str">
        <f t="shared" si="102"/>
        <v/>
      </c>
    </row>
    <row r="864" ht="16.5" customHeight="1">
      <c r="J864" s="18"/>
      <c r="K864" s="19"/>
      <c r="L864" s="20"/>
      <c r="M864" s="20"/>
      <c r="N864" s="20"/>
      <c r="O864" s="20"/>
      <c r="P864" s="20"/>
      <c r="Q864" s="20"/>
      <c r="R864" s="20"/>
      <c r="S864" s="20"/>
      <c r="T864" s="20"/>
      <c r="AE864" s="21" t="str">
        <f t="shared" si="100"/>
        <v/>
      </c>
      <c r="AF864" s="21" t="str">
        <f t="shared" ref="AF864:AN864" si="869">if(not(isblank(L864)),", "&amp;L864,"")</f>
        <v/>
      </c>
      <c r="AG864" s="21" t="str">
        <f t="shared" si="869"/>
        <v/>
      </c>
      <c r="AH864" s="21" t="str">
        <f t="shared" si="869"/>
        <v/>
      </c>
      <c r="AI864" s="21" t="str">
        <f t="shared" si="869"/>
        <v/>
      </c>
      <c r="AJ864" s="21" t="str">
        <f t="shared" si="869"/>
        <v/>
      </c>
      <c r="AK864" s="21" t="str">
        <f t="shared" si="869"/>
        <v/>
      </c>
      <c r="AL864" s="21" t="str">
        <f t="shared" si="869"/>
        <v/>
      </c>
      <c r="AM864" s="21" t="str">
        <f t="shared" si="869"/>
        <v/>
      </c>
      <c r="AN864" s="21" t="str">
        <f t="shared" si="869"/>
        <v/>
      </c>
      <c r="AO864" s="21" t="str">
        <f t="shared" si="102"/>
        <v/>
      </c>
    </row>
    <row r="865" ht="16.5" customHeight="1">
      <c r="J865" s="18"/>
      <c r="K865" s="19"/>
      <c r="L865" s="20"/>
      <c r="M865" s="20"/>
      <c r="N865" s="20"/>
      <c r="O865" s="20"/>
      <c r="P865" s="20"/>
      <c r="Q865" s="20"/>
      <c r="R865" s="20"/>
      <c r="S865" s="20"/>
      <c r="T865" s="20"/>
      <c r="AE865" s="21" t="str">
        <f t="shared" si="100"/>
        <v/>
      </c>
      <c r="AF865" s="21" t="str">
        <f t="shared" ref="AF865:AN865" si="870">if(not(isblank(L865)),", "&amp;L865,"")</f>
        <v/>
      </c>
      <c r="AG865" s="21" t="str">
        <f t="shared" si="870"/>
        <v/>
      </c>
      <c r="AH865" s="21" t="str">
        <f t="shared" si="870"/>
        <v/>
      </c>
      <c r="AI865" s="21" t="str">
        <f t="shared" si="870"/>
        <v/>
      </c>
      <c r="AJ865" s="21" t="str">
        <f t="shared" si="870"/>
        <v/>
      </c>
      <c r="AK865" s="21" t="str">
        <f t="shared" si="870"/>
        <v/>
      </c>
      <c r="AL865" s="21" t="str">
        <f t="shared" si="870"/>
        <v/>
      </c>
      <c r="AM865" s="21" t="str">
        <f t="shared" si="870"/>
        <v/>
      </c>
      <c r="AN865" s="21" t="str">
        <f t="shared" si="870"/>
        <v/>
      </c>
      <c r="AO865" s="21" t="str">
        <f t="shared" si="102"/>
        <v/>
      </c>
    </row>
    <row r="866" ht="16.5" customHeight="1">
      <c r="J866" s="18"/>
      <c r="K866" s="19"/>
      <c r="L866" s="20"/>
      <c r="M866" s="20"/>
      <c r="N866" s="20"/>
      <c r="O866" s="20"/>
      <c r="P866" s="20"/>
      <c r="Q866" s="20"/>
      <c r="R866" s="20"/>
      <c r="S866" s="20"/>
      <c r="T866" s="20"/>
      <c r="AE866" s="21" t="str">
        <f t="shared" si="100"/>
        <v/>
      </c>
      <c r="AF866" s="21" t="str">
        <f t="shared" ref="AF866:AN866" si="871">if(not(isblank(L866)),", "&amp;L866,"")</f>
        <v/>
      </c>
      <c r="AG866" s="21" t="str">
        <f t="shared" si="871"/>
        <v/>
      </c>
      <c r="AH866" s="21" t="str">
        <f t="shared" si="871"/>
        <v/>
      </c>
      <c r="AI866" s="21" t="str">
        <f t="shared" si="871"/>
        <v/>
      </c>
      <c r="AJ866" s="21" t="str">
        <f t="shared" si="871"/>
        <v/>
      </c>
      <c r="AK866" s="21" t="str">
        <f t="shared" si="871"/>
        <v/>
      </c>
      <c r="AL866" s="21" t="str">
        <f t="shared" si="871"/>
        <v/>
      </c>
      <c r="AM866" s="21" t="str">
        <f t="shared" si="871"/>
        <v/>
      </c>
      <c r="AN866" s="21" t="str">
        <f t="shared" si="871"/>
        <v/>
      </c>
      <c r="AO866" s="21" t="str">
        <f t="shared" si="102"/>
        <v/>
      </c>
    </row>
    <row r="867" ht="16.5" customHeight="1">
      <c r="J867" s="18"/>
      <c r="K867" s="19"/>
      <c r="L867" s="20"/>
      <c r="M867" s="20"/>
      <c r="N867" s="20"/>
      <c r="O867" s="20"/>
      <c r="P867" s="20"/>
      <c r="Q867" s="20"/>
      <c r="R867" s="20"/>
      <c r="S867" s="20"/>
      <c r="T867" s="20"/>
      <c r="AE867" s="21" t="str">
        <f t="shared" si="100"/>
        <v/>
      </c>
      <c r="AF867" s="21" t="str">
        <f t="shared" ref="AF867:AN867" si="872">if(not(isblank(L867)),", "&amp;L867,"")</f>
        <v/>
      </c>
      <c r="AG867" s="21" t="str">
        <f t="shared" si="872"/>
        <v/>
      </c>
      <c r="AH867" s="21" t="str">
        <f t="shared" si="872"/>
        <v/>
      </c>
      <c r="AI867" s="21" t="str">
        <f t="shared" si="872"/>
        <v/>
      </c>
      <c r="AJ867" s="21" t="str">
        <f t="shared" si="872"/>
        <v/>
      </c>
      <c r="AK867" s="21" t="str">
        <f t="shared" si="872"/>
        <v/>
      </c>
      <c r="AL867" s="21" t="str">
        <f t="shared" si="872"/>
        <v/>
      </c>
      <c r="AM867" s="21" t="str">
        <f t="shared" si="872"/>
        <v/>
      </c>
      <c r="AN867" s="21" t="str">
        <f t="shared" si="872"/>
        <v/>
      </c>
      <c r="AO867" s="21" t="str">
        <f t="shared" si="102"/>
        <v/>
      </c>
    </row>
    <row r="868" ht="16.5" customHeight="1">
      <c r="J868" s="18"/>
      <c r="K868" s="19"/>
      <c r="L868" s="20"/>
      <c r="M868" s="20"/>
      <c r="N868" s="20"/>
      <c r="O868" s="20"/>
      <c r="P868" s="20"/>
      <c r="Q868" s="20"/>
      <c r="R868" s="20"/>
      <c r="S868" s="20"/>
      <c r="T868" s="20"/>
      <c r="AE868" s="21" t="str">
        <f t="shared" si="100"/>
        <v/>
      </c>
      <c r="AF868" s="21" t="str">
        <f t="shared" ref="AF868:AN868" si="873">if(not(isblank(L868)),", "&amp;L868,"")</f>
        <v/>
      </c>
      <c r="AG868" s="21" t="str">
        <f t="shared" si="873"/>
        <v/>
      </c>
      <c r="AH868" s="21" t="str">
        <f t="shared" si="873"/>
        <v/>
      </c>
      <c r="AI868" s="21" t="str">
        <f t="shared" si="873"/>
        <v/>
      </c>
      <c r="AJ868" s="21" t="str">
        <f t="shared" si="873"/>
        <v/>
      </c>
      <c r="AK868" s="21" t="str">
        <f t="shared" si="873"/>
        <v/>
      </c>
      <c r="AL868" s="21" t="str">
        <f t="shared" si="873"/>
        <v/>
      </c>
      <c r="AM868" s="21" t="str">
        <f t="shared" si="873"/>
        <v/>
      </c>
      <c r="AN868" s="21" t="str">
        <f t="shared" si="873"/>
        <v/>
      </c>
      <c r="AO868" s="21" t="str">
        <f t="shared" si="102"/>
        <v/>
      </c>
    </row>
    <row r="869" ht="16.5" customHeight="1">
      <c r="J869" s="18"/>
      <c r="K869" s="19"/>
      <c r="L869" s="20"/>
      <c r="M869" s="20"/>
      <c r="N869" s="20"/>
      <c r="O869" s="20"/>
      <c r="P869" s="20"/>
      <c r="Q869" s="20"/>
      <c r="R869" s="20"/>
      <c r="S869" s="20"/>
      <c r="T869" s="20"/>
      <c r="AE869" s="21" t="str">
        <f t="shared" si="100"/>
        <v/>
      </c>
      <c r="AF869" s="21" t="str">
        <f t="shared" ref="AF869:AN869" si="874">if(not(isblank(L869)),", "&amp;L869,"")</f>
        <v/>
      </c>
      <c r="AG869" s="21" t="str">
        <f t="shared" si="874"/>
        <v/>
      </c>
      <c r="AH869" s="21" t="str">
        <f t="shared" si="874"/>
        <v/>
      </c>
      <c r="AI869" s="21" t="str">
        <f t="shared" si="874"/>
        <v/>
      </c>
      <c r="AJ869" s="21" t="str">
        <f t="shared" si="874"/>
        <v/>
      </c>
      <c r="AK869" s="21" t="str">
        <f t="shared" si="874"/>
        <v/>
      </c>
      <c r="AL869" s="21" t="str">
        <f t="shared" si="874"/>
        <v/>
      </c>
      <c r="AM869" s="21" t="str">
        <f t="shared" si="874"/>
        <v/>
      </c>
      <c r="AN869" s="21" t="str">
        <f t="shared" si="874"/>
        <v/>
      </c>
      <c r="AO869" s="21" t="str">
        <f t="shared" si="102"/>
        <v/>
      </c>
    </row>
    <row r="870" ht="16.5" customHeight="1">
      <c r="J870" s="18"/>
      <c r="K870" s="19"/>
      <c r="L870" s="20"/>
      <c r="M870" s="20"/>
      <c r="N870" s="20"/>
      <c r="O870" s="20"/>
      <c r="P870" s="20"/>
      <c r="Q870" s="20"/>
      <c r="R870" s="20"/>
      <c r="S870" s="20"/>
      <c r="T870" s="20"/>
      <c r="AE870" s="21" t="str">
        <f t="shared" si="100"/>
        <v/>
      </c>
      <c r="AF870" s="21" t="str">
        <f t="shared" ref="AF870:AN870" si="875">if(not(isblank(L870)),", "&amp;L870,"")</f>
        <v/>
      </c>
      <c r="AG870" s="21" t="str">
        <f t="shared" si="875"/>
        <v/>
      </c>
      <c r="AH870" s="21" t="str">
        <f t="shared" si="875"/>
        <v/>
      </c>
      <c r="AI870" s="21" t="str">
        <f t="shared" si="875"/>
        <v/>
      </c>
      <c r="AJ870" s="21" t="str">
        <f t="shared" si="875"/>
        <v/>
      </c>
      <c r="AK870" s="21" t="str">
        <f t="shared" si="875"/>
        <v/>
      </c>
      <c r="AL870" s="21" t="str">
        <f t="shared" si="875"/>
        <v/>
      </c>
      <c r="AM870" s="21" t="str">
        <f t="shared" si="875"/>
        <v/>
      </c>
      <c r="AN870" s="21" t="str">
        <f t="shared" si="875"/>
        <v/>
      </c>
      <c r="AO870" s="21" t="str">
        <f t="shared" si="102"/>
        <v/>
      </c>
    </row>
    <row r="871" ht="16.5" customHeight="1">
      <c r="J871" s="18"/>
      <c r="K871" s="19"/>
      <c r="L871" s="20"/>
      <c r="M871" s="20"/>
      <c r="N871" s="20"/>
      <c r="O871" s="20"/>
      <c r="P871" s="20"/>
      <c r="Q871" s="20"/>
      <c r="R871" s="20"/>
      <c r="S871" s="20"/>
      <c r="T871" s="20"/>
      <c r="AE871" s="21" t="str">
        <f t="shared" si="100"/>
        <v/>
      </c>
      <c r="AF871" s="21" t="str">
        <f t="shared" ref="AF871:AN871" si="876">if(not(isblank(L871)),", "&amp;L871,"")</f>
        <v/>
      </c>
      <c r="AG871" s="21" t="str">
        <f t="shared" si="876"/>
        <v/>
      </c>
      <c r="AH871" s="21" t="str">
        <f t="shared" si="876"/>
        <v/>
      </c>
      <c r="AI871" s="21" t="str">
        <f t="shared" si="876"/>
        <v/>
      </c>
      <c r="AJ871" s="21" t="str">
        <f t="shared" si="876"/>
        <v/>
      </c>
      <c r="AK871" s="21" t="str">
        <f t="shared" si="876"/>
        <v/>
      </c>
      <c r="AL871" s="21" t="str">
        <f t="shared" si="876"/>
        <v/>
      </c>
      <c r="AM871" s="21" t="str">
        <f t="shared" si="876"/>
        <v/>
      </c>
      <c r="AN871" s="21" t="str">
        <f t="shared" si="876"/>
        <v/>
      </c>
      <c r="AO871" s="21" t="str">
        <f t="shared" si="102"/>
        <v/>
      </c>
    </row>
    <row r="872" ht="16.5" customHeight="1">
      <c r="J872" s="18"/>
      <c r="K872" s="19"/>
      <c r="L872" s="20"/>
      <c r="M872" s="20"/>
      <c r="N872" s="20"/>
      <c r="O872" s="20"/>
      <c r="P872" s="20"/>
      <c r="Q872" s="20"/>
      <c r="R872" s="20"/>
      <c r="S872" s="20"/>
      <c r="T872" s="20"/>
      <c r="AE872" s="21" t="str">
        <f t="shared" si="100"/>
        <v/>
      </c>
      <c r="AF872" s="21" t="str">
        <f t="shared" ref="AF872:AN872" si="877">if(not(isblank(L872)),", "&amp;L872,"")</f>
        <v/>
      </c>
      <c r="AG872" s="21" t="str">
        <f t="shared" si="877"/>
        <v/>
      </c>
      <c r="AH872" s="21" t="str">
        <f t="shared" si="877"/>
        <v/>
      </c>
      <c r="AI872" s="21" t="str">
        <f t="shared" si="877"/>
        <v/>
      </c>
      <c r="AJ872" s="21" t="str">
        <f t="shared" si="877"/>
        <v/>
      </c>
      <c r="AK872" s="21" t="str">
        <f t="shared" si="877"/>
        <v/>
      </c>
      <c r="AL872" s="21" t="str">
        <f t="shared" si="877"/>
        <v/>
      </c>
      <c r="AM872" s="21" t="str">
        <f t="shared" si="877"/>
        <v/>
      </c>
      <c r="AN872" s="21" t="str">
        <f t="shared" si="877"/>
        <v/>
      </c>
      <c r="AO872" s="21" t="str">
        <f t="shared" si="102"/>
        <v/>
      </c>
    </row>
    <row r="873" ht="16.5" customHeight="1">
      <c r="J873" s="18"/>
      <c r="K873" s="19"/>
      <c r="L873" s="20"/>
      <c r="M873" s="20"/>
      <c r="N873" s="20"/>
      <c r="O873" s="20"/>
      <c r="P873" s="20"/>
      <c r="Q873" s="20"/>
      <c r="R873" s="20"/>
      <c r="S873" s="20"/>
      <c r="T873" s="20"/>
      <c r="AE873" s="21" t="str">
        <f t="shared" si="100"/>
        <v/>
      </c>
      <c r="AF873" s="21" t="str">
        <f t="shared" ref="AF873:AN873" si="878">if(not(isblank(L873)),", "&amp;L873,"")</f>
        <v/>
      </c>
      <c r="AG873" s="21" t="str">
        <f t="shared" si="878"/>
        <v/>
      </c>
      <c r="AH873" s="21" t="str">
        <f t="shared" si="878"/>
        <v/>
      </c>
      <c r="AI873" s="21" t="str">
        <f t="shared" si="878"/>
        <v/>
      </c>
      <c r="AJ873" s="21" t="str">
        <f t="shared" si="878"/>
        <v/>
      </c>
      <c r="AK873" s="21" t="str">
        <f t="shared" si="878"/>
        <v/>
      </c>
      <c r="AL873" s="21" t="str">
        <f t="shared" si="878"/>
        <v/>
      </c>
      <c r="AM873" s="21" t="str">
        <f t="shared" si="878"/>
        <v/>
      </c>
      <c r="AN873" s="21" t="str">
        <f t="shared" si="878"/>
        <v/>
      </c>
      <c r="AO873" s="21" t="str">
        <f t="shared" si="102"/>
        <v/>
      </c>
    </row>
    <row r="874" ht="16.5" customHeight="1">
      <c r="J874" s="18"/>
      <c r="K874" s="19"/>
      <c r="L874" s="20"/>
      <c r="M874" s="20"/>
      <c r="N874" s="20"/>
      <c r="O874" s="20"/>
      <c r="P874" s="20"/>
      <c r="Q874" s="20"/>
      <c r="R874" s="20"/>
      <c r="S874" s="20"/>
      <c r="T874" s="20"/>
      <c r="AE874" s="21" t="str">
        <f t="shared" si="100"/>
        <v/>
      </c>
      <c r="AF874" s="21" t="str">
        <f t="shared" ref="AF874:AN874" si="879">if(not(isblank(L874)),", "&amp;L874,"")</f>
        <v/>
      </c>
      <c r="AG874" s="21" t="str">
        <f t="shared" si="879"/>
        <v/>
      </c>
      <c r="AH874" s="21" t="str">
        <f t="shared" si="879"/>
        <v/>
      </c>
      <c r="AI874" s="21" t="str">
        <f t="shared" si="879"/>
        <v/>
      </c>
      <c r="AJ874" s="21" t="str">
        <f t="shared" si="879"/>
        <v/>
      </c>
      <c r="AK874" s="21" t="str">
        <f t="shared" si="879"/>
        <v/>
      </c>
      <c r="AL874" s="21" t="str">
        <f t="shared" si="879"/>
        <v/>
      </c>
      <c r="AM874" s="21" t="str">
        <f t="shared" si="879"/>
        <v/>
      </c>
      <c r="AN874" s="21" t="str">
        <f t="shared" si="879"/>
        <v/>
      </c>
      <c r="AO874" s="21" t="str">
        <f t="shared" si="102"/>
        <v/>
      </c>
    </row>
    <row r="875" ht="16.5" customHeight="1">
      <c r="J875" s="18"/>
      <c r="K875" s="19"/>
      <c r="L875" s="20"/>
      <c r="M875" s="20"/>
      <c r="N875" s="20"/>
      <c r="O875" s="20"/>
      <c r="P875" s="20"/>
      <c r="Q875" s="20"/>
      <c r="R875" s="20"/>
      <c r="S875" s="20"/>
      <c r="T875" s="20"/>
      <c r="AE875" s="21" t="str">
        <f t="shared" si="100"/>
        <v/>
      </c>
      <c r="AF875" s="21" t="str">
        <f t="shared" ref="AF875:AN875" si="880">if(not(isblank(L875)),", "&amp;L875,"")</f>
        <v/>
      </c>
      <c r="AG875" s="21" t="str">
        <f t="shared" si="880"/>
        <v/>
      </c>
      <c r="AH875" s="21" t="str">
        <f t="shared" si="880"/>
        <v/>
      </c>
      <c r="AI875" s="21" t="str">
        <f t="shared" si="880"/>
        <v/>
      </c>
      <c r="AJ875" s="21" t="str">
        <f t="shared" si="880"/>
        <v/>
      </c>
      <c r="AK875" s="21" t="str">
        <f t="shared" si="880"/>
        <v/>
      </c>
      <c r="AL875" s="21" t="str">
        <f t="shared" si="880"/>
        <v/>
      </c>
      <c r="AM875" s="21" t="str">
        <f t="shared" si="880"/>
        <v/>
      </c>
      <c r="AN875" s="21" t="str">
        <f t="shared" si="880"/>
        <v/>
      </c>
      <c r="AO875" s="21" t="str">
        <f t="shared" si="102"/>
        <v/>
      </c>
    </row>
    <row r="876" ht="16.5" customHeight="1">
      <c r="J876" s="18"/>
      <c r="K876" s="19"/>
      <c r="L876" s="20"/>
      <c r="M876" s="20"/>
      <c r="N876" s="20"/>
      <c r="O876" s="20"/>
      <c r="P876" s="20"/>
      <c r="Q876" s="20"/>
      <c r="R876" s="20"/>
      <c r="S876" s="20"/>
      <c r="T876" s="20"/>
      <c r="AE876" s="21" t="str">
        <f t="shared" si="100"/>
        <v/>
      </c>
      <c r="AF876" s="21" t="str">
        <f t="shared" ref="AF876:AN876" si="881">if(not(isblank(L876)),", "&amp;L876,"")</f>
        <v/>
      </c>
      <c r="AG876" s="21" t="str">
        <f t="shared" si="881"/>
        <v/>
      </c>
      <c r="AH876" s="21" t="str">
        <f t="shared" si="881"/>
        <v/>
      </c>
      <c r="AI876" s="21" t="str">
        <f t="shared" si="881"/>
        <v/>
      </c>
      <c r="AJ876" s="21" t="str">
        <f t="shared" si="881"/>
        <v/>
      </c>
      <c r="AK876" s="21" t="str">
        <f t="shared" si="881"/>
        <v/>
      </c>
      <c r="AL876" s="21" t="str">
        <f t="shared" si="881"/>
        <v/>
      </c>
      <c r="AM876" s="21" t="str">
        <f t="shared" si="881"/>
        <v/>
      </c>
      <c r="AN876" s="21" t="str">
        <f t="shared" si="881"/>
        <v/>
      </c>
      <c r="AO876" s="21" t="str">
        <f t="shared" si="102"/>
        <v/>
      </c>
    </row>
    <row r="877" ht="16.5" customHeight="1">
      <c r="J877" s="18"/>
      <c r="K877" s="19"/>
      <c r="L877" s="20"/>
      <c r="M877" s="20"/>
      <c r="N877" s="20"/>
      <c r="O877" s="20"/>
      <c r="P877" s="20"/>
      <c r="Q877" s="20"/>
      <c r="R877" s="20"/>
      <c r="S877" s="20"/>
      <c r="T877" s="20"/>
      <c r="AE877" s="21" t="str">
        <f t="shared" si="100"/>
        <v/>
      </c>
      <c r="AF877" s="21" t="str">
        <f t="shared" ref="AF877:AN877" si="882">if(not(isblank(L877)),", "&amp;L877,"")</f>
        <v/>
      </c>
      <c r="AG877" s="21" t="str">
        <f t="shared" si="882"/>
        <v/>
      </c>
      <c r="AH877" s="21" t="str">
        <f t="shared" si="882"/>
        <v/>
      </c>
      <c r="AI877" s="21" t="str">
        <f t="shared" si="882"/>
        <v/>
      </c>
      <c r="AJ877" s="21" t="str">
        <f t="shared" si="882"/>
        <v/>
      </c>
      <c r="AK877" s="21" t="str">
        <f t="shared" si="882"/>
        <v/>
      </c>
      <c r="AL877" s="21" t="str">
        <f t="shared" si="882"/>
        <v/>
      </c>
      <c r="AM877" s="21" t="str">
        <f t="shared" si="882"/>
        <v/>
      </c>
      <c r="AN877" s="21" t="str">
        <f t="shared" si="882"/>
        <v/>
      </c>
      <c r="AO877" s="21" t="str">
        <f t="shared" si="102"/>
        <v/>
      </c>
    </row>
    <row r="878" ht="16.5" customHeight="1">
      <c r="J878" s="18"/>
      <c r="K878" s="19"/>
      <c r="L878" s="20"/>
      <c r="M878" s="20"/>
      <c r="N878" s="20"/>
      <c r="O878" s="20"/>
      <c r="P878" s="20"/>
      <c r="Q878" s="20"/>
      <c r="R878" s="20"/>
      <c r="S878" s="20"/>
      <c r="T878" s="20"/>
      <c r="AE878" s="21" t="str">
        <f t="shared" si="100"/>
        <v/>
      </c>
      <c r="AF878" s="21" t="str">
        <f t="shared" ref="AF878:AN878" si="883">if(not(isblank(L878)),", "&amp;L878,"")</f>
        <v/>
      </c>
      <c r="AG878" s="21" t="str">
        <f t="shared" si="883"/>
        <v/>
      </c>
      <c r="AH878" s="21" t="str">
        <f t="shared" si="883"/>
        <v/>
      </c>
      <c r="AI878" s="21" t="str">
        <f t="shared" si="883"/>
        <v/>
      </c>
      <c r="AJ878" s="21" t="str">
        <f t="shared" si="883"/>
        <v/>
      </c>
      <c r="AK878" s="21" t="str">
        <f t="shared" si="883"/>
        <v/>
      </c>
      <c r="AL878" s="21" t="str">
        <f t="shared" si="883"/>
        <v/>
      </c>
      <c r="AM878" s="21" t="str">
        <f t="shared" si="883"/>
        <v/>
      </c>
      <c r="AN878" s="21" t="str">
        <f t="shared" si="883"/>
        <v/>
      </c>
      <c r="AO878" s="21" t="str">
        <f t="shared" si="102"/>
        <v/>
      </c>
    </row>
    <row r="879" ht="16.5" customHeight="1">
      <c r="J879" s="18"/>
      <c r="K879" s="19"/>
      <c r="L879" s="20"/>
      <c r="M879" s="20"/>
      <c r="N879" s="20"/>
      <c r="O879" s="20"/>
      <c r="P879" s="20"/>
      <c r="Q879" s="20"/>
      <c r="R879" s="20"/>
      <c r="S879" s="20"/>
      <c r="T879" s="20"/>
      <c r="AE879" s="21" t="str">
        <f t="shared" si="100"/>
        <v/>
      </c>
      <c r="AF879" s="21" t="str">
        <f t="shared" ref="AF879:AN879" si="884">if(not(isblank(L879)),", "&amp;L879,"")</f>
        <v/>
      </c>
      <c r="AG879" s="21" t="str">
        <f t="shared" si="884"/>
        <v/>
      </c>
      <c r="AH879" s="21" t="str">
        <f t="shared" si="884"/>
        <v/>
      </c>
      <c r="AI879" s="21" t="str">
        <f t="shared" si="884"/>
        <v/>
      </c>
      <c r="AJ879" s="21" t="str">
        <f t="shared" si="884"/>
        <v/>
      </c>
      <c r="AK879" s="21" t="str">
        <f t="shared" si="884"/>
        <v/>
      </c>
      <c r="AL879" s="21" t="str">
        <f t="shared" si="884"/>
        <v/>
      </c>
      <c r="AM879" s="21" t="str">
        <f t="shared" si="884"/>
        <v/>
      </c>
      <c r="AN879" s="21" t="str">
        <f t="shared" si="884"/>
        <v/>
      </c>
      <c r="AO879" s="21" t="str">
        <f t="shared" si="102"/>
        <v/>
      </c>
    </row>
    <row r="880" ht="16.5" customHeight="1">
      <c r="J880" s="18"/>
      <c r="K880" s="19"/>
      <c r="L880" s="20"/>
      <c r="M880" s="20"/>
      <c r="N880" s="20"/>
      <c r="O880" s="20"/>
      <c r="P880" s="20"/>
      <c r="Q880" s="20"/>
      <c r="R880" s="20"/>
      <c r="S880" s="20"/>
      <c r="T880" s="20"/>
      <c r="AE880" s="21" t="str">
        <f t="shared" si="100"/>
        <v/>
      </c>
      <c r="AF880" s="21" t="str">
        <f t="shared" ref="AF880:AN880" si="885">if(not(isblank(L880)),", "&amp;L880,"")</f>
        <v/>
      </c>
      <c r="AG880" s="21" t="str">
        <f t="shared" si="885"/>
        <v/>
      </c>
      <c r="AH880" s="21" t="str">
        <f t="shared" si="885"/>
        <v/>
      </c>
      <c r="AI880" s="21" t="str">
        <f t="shared" si="885"/>
        <v/>
      </c>
      <c r="AJ880" s="21" t="str">
        <f t="shared" si="885"/>
        <v/>
      </c>
      <c r="AK880" s="21" t="str">
        <f t="shared" si="885"/>
        <v/>
      </c>
      <c r="AL880" s="21" t="str">
        <f t="shared" si="885"/>
        <v/>
      </c>
      <c r="AM880" s="21" t="str">
        <f t="shared" si="885"/>
        <v/>
      </c>
      <c r="AN880" s="21" t="str">
        <f t="shared" si="885"/>
        <v/>
      </c>
      <c r="AO880" s="21" t="str">
        <f t="shared" si="102"/>
        <v/>
      </c>
    </row>
    <row r="881" ht="16.5" customHeight="1">
      <c r="J881" s="18"/>
      <c r="K881" s="19"/>
      <c r="L881" s="20"/>
      <c r="M881" s="20"/>
      <c r="N881" s="20"/>
      <c r="O881" s="20"/>
      <c r="P881" s="20"/>
      <c r="Q881" s="20"/>
      <c r="R881" s="20"/>
      <c r="S881" s="20"/>
      <c r="T881" s="20"/>
      <c r="AE881" s="21" t="str">
        <f t="shared" si="100"/>
        <v/>
      </c>
      <c r="AF881" s="21" t="str">
        <f t="shared" ref="AF881:AN881" si="886">if(not(isblank(L881)),", "&amp;L881,"")</f>
        <v/>
      </c>
      <c r="AG881" s="21" t="str">
        <f t="shared" si="886"/>
        <v/>
      </c>
      <c r="AH881" s="21" t="str">
        <f t="shared" si="886"/>
        <v/>
      </c>
      <c r="AI881" s="21" t="str">
        <f t="shared" si="886"/>
        <v/>
      </c>
      <c r="AJ881" s="21" t="str">
        <f t="shared" si="886"/>
        <v/>
      </c>
      <c r="AK881" s="21" t="str">
        <f t="shared" si="886"/>
        <v/>
      </c>
      <c r="AL881" s="21" t="str">
        <f t="shared" si="886"/>
        <v/>
      </c>
      <c r="AM881" s="21" t="str">
        <f t="shared" si="886"/>
        <v/>
      </c>
      <c r="AN881" s="21" t="str">
        <f t="shared" si="886"/>
        <v/>
      </c>
      <c r="AO881" s="21" t="str">
        <f t="shared" si="102"/>
        <v/>
      </c>
    </row>
    <row r="882" ht="16.5" customHeight="1">
      <c r="J882" s="18"/>
      <c r="K882" s="19"/>
      <c r="L882" s="20"/>
      <c r="M882" s="20"/>
      <c r="N882" s="20"/>
      <c r="O882" s="20"/>
      <c r="P882" s="20"/>
      <c r="Q882" s="20"/>
      <c r="R882" s="20"/>
      <c r="S882" s="20"/>
      <c r="T882" s="20"/>
      <c r="AE882" s="21" t="str">
        <f t="shared" si="100"/>
        <v/>
      </c>
      <c r="AF882" s="21" t="str">
        <f t="shared" ref="AF882:AN882" si="887">if(not(isblank(L882)),", "&amp;L882,"")</f>
        <v/>
      </c>
      <c r="AG882" s="21" t="str">
        <f t="shared" si="887"/>
        <v/>
      </c>
      <c r="AH882" s="21" t="str">
        <f t="shared" si="887"/>
        <v/>
      </c>
      <c r="AI882" s="21" t="str">
        <f t="shared" si="887"/>
        <v/>
      </c>
      <c r="AJ882" s="21" t="str">
        <f t="shared" si="887"/>
        <v/>
      </c>
      <c r="AK882" s="21" t="str">
        <f t="shared" si="887"/>
        <v/>
      </c>
      <c r="AL882" s="21" t="str">
        <f t="shared" si="887"/>
        <v/>
      </c>
      <c r="AM882" s="21" t="str">
        <f t="shared" si="887"/>
        <v/>
      </c>
      <c r="AN882" s="21" t="str">
        <f t="shared" si="887"/>
        <v/>
      </c>
      <c r="AO882" s="21" t="str">
        <f t="shared" si="102"/>
        <v/>
      </c>
    </row>
    <row r="883" ht="16.5" customHeight="1">
      <c r="J883" s="18"/>
      <c r="K883" s="19"/>
      <c r="L883" s="20"/>
      <c r="M883" s="20"/>
      <c r="N883" s="20"/>
      <c r="O883" s="20"/>
      <c r="P883" s="20"/>
      <c r="Q883" s="20"/>
      <c r="R883" s="20"/>
      <c r="S883" s="20"/>
      <c r="T883" s="20"/>
      <c r="AE883" s="21" t="str">
        <f t="shared" si="100"/>
        <v/>
      </c>
      <c r="AF883" s="21" t="str">
        <f t="shared" ref="AF883:AN883" si="888">if(not(isblank(L883)),", "&amp;L883,"")</f>
        <v/>
      </c>
      <c r="AG883" s="21" t="str">
        <f t="shared" si="888"/>
        <v/>
      </c>
      <c r="AH883" s="21" t="str">
        <f t="shared" si="888"/>
        <v/>
      </c>
      <c r="AI883" s="21" t="str">
        <f t="shared" si="888"/>
        <v/>
      </c>
      <c r="AJ883" s="21" t="str">
        <f t="shared" si="888"/>
        <v/>
      </c>
      <c r="AK883" s="21" t="str">
        <f t="shared" si="888"/>
        <v/>
      </c>
      <c r="AL883" s="21" t="str">
        <f t="shared" si="888"/>
        <v/>
      </c>
      <c r="AM883" s="21" t="str">
        <f t="shared" si="888"/>
        <v/>
      </c>
      <c r="AN883" s="21" t="str">
        <f t="shared" si="888"/>
        <v/>
      </c>
      <c r="AO883" s="21" t="str">
        <f t="shared" si="102"/>
        <v/>
      </c>
    </row>
    <row r="884" ht="16.5" customHeight="1">
      <c r="J884" s="18"/>
      <c r="K884" s="19"/>
      <c r="L884" s="20"/>
      <c r="M884" s="20"/>
      <c r="N884" s="20"/>
      <c r="O884" s="20"/>
      <c r="P884" s="20"/>
      <c r="Q884" s="20"/>
      <c r="R884" s="20"/>
      <c r="S884" s="20"/>
      <c r="T884" s="20"/>
      <c r="AE884" s="21" t="str">
        <f t="shared" si="100"/>
        <v/>
      </c>
      <c r="AF884" s="21" t="str">
        <f t="shared" ref="AF884:AN884" si="889">if(not(isblank(L884)),", "&amp;L884,"")</f>
        <v/>
      </c>
      <c r="AG884" s="21" t="str">
        <f t="shared" si="889"/>
        <v/>
      </c>
      <c r="AH884" s="21" t="str">
        <f t="shared" si="889"/>
        <v/>
      </c>
      <c r="AI884" s="21" t="str">
        <f t="shared" si="889"/>
        <v/>
      </c>
      <c r="AJ884" s="21" t="str">
        <f t="shared" si="889"/>
        <v/>
      </c>
      <c r="AK884" s="21" t="str">
        <f t="shared" si="889"/>
        <v/>
      </c>
      <c r="AL884" s="21" t="str">
        <f t="shared" si="889"/>
        <v/>
      </c>
      <c r="AM884" s="21" t="str">
        <f t="shared" si="889"/>
        <v/>
      </c>
      <c r="AN884" s="21" t="str">
        <f t="shared" si="889"/>
        <v/>
      </c>
      <c r="AO884" s="21" t="str">
        <f t="shared" si="102"/>
        <v/>
      </c>
    </row>
    <row r="885" ht="16.5" customHeight="1">
      <c r="J885" s="18"/>
      <c r="K885" s="19"/>
      <c r="L885" s="20"/>
      <c r="M885" s="20"/>
      <c r="N885" s="20"/>
      <c r="O885" s="20"/>
      <c r="P885" s="20"/>
      <c r="Q885" s="20"/>
      <c r="R885" s="20"/>
      <c r="S885" s="20"/>
      <c r="T885" s="20"/>
      <c r="AE885" s="21" t="str">
        <f t="shared" si="100"/>
        <v/>
      </c>
      <c r="AF885" s="21" t="str">
        <f t="shared" ref="AF885:AN885" si="890">if(not(isblank(L885)),", "&amp;L885,"")</f>
        <v/>
      </c>
      <c r="AG885" s="21" t="str">
        <f t="shared" si="890"/>
        <v/>
      </c>
      <c r="AH885" s="21" t="str">
        <f t="shared" si="890"/>
        <v/>
      </c>
      <c r="AI885" s="21" t="str">
        <f t="shared" si="890"/>
        <v/>
      </c>
      <c r="AJ885" s="21" t="str">
        <f t="shared" si="890"/>
        <v/>
      </c>
      <c r="AK885" s="21" t="str">
        <f t="shared" si="890"/>
        <v/>
      </c>
      <c r="AL885" s="21" t="str">
        <f t="shared" si="890"/>
        <v/>
      </c>
      <c r="AM885" s="21" t="str">
        <f t="shared" si="890"/>
        <v/>
      </c>
      <c r="AN885" s="21" t="str">
        <f t="shared" si="890"/>
        <v/>
      </c>
      <c r="AO885" s="21" t="str">
        <f t="shared" si="102"/>
        <v/>
      </c>
    </row>
    <row r="886" ht="16.5" customHeight="1">
      <c r="J886" s="18"/>
      <c r="K886" s="19"/>
      <c r="L886" s="20"/>
      <c r="M886" s="20"/>
      <c r="N886" s="20"/>
      <c r="O886" s="20"/>
      <c r="P886" s="20"/>
      <c r="Q886" s="20"/>
      <c r="R886" s="20"/>
      <c r="S886" s="20"/>
      <c r="T886" s="20"/>
      <c r="AE886" s="21" t="str">
        <f t="shared" si="100"/>
        <v/>
      </c>
      <c r="AF886" s="21" t="str">
        <f t="shared" ref="AF886:AN886" si="891">if(not(isblank(L886)),", "&amp;L886,"")</f>
        <v/>
      </c>
      <c r="AG886" s="21" t="str">
        <f t="shared" si="891"/>
        <v/>
      </c>
      <c r="AH886" s="21" t="str">
        <f t="shared" si="891"/>
        <v/>
      </c>
      <c r="AI886" s="21" t="str">
        <f t="shared" si="891"/>
        <v/>
      </c>
      <c r="AJ886" s="21" t="str">
        <f t="shared" si="891"/>
        <v/>
      </c>
      <c r="AK886" s="21" t="str">
        <f t="shared" si="891"/>
        <v/>
      </c>
      <c r="AL886" s="21" t="str">
        <f t="shared" si="891"/>
        <v/>
      </c>
      <c r="AM886" s="21" t="str">
        <f t="shared" si="891"/>
        <v/>
      </c>
      <c r="AN886" s="21" t="str">
        <f t="shared" si="891"/>
        <v/>
      </c>
      <c r="AO886" s="21" t="str">
        <f t="shared" si="102"/>
        <v/>
      </c>
    </row>
    <row r="887" ht="16.5" customHeight="1">
      <c r="J887" s="18"/>
      <c r="K887" s="19"/>
      <c r="L887" s="20"/>
      <c r="M887" s="20"/>
      <c r="N887" s="20"/>
      <c r="O887" s="20"/>
      <c r="P887" s="20"/>
      <c r="Q887" s="20"/>
      <c r="R887" s="20"/>
      <c r="S887" s="20"/>
      <c r="T887" s="20"/>
      <c r="AE887" s="21" t="str">
        <f t="shared" si="100"/>
        <v/>
      </c>
      <c r="AF887" s="21" t="str">
        <f t="shared" ref="AF887:AN887" si="892">if(not(isblank(L887)),", "&amp;L887,"")</f>
        <v/>
      </c>
      <c r="AG887" s="21" t="str">
        <f t="shared" si="892"/>
        <v/>
      </c>
      <c r="AH887" s="21" t="str">
        <f t="shared" si="892"/>
        <v/>
      </c>
      <c r="AI887" s="21" t="str">
        <f t="shared" si="892"/>
        <v/>
      </c>
      <c r="AJ887" s="21" t="str">
        <f t="shared" si="892"/>
        <v/>
      </c>
      <c r="AK887" s="21" t="str">
        <f t="shared" si="892"/>
        <v/>
      </c>
      <c r="AL887" s="21" t="str">
        <f t="shared" si="892"/>
        <v/>
      </c>
      <c r="AM887" s="21" t="str">
        <f t="shared" si="892"/>
        <v/>
      </c>
      <c r="AN887" s="21" t="str">
        <f t="shared" si="892"/>
        <v/>
      </c>
      <c r="AO887" s="21" t="str">
        <f t="shared" si="102"/>
        <v/>
      </c>
    </row>
    <row r="888" ht="16.5" customHeight="1">
      <c r="J888" s="18"/>
      <c r="K888" s="19"/>
      <c r="L888" s="20"/>
      <c r="M888" s="20"/>
      <c r="N888" s="20"/>
      <c r="O888" s="20"/>
      <c r="P888" s="20"/>
      <c r="Q888" s="20"/>
      <c r="R888" s="20"/>
      <c r="S888" s="20"/>
      <c r="T888" s="20"/>
      <c r="AE888" s="21" t="str">
        <f t="shared" si="100"/>
        <v/>
      </c>
      <c r="AF888" s="21" t="str">
        <f t="shared" ref="AF888:AN888" si="893">if(not(isblank(L888)),", "&amp;L888,"")</f>
        <v/>
      </c>
      <c r="AG888" s="21" t="str">
        <f t="shared" si="893"/>
        <v/>
      </c>
      <c r="AH888" s="21" t="str">
        <f t="shared" si="893"/>
        <v/>
      </c>
      <c r="AI888" s="21" t="str">
        <f t="shared" si="893"/>
        <v/>
      </c>
      <c r="AJ888" s="21" t="str">
        <f t="shared" si="893"/>
        <v/>
      </c>
      <c r="AK888" s="21" t="str">
        <f t="shared" si="893"/>
        <v/>
      </c>
      <c r="AL888" s="21" t="str">
        <f t="shared" si="893"/>
        <v/>
      </c>
      <c r="AM888" s="21" t="str">
        <f t="shared" si="893"/>
        <v/>
      </c>
      <c r="AN888" s="21" t="str">
        <f t="shared" si="893"/>
        <v/>
      </c>
      <c r="AO888" s="21" t="str">
        <f t="shared" si="102"/>
        <v/>
      </c>
    </row>
    <row r="889" ht="16.5" customHeight="1">
      <c r="J889" s="18"/>
      <c r="K889" s="19"/>
      <c r="L889" s="20"/>
      <c r="M889" s="20"/>
      <c r="N889" s="20"/>
      <c r="O889" s="20"/>
      <c r="P889" s="20"/>
      <c r="Q889" s="20"/>
      <c r="R889" s="20"/>
      <c r="S889" s="20"/>
      <c r="T889" s="20"/>
      <c r="AE889" s="21" t="str">
        <f t="shared" si="100"/>
        <v/>
      </c>
      <c r="AF889" s="21" t="str">
        <f t="shared" ref="AF889:AN889" si="894">if(not(isblank(L889)),", "&amp;L889,"")</f>
        <v/>
      </c>
      <c r="AG889" s="21" t="str">
        <f t="shared" si="894"/>
        <v/>
      </c>
      <c r="AH889" s="21" t="str">
        <f t="shared" si="894"/>
        <v/>
      </c>
      <c r="AI889" s="21" t="str">
        <f t="shared" si="894"/>
        <v/>
      </c>
      <c r="AJ889" s="21" t="str">
        <f t="shared" si="894"/>
        <v/>
      </c>
      <c r="AK889" s="21" t="str">
        <f t="shared" si="894"/>
        <v/>
      </c>
      <c r="AL889" s="21" t="str">
        <f t="shared" si="894"/>
        <v/>
      </c>
      <c r="AM889" s="21" t="str">
        <f t="shared" si="894"/>
        <v/>
      </c>
      <c r="AN889" s="21" t="str">
        <f t="shared" si="894"/>
        <v/>
      </c>
      <c r="AO889" s="21" t="str">
        <f t="shared" si="102"/>
        <v/>
      </c>
    </row>
    <row r="890" ht="16.5" customHeight="1">
      <c r="J890" s="18"/>
      <c r="K890" s="19"/>
      <c r="L890" s="20"/>
      <c r="M890" s="20"/>
      <c r="N890" s="20"/>
      <c r="O890" s="20"/>
      <c r="P890" s="20"/>
      <c r="Q890" s="20"/>
      <c r="R890" s="20"/>
      <c r="S890" s="20"/>
      <c r="T890" s="20"/>
      <c r="AE890" s="21" t="str">
        <f t="shared" si="100"/>
        <v/>
      </c>
      <c r="AF890" s="21" t="str">
        <f t="shared" ref="AF890:AN890" si="895">if(not(isblank(L890)),", "&amp;L890,"")</f>
        <v/>
      </c>
      <c r="AG890" s="21" t="str">
        <f t="shared" si="895"/>
        <v/>
      </c>
      <c r="AH890" s="21" t="str">
        <f t="shared" si="895"/>
        <v/>
      </c>
      <c r="AI890" s="21" t="str">
        <f t="shared" si="895"/>
        <v/>
      </c>
      <c r="AJ890" s="21" t="str">
        <f t="shared" si="895"/>
        <v/>
      </c>
      <c r="AK890" s="21" t="str">
        <f t="shared" si="895"/>
        <v/>
      </c>
      <c r="AL890" s="21" t="str">
        <f t="shared" si="895"/>
        <v/>
      </c>
      <c r="AM890" s="21" t="str">
        <f t="shared" si="895"/>
        <v/>
      </c>
      <c r="AN890" s="21" t="str">
        <f t="shared" si="895"/>
        <v/>
      </c>
      <c r="AO890" s="21" t="str">
        <f t="shared" si="102"/>
        <v/>
      </c>
    </row>
    <row r="891" ht="16.5" customHeight="1">
      <c r="J891" s="18"/>
      <c r="K891" s="19"/>
      <c r="L891" s="20"/>
      <c r="M891" s="20"/>
      <c r="N891" s="20"/>
      <c r="O891" s="20"/>
      <c r="P891" s="20"/>
      <c r="Q891" s="20"/>
      <c r="R891" s="20"/>
      <c r="S891" s="20"/>
      <c r="T891" s="20"/>
      <c r="AE891" s="21" t="str">
        <f t="shared" si="100"/>
        <v/>
      </c>
      <c r="AF891" s="21" t="str">
        <f t="shared" ref="AF891:AN891" si="896">if(not(isblank(L891)),", "&amp;L891,"")</f>
        <v/>
      </c>
      <c r="AG891" s="21" t="str">
        <f t="shared" si="896"/>
        <v/>
      </c>
      <c r="AH891" s="21" t="str">
        <f t="shared" si="896"/>
        <v/>
      </c>
      <c r="AI891" s="21" t="str">
        <f t="shared" si="896"/>
        <v/>
      </c>
      <c r="AJ891" s="21" t="str">
        <f t="shared" si="896"/>
        <v/>
      </c>
      <c r="AK891" s="21" t="str">
        <f t="shared" si="896"/>
        <v/>
      </c>
      <c r="AL891" s="21" t="str">
        <f t="shared" si="896"/>
        <v/>
      </c>
      <c r="AM891" s="21" t="str">
        <f t="shared" si="896"/>
        <v/>
      </c>
      <c r="AN891" s="21" t="str">
        <f t="shared" si="896"/>
        <v/>
      </c>
      <c r="AO891" s="21" t="str">
        <f t="shared" si="102"/>
        <v/>
      </c>
    </row>
    <row r="892" ht="16.5" customHeight="1">
      <c r="J892" s="18"/>
      <c r="K892" s="19"/>
      <c r="L892" s="20"/>
      <c r="M892" s="20"/>
      <c r="N892" s="20"/>
      <c r="O892" s="20"/>
      <c r="P892" s="20"/>
      <c r="Q892" s="20"/>
      <c r="R892" s="20"/>
      <c r="S892" s="20"/>
      <c r="T892" s="20"/>
      <c r="AE892" s="21" t="str">
        <f t="shared" si="100"/>
        <v/>
      </c>
      <c r="AF892" s="21" t="str">
        <f t="shared" ref="AF892:AN892" si="897">if(not(isblank(L892)),", "&amp;L892,"")</f>
        <v/>
      </c>
      <c r="AG892" s="21" t="str">
        <f t="shared" si="897"/>
        <v/>
      </c>
      <c r="AH892" s="21" t="str">
        <f t="shared" si="897"/>
        <v/>
      </c>
      <c r="AI892" s="21" t="str">
        <f t="shared" si="897"/>
        <v/>
      </c>
      <c r="AJ892" s="21" t="str">
        <f t="shared" si="897"/>
        <v/>
      </c>
      <c r="AK892" s="21" t="str">
        <f t="shared" si="897"/>
        <v/>
      </c>
      <c r="AL892" s="21" t="str">
        <f t="shared" si="897"/>
        <v/>
      </c>
      <c r="AM892" s="21" t="str">
        <f t="shared" si="897"/>
        <v/>
      </c>
      <c r="AN892" s="21" t="str">
        <f t="shared" si="897"/>
        <v/>
      </c>
      <c r="AO892" s="21" t="str">
        <f t="shared" si="102"/>
        <v/>
      </c>
    </row>
    <row r="893" ht="16.5" customHeight="1">
      <c r="J893" s="18"/>
      <c r="K893" s="19"/>
      <c r="L893" s="20"/>
      <c r="M893" s="20"/>
      <c r="N893" s="20"/>
      <c r="O893" s="20"/>
      <c r="P893" s="20"/>
      <c r="Q893" s="20"/>
      <c r="R893" s="20"/>
      <c r="S893" s="20"/>
      <c r="T893" s="20"/>
      <c r="AE893" s="21" t="str">
        <f t="shared" si="100"/>
        <v/>
      </c>
      <c r="AF893" s="21" t="str">
        <f t="shared" ref="AF893:AN893" si="898">if(not(isblank(L893)),", "&amp;L893,"")</f>
        <v/>
      </c>
      <c r="AG893" s="21" t="str">
        <f t="shared" si="898"/>
        <v/>
      </c>
      <c r="AH893" s="21" t="str">
        <f t="shared" si="898"/>
        <v/>
      </c>
      <c r="AI893" s="21" t="str">
        <f t="shared" si="898"/>
        <v/>
      </c>
      <c r="AJ893" s="21" t="str">
        <f t="shared" si="898"/>
        <v/>
      </c>
      <c r="AK893" s="21" t="str">
        <f t="shared" si="898"/>
        <v/>
      </c>
      <c r="AL893" s="21" t="str">
        <f t="shared" si="898"/>
        <v/>
      </c>
      <c r="AM893" s="21" t="str">
        <f t="shared" si="898"/>
        <v/>
      </c>
      <c r="AN893" s="21" t="str">
        <f t="shared" si="898"/>
        <v/>
      </c>
      <c r="AO893" s="21" t="str">
        <f t="shared" si="102"/>
        <v/>
      </c>
    </row>
    <row r="894" ht="16.5" customHeight="1">
      <c r="J894" s="18"/>
      <c r="K894" s="19"/>
      <c r="L894" s="20"/>
      <c r="M894" s="20"/>
      <c r="N894" s="20"/>
      <c r="O894" s="20"/>
      <c r="P894" s="20"/>
      <c r="Q894" s="20"/>
      <c r="R894" s="20"/>
      <c r="S894" s="20"/>
      <c r="T894" s="20"/>
      <c r="AE894" s="21" t="str">
        <f t="shared" si="100"/>
        <v/>
      </c>
      <c r="AF894" s="21" t="str">
        <f t="shared" ref="AF894:AN894" si="899">if(not(isblank(L894)),", "&amp;L894,"")</f>
        <v/>
      </c>
      <c r="AG894" s="21" t="str">
        <f t="shared" si="899"/>
        <v/>
      </c>
      <c r="AH894" s="21" t="str">
        <f t="shared" si="899"/>
        <v/>
      </c>
      <c r="AI894" s="21" t="str">
        <f t="shared" si="899"/>
        <v/>
      </c>
      <c r="AJ894" s="21" t="str">
        <f t="shared" si="899"/>
        <v/>
      </c>
      <c r="AK894" s="21" t="str">
        <f t="shared" si="899"/>
        <v/>
      </c>
      <c r="AL894" s="21" t="str">
        <f t="shared" si="899"/>
        <v/>
      </c>
      <c r="AM894" s="21" t="str">
        <f t="shared" si="899"/>
        <v/>
      </c>
      <c r="AN894" s="21" t="str">
        <f t="shared" si="899"/>
        <v/>
      </c>
      <c r="AO894" s="21" t="str">
        <f t="shared" si="102"/>
        <v/>
      </c>
    </row>
    <row r="895" ht="16.5" customHeight="1">
      <c r="J895" s="18"/>
      <c r="K895" s="19"/>
      <c r="L895" s="20"/>
      <c r="M895" s="20"/>
      <c r="N895" s="20"/>
      <c r="O895" s="20"/>
      <c r="P895" s="20"/>
      <c r="Q895" s="20"/>
      <c r="R895" s="20"/>
      <c r="S895" s="20"/>
      <c r="T895" s="20"/>
      <c r="AE895" s="21" t="str">
        <f t="shared" si="100"/>
        <v/>
      </c>
      <c r="AF895" s="21" t="str">
        <f t="shared" ref="AF895:AN895" si="900">if(not(isblank(L895)),", "&amp;L895,"")</f>
        <v/>
      </c>
      <c r="AG895" s="21" t="str">
        <f t="shared" si="900"/>
        <v/>
      </c>
      <c r="AH895" s="21" t="str">
        <f t="shared" si="900"/>
        <v/>
      </c>
      <c r="AI895" s="21" t="str">
        <f t="shared" si="900"/>
        <v/>
      </c>
      <c r="AJ895" s="21" t="str">
        <f t="shared" si="900"/>
        <v/>
      </c>
      <c r="AK895" s="21" t="str">
        <f t="shared" si="900"/>
        <v/>
      </c>
      <c r="AL895" s="21" t="str">
        <f t="shared" si="900"/>
        <v/>
      </c>
      <c r="AM895" s="21" t="str">
        <f t="shared" si="900"/>
        <v/>
      </c>
      <c r="AN895" s="21" t="str">
        <f t="shared" si="900"/>
        <v/>
      </c>
      <c r="AO895" s="21" t="str">
        <f t="shared" si="102"/>
        <v/>
      </c>
    </row>
    <row r="896" ht="16.5" customHeight="1">
      <c r="J896" s="18"/>
      <c r="K896" s="19"/>
      <c r="L896" s="20"/>
      <c r="M896" s="20"/>
      <c r="N896" s="20"/>
      <c r="O896" s="20"/>
      <c r="P896" s="20"/>
      <c r="Q896" s="20"/>
      <c r="R896" s="20"/>
      <c r="S896" s="20"/>
      <c r="T896" s="20"/>
      <c r="AE896" s="21" t="str">
        <f t="shared" si="100"/>
        <v/>
      </c>
      <c r="AF896" s="21" t="str">
        <f t="shared" ref="AF896:AN896" si="901">if(not(isblank(L896)),", "&amp;L896,"")</f>
        <v/>
      </c>
      <c r="AG896" s="21" t="str">
        <f t="shared" si="901"/>
        <v/>
      </c>
      <c r="AH896" s="21" t="str">
        <f t="shared" si="901"/>
        <v/>
      </c>
      <c r="AI896" s="21" t="str">
        <f t="shared" si="901"/>
        <v/>
      </c>
      <c r="AJ896" s="21" t="str">
        <f t="shared" si="901"/>
        <v/>
      </c>
      <c r="AK896" s="21" t="str">
        <f t="shared" si="901"/>
        <v/>
      </c>
      <c r="AL896" s="21" t="str">
        <f t="shared" si="901"/>
        <v/>
      </c>
      <c r="AM896" s="21" t="str">
        <f t="shared" si="901"/>
        <v/>
      </c>
      <c r="AN896" s="21" t="str">
        <f t="shared" si="901"/>
        <v/>
      </c>
      <c r="AO896" s="21" t="str">
        <f t="shared" si="102"/>
        <v/>
      </c>
    </row>
  </sheetData>
  <customSheetViews>
    <customSheetView guid="{4E2A9210-123D-412A-A674-87A542E56BB5}" filter="1" showAutoFilter="1">
      <autoFilter ref="$A$1:$I$896">
        <filterColumn colId="0">
          <filters blank="1">
            <filter val="Livid Men"/>
          </filters>
        </filterColumn>
      </autoFilter>
      <extLst>
        <ext uri="GoogleSheetsCustomDataVersion1">
          <go:sheetsCustomData xmlns:go="http://customooxmlschemas.google.com/" filterViewId="2017696059"/>
        </ext>
      </extLst>
    </customSheetView>
    <customSheetView guid="{F38008BB-B2EC-45A4-B5B1-954CDCF34675}" filter="1" showAutoFilter="1">
      <autoFilter ref="$A$1:$I$896">
        <filterColumn colId="0">
          <filters blank="1">
            <filter val="Livid men"/>
            <filter val="Livid Men"/>
          </filters>
        </filterColumn>
        <sortState ref="A1:I896">
          <sortCondition ref="D1:D896"/>
        </sortState>
      </autoFilter>
      <extLst>
        <ext uri="GoogleSheetsCustomDataVersion1">
          <go:sheetsCustomData xmlns:go="http://customooxmlschemas.google.com/" filterViewId="677342565"/>
        </ext>
      </extLst>
    </customSheetView>
  </customSheetViews>
  <conditionalFormatting sqref="K3:K896 L3:L103 M3:T896 L106:L896">
    <cfRule type="expression" dxfId="0" priority="1">
      <formula>K3=$C3</formula>
    </cfRule>
  </conditionalFormatting>
  <dataValidations>
    <dataValidation type="list" allowBlank="1" showErrorMessage="1" sqref="K3:T7 L8:T8 K9:T103 K104:K105 M104:T105 K106:T896">
      <formula1>Handles!$A$1:$A896</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5" max="5" width="45.5"/>
    <col customWidth="1" min="6" max="6" width="41.88"/>
    <col customWidth="1" min="7" max="7" width="52.88"/>
    <col customWidth="1" min="8" max="8" width="28.13"/>
    <col customWidth="1" min="9" max="9" width="20.63"/>
  </cols>
  <sheetData>
    <row r="1">
      <c r="A1" s="8" t="s">
        <v>2</v>
      </c>
      <c r="B1" s="8" t="s">
        <v>3</v>
      </c>
      <c r="C1" s="8" t="s">
        <v>0</v>
      </c>
      <c r="D1" s="8" t="s">
        <v>1</v>
      </c>
      <c r="E1" s="27" t="s">
        <v>13</v>
      </c>
      <c r="F1" s="9" t="s">
        <v>8</v>
      </c>
      <c r="G1" s="28" t="s">
        <v>23</v>
      </c>
      <c r="H1" s="9" t="s">
        <v>6</v>
      </c>
      <c r="I1" s="29" t="s">
        <v>2204</v>
      </c>
    </row>
    <row r="2" ht="16.5" customHeight="1">
      <c r="A2" s="11" t="str">
        <f>IFERROR(__xludf.DUMMYFUNCTION("filter({Products!A3:G1000,Products!AO3:AO1000},not(isblank(Products!C3:C1000)))"),"Birkenstock")</f>
        <v>Birkenstock</v>
      </c>
      <c r="B2" s="11" t="str">
        <f>IFERROR(__xludf.DUMMYFUNCTION("""COMPUTED_VALUE"""),"Sandal Unisex")</f>
        <v>Sandal Unisex</v>
      </c>
      <c r="C2" s="11" t="str">
        <f>IFERROR(__xludf.DUMMYFUNCTION("""COMPUTED_VALUE"""),"boston-oiled-leather-habana")</f>
        <v>boston-oiled-leather-habana</v>
      </c>
      <c r="D2" s="11" t="str">
        <f>IFERROR(__xludf.DUMMYFUNCTION("""COMPUTED_VALUE"""),"Boston Oiled Leather Habana")</f>
        <v>Boston Oiled Leather Habana</v>
      </c>
      <c r="E2" s="11"/>
      <c r="F2" s="11"/>
      <c r="G2" s="11"/>
      <c r="H2" s="11"/>
      <c r="I2" s="21" t="str">
        <f t="shared" ref="I2:I1000" si="1">if(not(isblank(E2)),E2,"")</f>
        <v/>
      </c>
    </row>
    <row r="3" ht="16.5" customHeight="1">
      <c r="A3" s="11" t="str">
        <f>IFERROR(__xludf.DUMMYFUNCTION("""COMPUTED_VALUE"""),"Birkenstock")</f>
        <v>Birkenstock</v>
      </c>
      <c r="B3" s="11" t="str">
        <f>IFERROR(__xludf.DUMMYFUNCTION("""COMPUTED_VALUE"""),"Sandal Unisex")</f>
        <v>Sandal Unisex</v>
      </c>
      <c r="C3" s="11" t="str">
        <f>IFERROR(__xludf.DUMMYFUNCTION("""COMPUTED_VALUE"""),"boston-suede-carafe-tonal")</f>
        <v>boston-suede-carafe-tonal</v>
      </c>
      <c r="D3" s="11" t="str">
        <f>IFERROR(__xludf.DUMMYFUNCTION("""COMPUTED_VALUE"""),"Boston Suede Carafe Tonal")</f>
        <v>Boston Suede Carafe Tonal</v>
      </c>
      <c r="E3" s="11"/>
      <c r="F3" s="11"/>
      <c r="G3" s="11"/>
      <c r="H3" s="11"/>
      <c r="I3" s="21" t="str">
        <f t="shared" si="1"/>
        <v/>
      </c>
    </row>
    <row r="4" ht="16.5" customHeight="1">
      <c r="A4" s="11" t="str">
        <f>IFERROR(__xludf.DUMMYFUNCTION("""COMPUTED_VALUE"""),"Birkenstock")</f>
        <v>Birkenstock</v>
      </c>
      <c r="B4" s="11" t="str">
        <f>IFERROR(__xludf.DUMMYFUNCTION("""COMPUTED_VALUE"""),"Sandal Women")</f>
        <v>Sandal Women</v>
      </c>
      <c r="C4" s="11" t="str">
        <f>IFERROR(__xludf.DUMMYFUNCTION("""COMPUTED_VALUE"""),"boston-suede-pink-clay")</f>
        <v>boston-suede-pink-clay</v>
      </c>
      <c r="D4" s="11" t="str">
        <f>IFERROR(__xludf.DUMMYFUNCTION("""COMPUTED_VALUE"""),"Boston Suede Pink Clay")</f>
        <v>Boston Suede Pink Clay</v>
      </c>
      <c r="E4" s="11"/>
      <c r="F4" s="11"/>
      <c r="G4" s="11"/>
      <c r="H4" s="11"/>
      <c r="I4" s="21" t="str">
        <f t="shared" si="1"/>
        <v/>
      </c>
    </row>
    <row r="5" ht="16.5" customHeight="1">
      <c r="A5" s="11" t="str">
        <f>IFERROR(__xludf.DUMMYFUNCTION("""COMPUTED_VALUE"""),"Birkenstock")</f>
        <v>Birkenstock</v>
      </c>
      <c r="B5" s="11" t="str">
        <f>IFERROR(__xludf.DUMMYFUNCTION("""COMPUTED_VALUE"""),"Sandal Men")</f>
        <v>Sandal Men</v>
      </c>
      <c r="C5" s="11" t="str">
        <f>IFERROR(__xludf.DUMMYFUNCTION("""COMPUTED_VALUE"""),"boston-wire-buckle-nubuck-black")</f>
        <v>boston-wire-buckle-nubuck-black</v>
      </c>
      <c r="D5" s="11" t="str">
        <f>IFERROR(__xludf.DUMMYFUNCTION("""COMPUTED_VALUE"""),"Boston Wire Buckle Nubuck Black")</f>
        <v>Boston Wire Buckle Nubuck Black</v>
      </c>
      <c r="E5" s="11"/>
      <c r="F5" s="11"/>
      <c r="G5" s="11"/>
      <c r="H5" s="11"/>
      <c r="I5" s="21" t="str">
        <f t="shared" si="1"/>
        <v/>
      </c>
    </row>
    <row r="6" ht="16.5" customHeight="1">
      <c r="A6" s="11" t="str">
        <f>IFERROR(__xludf.DUMMYFUNCTION("""COMPUTED_VALUE"""),"Birkenstock")</f>
        <v>Birkenstock</v>
      </c>
      <c r="B6" s="11" t="str">
        <f>IFERROR(__xludf.DUMMYFUNCTION("""COMPUTED_VALUE"""),"Sandal Men")</f>
        <v>Sandal Men</v>
      </c>
      <c r="C6" s="11" t="str">
        <f>IFERROR(__xludf.DUMMYFUNCTION("""COMPUTED_VALUE"""),"kyoto-pure-sage")</f>
        <v>kyoto-pure-sage</v>
      </c>
      <c r="D6" s="11" t="str">
        <f>IFERROR(__xludf.DUMMYFUNCTION("""COMPUTED_VALUE"""),"Kyoto Pure Sage")</f>
        <v>Kyoto Pure Sage</v>
      </c>
      <c r="E6" s="11"/>
      <c r="F6" s="11"/>
      <c r="G6" s="11"/>
      <c r="H6" s="11" t="str">
        <f>IFERROR(__xludf.DUMMYFUNCTION("""COMPUTED_VALUE"""),"#REF!")</f>
        <v>#REF!</v>
      </c>
      <c r="I6" s="21" t="str">
        <f t="shared" si="1"/>
        <v/>
      </c>
    </row>
    <row r="7" ht="16.5" customHeight="1">
      <c r="A7" s="11" t="str">
        <f>IFERROR(__xludf.DUMMYFUNCTION("""COMPUTED_VALUE"""),"Birkenstock")</f>
        <v>Birkenstock</v>
      </c>
      <c r="B7" s="11" t="str">
        <f>IFERROR(__xludf.DUMMYFUNCTION("""COMPUTED_VALUE"""),"Sandal Women")</f>
        <v>Sandal Women</v>
      </c>
      <c r="C7" s="11" t="str">
        <f>IFERROR(__xludf.DUMMYFUNCTION("""COMPUTED_VALUE"""),"mantova-patent-black")</f>
        <v>mantova-patent-black</v>
      </c>
      <c r="D7" s="11" t="str">
        <f>IFERROR(__xludf.DUMMYFUNCTION("""COMPUTED_VALUE"""),"Mantova Patent Black")</f>
        <v>Mantova Patent Black</v>
      </c>
      <c r="E7" s="11" t="str">
        <f>IFERROR(__xludf.DUMMYFUNCTION("""COMPUTED_VALUE"""),"Made in Portugal
The BIRKENSTOCK Mantova is an interpretation of the classic Mary Jane in a rustic and especially comfy version. The model has an open-selvage, unlined finish which emphasizes its natural look. This version features the Droplet Buckle, wh"&amp;"ich is made entirely of high-quality Zamak in a square shape. Its design combines premium quality with a modern, timeless look. The upper is made of high-quality natural leather with a shiny patent coating.
Anatomically shaped cork-latex footbed
Upper: na"&amp;"tural leather with patent coating
Footbed lining: suede
Sole: natural rubber
Details: one strap with an individually adjustable metal pin buckle
Made in Portugal")</f>
        <v>Made in Portugal
The BIRKENSTOCK Mantova is an interpretation of the classic Mary Jane in a rustic and especially comfy version. The model has an open-selvage, unlined finish which emphasizes its natural look. This version features the Droplet Buckle, which is made entirely of high-quality Zamak in a square shape. Its design combines premium quality with a modern, timeless look. The upper is made of high-quality natural leather with a shiny patent coating.
Anatomically shaped cork-latex footbed
Upper: natural leather with patent coating
Footbed lining: suede
Sole: natural rubber
Details: one strap with an individually adjustable metal pin buckle
Made in Portugal</v>
      </c>
      <c r="F7" s="11"/>
      <c r="G7" s="11"/>
      <c r="H7" s="11"/>
      <c r="I7" s="21" t="str">
        <f t="shared" si="1"/>
        <v>Made in Portugal
The BIRKENSTOCK Mantova is an interpretation of the classic Mary Jane in a rustic and especially comfy version. The model has an open-selvage, unlined finish which emphasizes its natural look. This version features the Droplet Buckle, which is made entirely of high-quality Zamak in a square shape. Its design combines premium quality with a modern, timeless look. The upper is made of high-quality natural leather with a shiny patent coating.
Anatomically shaped cork-latex footbed
Upper: natural leather with patent coating
Footbed lining: suede
Sole: natural rubber
Details: one strap with an individually adjustable metal pin buckle
Made in Portugal</v>
      </c>
    </row>
    <row r="8" ht="16.5" customHeight="1">
      <c r="A8" s="11" t="str">
        <f>IFERROR(__xludf.DUMMYFUNCTION("""COMPUTED_VALUE"""),"Birkenstock")</f>
        <v>Birkenstock</v>
      </c>
      <c r="B8" s="11" t="str">
        <f>IFERROR(__xludf.DUMMYFUNCTION("""COMPUTED_VALUE"""),"Sandal Women")</f>
        <v>Sandal Women</v>
      </c>
      <c r="C8" s="11" t="str">
        <f>IFERROR(__xludf.DUMMYFUNCTION("""COMPUTED_VALUE"""),"mantova-suede-taupe")</f>
        <v>mantova-suede-taupe</v>
      </c>
      <c r="D8" s="11" t="str">
        <f>IFERROR(__xludf.DUMMYFUNCTION("""COMPUTED_VALUE"""),"Mantova Suede Taupe")</f>
        <v>Mantova Suede Taupe</v>
      </c>
      <c r="E8" s="11" t="str">
        <f>IFERROR(__xludf.DUMMYFUNCTION("""COMPUTED_VALUE"""),"Made in Portugal
The BIRKENSTOCK Mantova is an interpretation of the classic Mary Jane in a rustic and especially comfy version. The model has an open-selvage, unlined finish which emphasizes its natural look. The upper is made from especially soft suede"&amp;" which hugs the foot like a second skin.
Anatomically shaped cork-latex footbed
Upper: suede
Footbed lining: suede
Sole: EVA
Details: one strap with an individually adjustable metal pin buckle
Made in Portugal")</f>
        <v>Made in Portugal
The BIRKENSTOCK Mantova is an interpretation of the classic Mary Jane in a rustic and especially comfy version. The model has an open-selvage, unlined finish which emphasizes its natural look. The upper is made from especially soft suede which hugs the foot like a second skin.
Anatomically shaped cork-latex footbed
Upper: suede
Footbed lining: suede
Sole: EVA
Details: one strap with an individually adjustable metal pin buckle
Made in Portugal</v>
      </c>
      <c r="F8" s="11"/>
      <c r="G8" s="11"/>
      <c r="H8" s="11"/>
      <c r="I8" s="21" t="str">
        <f t="shared" si="1"/>
        <v>Made in Portugal
The BIRKENSTOCK Mantova is an interpretation of the classic Mary Jane in a rustic and especially comfy version. The model has an open-selvage, unlined finish which emphasizes its natural look. The upper is made from especially soft suede which hugs the foot like a second skin.
Anatomically shaped cork-latex footbed
Upper: suede
Footbed lining: suede
Sole: EVA
Details: one strap with an individually adjustable metal pin buckle
Made in Portugal</v>
      </c>
    </row>
    <row r="9" ht="16.5" customHeight="1">
      <c r="A9" s="11" t="str">
        <f>IFERROR(__xludf.DUMMYFUNCTION("""COMPUTED_VALUE"""),"Birkenstock")</f>
        <v>Birkenstock</v>
      </c>
      <c r="B9" s="11" t="str">
        <f>IFERROR(__xludf.DUMMYFUNCTION("""COMPUTED_VALUE"""),"Sandal Men")</f>
        <v>Sandal Men</v>
      </c>
      <c r="C9" s="11" t="str">
        <f>IFERROR(__xludf.DUMMYFUNCTION("""COMPUTED_VALUE"""),"naples-wrapped-suede-carafe")</f>
        <v>naples-wrapped-suede-carafe</v>
      </c>
      <c r="D9" s="11" t="str">
        <f>IFERROR(__xludf.DUMMYFUNCTION("""COMPUTED_VALUE"""),"Naples Wrapped Suede Carafe")</f>
        <v>Naples Wrapped Suede Carafe</v>
      </c>
      <c r="E9" s="11" t="str">
        <f>IFERROR(__xludf.DUMMYFUNCTION("""COMPUTED_VALUE"""),"Madde in Germany
Birkenstock's Naples Wrapped is a semi-open moccasin style clog. Featuring Birkenstock's cork footbed and a two-component outsole, wrapped in the upper suede. Its natural design is down to the upper made from especially soft suede, which"&amp;" hugs the foot like a second skin. The two-component outsole combines the lightness and flexibility of EVA with the elasticity and scuff resistance of natural rubber.
This style features Birkenstock's Original Footbed, a contoured cork footbed that confo"&amp;"rms to the shape of your foot and features pronounced arch support, a deep heel cup and roomy toe box.
Sizing note: We carry Birkenstock in the regular width from size 41 and up, and the narrrow width from size 40 and down.")</f>
        <v>Madde in Germany
Birkenstock's Naples Wrapped is a semi-open moccasin style clog. Featuring Birkenstock's cork footbed and a two-component outsole, wrapped in the upper suede. Its natural design is down to the upper made from especially soft suede, which hugs the foot like a second skin. The two-component outsole combines the lightness and flexibility of EVA with the elasticity and scuff resistance of natural rubber.
This style features Birkenstock's Original Footbed, a contoured cork footbed that conforms to the shape of your foot and features pronounced arch support, a deep heel cup and roomy toe box.
Sizing note: We carry Birkenstock in the regular width from size 41 and up, and the narrrow width from size 40 and down.</v>
      </c>
      <c r="F9" s="11" t="str">
        <f>IFERROR(__xludf.DUMMYFUNCTION("""COMPUTED_VALUE"""),"The Birkenstock Naples Wrapped in Carafe Suede.")</f>
        <v>The Birkenstock Naples Wrapped in Carafe Suede.</v>
      </c>
      <c r="G9" s="11"/>
      <c r="H9" s="11" t="str">
        <f>IFERROR(__xludf.DUMMYFUNCTION("""COMPUTED_VALUE"""),"naples-wrapped-suede-taupe-bg")</f>
        <v>naples-wrapped-suede-taupe-bg</v>
      </c>
      <c r="I9" s="21" t="str">
        <f t="shared" si="1"/>
        <v>Madde in Germany
Birkenstock's Naples Wrapped is a semi-open moccasin style clog. Featuring Birkenstock's cork footbed and a two-component outsole, wrapped in the upper suede. Its natural design is down to the upper made from especially soft suede, which hugs the foot like a second skin. The two-component outsole combines the lightness and flexibility of EVA with the elasticity and scuff resistance of natural rubber.
This style features Birkenstock's Original Footbed, a contoured cork footbed that conforms to the shape of your foot and features pronounced arch support, a deep heel cup and roomy toe box.
Sizing note: We carry Birkenstock in the regular width from size 41 and up, and the narrrow width from size 40 and down.</v>
      </c>
    </row>
    <row r="10" ht="16.5" customHeight="1">
      <c r="A10" s="11" t="str">
        <f>IFERROR(__xludf.DUMMYFUNCTION("""COMPUTED_VALUE"""),"Birkenstock")</f>
        <v>Birkenstock</v>
      </c>
      <c r="B10" s="11" t="str">
        <f>IFERROR(__xludf.DUMMYFUNCTION("""COMPUTED_VALUE"""),"Sandal Unisex")</f>
        <v>Sandal Unisex</v>
      </c>
      <c r="C10" s="11" t="str">
        <f>IFERROR(__xludf.DUMMYFUNCTION("""COMPUTED_VALUE"""),"naples-wrapped-suede-taupe-bg")</f>
        <v>naples-wrapped-suede-taupe-bg</v>
      </c>
      <c r="D10" s="11" t="str">
        <f>IFERROR(__xludf.DUMMYFUNCTION("""COMPUTED_VALUE"""),"Naples Wrapped Suede Taupe")</f>
        <v>Naples Wrapped Suede Taupe</v>
      </c>
      <c r="E10" s="11" t="str">
        <f>IFERROR(__xludf.DUMMYFUNCTION("""COMPUTED_VALUE"""),"Madde in Germany
Birkenstock's Naples Wrapped is a semi-open moccasin style clog. Featuring Birkenstock's cork footbed and a two-component outsole, wrapped in the upper suede. Its natural design is down to the upper made from especially soft suede, which"&amp;" hugs the foot like a second skin. The two-component outsole combines the lightness and flexibility of EVA with the elasticity and scuff resistance of natural rubber.
This style features Birkenstock's Original Footbed, a contoured cork footbed that confo"&amp;"rms to the shape of your foot and features pronounced arch support, a deep heel cup and roomy toe box.
Sizing note: We carry Birkenstock in the regular width from size 41 and up, and the narrrow width from size 40 and down.")</f>
        <v>Madde in Germany
Birkenstock's Naples Wrapped is a semi-open moccasin style clog. Featuring Birkenstock's cork footbed and a two-component outsole, wrapped in the upper suede. Its natural design is down to the upper made from especially soft suede, which hugs the foot like a second skin. The two-component outsole combines the lightness and flexibility of EVA with the elasticity and scuff resistance of natural rubber.
This style features Birkenstock's Original Footbed, a contoured cork footbed that conforms to the shape of your foot and features pronounced arch support, a deep heel cup and roomy toe box.
Sizing note: We carry Birkenstock in the regular width from size 41 and up, and the narrrow width from size 40 and down.</v>
      </c>
      <c r="F10" s="11" t="str">
        <f>IFERROR(__xludf.DUMMYFUNCTION("""COMPUTED_VALUE"""),"The Birkenstock Naples Wrapped in Taupe Suede.")</f>
        <v>The Birkenstock Naples Wrapped in Taupe Suede.</v>
      </c>
      <c r="G10" s="11"/>
      <c r="H10" s="11" t="str">
        <f>IFERROR(__xludf.DUMMYFUNCTION("""COMPUTED_VALUE"""),"naples-wrapped-suede-carafe")</f>
        <v>naples-wrapped-suede-carafe</v>
      </c>
      <c r="I10" s="21" t="str">
        <f t="shared" si="1"/>
        <v>Madde in Germany
Birkenstock's Naples Wrapped is a semi-open moccasin style clog. Featuring Birkenstock's cork footbed and a two-component outsole, wrapped in the upper suede. Its natural design is down to the upper made from especially soft suede, which hugs the foot like a second skin. The two-component outsole combines the lightness and flexibility of EVA with the elasticity and scuff resistance of natural rubber.
This style features Birkenstock's Original Footbed, a contoured cork footbed that conforms to the shape of your foot and features pronounced arch support, a deep heel cup and roomy toe box.
Sizing note: We carry Birkenstock in the regular width from size 41 and up, and the narrrow width from size 40 and down.</v>
      </c>
    </row>
    <row r="11" ht="16.5" customHeight="1">
      <c r="A11" s="11" t="str">
        <f>IFERROR(__xludf.DUMMYFUNCTION("""COMPUTED_VALUE"""),"Birkenstock")</f>
        <v>Birkenstock</v>
      </c>
      <c r="B11" s="11" t="str">
        <f>IFERROR(__xludf.DUMMYFUNCTION("""COMPUTED_VALUE"""),"Shoe Unisex")</f>
        <v>Shoe Unisex</v>
      </c>
      <c r="C11" s="11" t="str">
        <f>IFERROR(__xludf.DUMMYFUNCTION("""COMPUTED_VALUE"""),"utti-suede-carafe")</f>
        <v>utti-suede-carafe</v>
      </c>
      <c r="D11" s="11" t="str">
        <f>IFERROR(__xludf.DUMMYFUNCTION("""COMPUTED_VALUE"""),"Utti Suede Carafe")</f>
        <v>Utti Suede Carafe</v>
      </c>
      <c r="E11" s="11"/>
      <c r="F11" s="11"/>
      <c r="G11" s="11"/>
      <c r="H11" s="11"/>
      <c r="I11" s="21" t="str">
        <f t="shared" si="1"/>
        <v/>
      </c>
    </row>
    <row r="12" ht="16.5" customHeight="1">
      <c r="A12" s="11" t="str">
        <f>IFERROR(__xludf.DUMMYFUNCTION("""COMPUTED_VALUE"""),"Livid Femme")</f>
        <v>Livid Femme</v>
      </c>
      <c r="B12" s="11" t="str">
        <f>IFERROR(__xludf.DUMMYFUNCTION("""COMPUTED_VALUE"""),"T-Shirt")</f>
        <v>T-Shirt</v>
      </c>
      <c r="C12" s="11" t="str">
        <f>IFERROR(__xludf.DUMMYFUNCTION("""COMPUTED_VALUE"""),"abby-fog")</f>
        <v>abby-fog</v>
      </c>
      <c r="D12" s="11" t="str">
        <f>IFERROR(__xludf.DUMMYFUNCTION("""COMPUTED_VALUE"""),"Abby Fog")</f>
        <v>Abby Fog</v>
      </c>
      <c r="E12" s="11" t="str">
        <f>IFERROR(__xludf.DUMMYFUNCTION("""COMPUTED_VALUE"""),"Made in Portugal
Abby features dropped shoulders, wide and longer short sleeves and a generous silhouette, for an updated box-fit.
Made in a pre-shrunk 6.5 Oz heavy 100% cotton jersey exclusively knitted for Livid in Portugal. This jersey was developed "&amp;"for our very first tees in 2013, has since been used in our heavyweight tees due to its durability and comfortable hand feel.")</f>
        <v>Made in Portugal
Abby features dropped shoulders, wide and longer short sleeves and a generous silhouette, for an updated box-fit.
Made in a pre-shrunk 6.5 Oz heavy 100% cotton jersey exclusively knitted for Livid in Portugal. This jersey was developed for our very first tees in 2013, has since been used in our heavyweight tees due to its durability and comfortable hand feel.</v>
      </c>
      <c r="F12" s="11" t="str">
        <f>IFERROR(__xludf.DUMMYFUNCTION("""COMPUTED_VALUE"""),"The box-fit Abby tee, dyed in a seasonal colour.")</f>
        <v>The box-fit Abby tee, dyed in a seasonal colour.</v>
      </c>
      <c r="G12" s="11" t="str">
        <f>IFERROR(__xludf.DUMMYFUNCTION("""COMPUTED_VALUE"""),"- 100% cotton
- 220 gsm pre-shrunk jersey
- Garment dyed
- Sewn with durable poly-core cotton thread
- Knitted by Etevimol in Portugal
- Made at Texgoios in Portugal")</f>
        <v>- 100% cotton
- 220 gsm pre-shrunk jersey
- Garment dyed
- Sewn with durable poly-core cotton thread
- Knitted by Etevimol in Portugal
- Made at Texgoios in Portugal</v>
      </c>
      <c r="H12" s="11" t="str">
        <f>IFERROR(__xludf.DUMMYFUNCTION("""COMPUTED_VALUE"""),"abby-otter-ministripe")</f>
        <v>abby-otter-ministripe</v>
      </c>
      <c r="I12" s="21" t="str">
        <f t="shared" si="1"/>
        <v>Made in Portugal
Abby features dropped shoulders, wide and longer short sleeves and a generous silhouette, for an updated box-fit.
Made in a pre-shrunk 6.5 Oz heavy 100% cotton jersey exclusively knitted for Livid in Portugal. This jersey was developed for our very first tees in 2013, has since been used in our heavyweight tees due to its durability and comfortable hand feel.</v>
      </c>
    </row>
    <row r="13" ht="16.5" customHeight="1">
      <c r="A13" s="11" t="str">
        <f>IFERROR(__xludf.DUMMYFUNCTION("""COMPUTED_VALUE"""),"Livid Femme")</f>
        <v>Livid Femme</v>
      </c>
      <c r="B13" s="11" t="str">
        <f>IFERROR(__xludf.DUMMYFUNCTION("""COMPUTED_VALUE"""),"Jersey")</f>
        <v>Jersey</v>
      </c>
      <c r="C13" s="11" t="str">
        <f>IFERROR(__xludf.DUMMYFUNCTION("""COMPUTED_VALUE"""),"alpha-bone")</f>
        <v>alpha-bone</v>
      </c>
      <c r="D13" s="11" t="str">
        <f>IFERROR(__xludf.DUMMYFUNCTION("""COMPUTED_VALUE"""),"Alpha Bone")</f>
        <v>Alpha Bone</v>
      </c>
      <c r="E13" s="11" t="str">
        <f>IFERROR(__xludf.DUMMYFUNCTION("""COMPUTED_VALUE"""),"400 gsm rib")</f>
        <v>400 gsm rib</v>
      </c>
      <c r="F13" s="11"/>
      <c r="G13" s="11"/>
      <c r="H13" s="11"/>
      <c r="I13" s="21" t="str">
        <f t="shared" si="1"/>
        <v>400 gsm rib</v>
      </c>
    </row>
    <row r="14" ht="16.5" customHeight="1">
      <c r="A14" s="11" t="str">
        <f>IFERROR(__xludf.DUMMYFUNCTION("""COMPUTED_VALUE"""),"Livid Femme")</f>
        <v>Livid Femme</v>
      </c>
      <c r="B14" s="11" t="str">
        <f>IFERROR(__xludf.DUMMYFUNCTION("""COMPUTED_VALUE"""),"Shirt")</f>
        <v>Shirt</v>
      </c>
      <c r="C14" s="11" t="str">
        <f>IFERROR(__xludf.DUMMYFUNCTION("""COMPUTED_VALUE"""),"amber-japan-blue-scurry")</f>
        <v>amber-japan-blue-scurry</v>
      </c>
      <c r="D14" s="11" t="str">
        <f>IFERROR(__xludf.DUMMYFUNCTION("""COMPUTED_VALUE"""),"Amber Japan Blue Scurry")</f>
        <v>Amber Japan Blue Scurry</v>
      </c>
      <c r="E14" s="11" t="str">
        <f>IFERROR(__xludf.DUMMYFUNCTION("""COMPUTED_VALUE"""),"Made in Portugal
Designed with wide, dropped shoulders, a boxy fit and a cropped straight cut hem that ends above the hips. Featuring a square button-down chest pocket, button-down collar and a box-peat at the back yoke. Finished with mother of pearl but"&amp;"tons.
Made in an indigo blue 7 Oz. denim woven by the artisinal denim mill Collect in Japan with a beautiful subtle texture, and washed for a distressed look.")</f>
        <v>Made in Portugal
Designed with wide, dropped shoulders, a boxy fit and a cropped straight cut hem that ends above the hips. Featuring a square button-down chest pocket, button-down collar and a box-peat at the back yoke. Finished with mother of pearl buttons.
Made in an indigo blue 7 Oz. denim woven by the artisinal denim mill Collect in Japan with a beautiful subtle texture, and washed for a distressed look.</v>
      </c>
      <c r="F14" s="11" t="str">
        <f>IFERROR(__xludf.DUMMYFUNCTION("""COMPUTED_VALUE"""),"The cropped box-fit shirt, Amber.")</f>
        <v>The cropped box-fit shirt, Amber.</v>
      </c>
      <c r="G14" s="11" t="str">
        <f>IFERROR(__xludf.DUMMYFUNCTION("""COMPUTED_VALUE"""),"- 100% cotton
- 7 Oz. indigo rope-dyed denim woven by Collect in Japan
- Mother of pearl buttons made by Louropel in Italy
- Stitched with durable poly core cotton thread
- Cut &amp; Sewn by Stork, Portugal")</f>
        <v>- 100% cotton
- 7 Oz. indigo rope-dyed denim woven by Collect in Japan
- Mother of pearl buttons made by Louropel in Italy
- Stitched with durable poly core cotton thread
- Cut &amp; Sewn by Stork, Portugal</v>
      </c>
      <c r="H14" s="11" t="str">
        <f>IFERROR(__xludf.DUMMYFUNCTION("""COMPUTED_VALUE"""),"amber-japan-fog, amber-japan-gravel")</f>
        <v>amber-japan-fog, amber-japan-gravel</v>
      </c>
      <c r="I14" s="21" t="str">
        <f t="shared" si="1"/>
        <v>Made in Portugal
Designed with wide, dropped shoulders, a boxy fit and a cropped straight cut hem that ends above the hips. Featuring a square button-down chest pocket, button-down collar and a box-peat at the back yoke. Finished with mother of pearl buttons.
Made in an indigo blue 7 Oz. denim woven by the artisinal denim mill Collect in Japan with a beautiful subtle texture, and washed for a distressed look.</v>
      </c>
    </row>
    <row r="15" ht="16.5" customHeight="1">
      <c r="A15" s="11" t="str">
        <f>IFERROR(__xludf.DUMMYFUNCTION("""COMPUTED_VALUE"""),"Livid Femme")</f>
        <v>Livid Femme</v>
      </c>
      <c r="B15" s="11" t="str">
        <f>IFERROR(__xludf.DUMMYFUNCTION("""COMPUTED_VALUE"""),"Shirt")</f>
        <v>Shirt</v>
      </c>
      <c r="C15" s="11" t="str">
        <f>IFERROR(__xludf.DUMMYFUNCTION("""COMPUTED_VALUE"""),"amber-japan-fog")</f>
        <v>amber-japan-fog</v>
      </c>
      <c r="D15" s="11" t="str">
        <f>IFERROR(__xludf.DUMMYFUNCTION("""COMPUTED_VALUE"""),"Amber Japan Fog")</f>
        <v>Amber Japan Fog</v>
      </c>
      <c r="E15" s="11" t="str">
        <f>IFERROR(__xludf.DUMMYFUNCTION("""COMPUTED_VALUE"""),"Made in Portugal
Designed with wide, dropped shoulders, a boxy fit and a cropped straight cut hem that ends above the hips. Featuring a square button-down chest pocket, button-down collar and a box-peat at the back yoke. Finished with mother of pearl but"&amp;"tons.
Made in a light grey 7 Oz. denim woven by the artisinal denim mill Collect in Japan with a beautiful subtle texture. This particular denim is made with a rope-dyed warp yarn which has been given just a small handful of dips in the grey dye, resulti"&amp;"ng in a light and subtle shade. The Amber Japan Fog is further washed, resulting in an exceptionally light grey denim shirt with a subtle play of colour.
")</f>
        <v>Made in Portugal
Designed with wide, dropped shoulders, a boxy fit and a cropped straight cut hem that ends above the hips. Featuring a square button-down chest pocket, button-down collar and a box-peat at the back yoke. Finished with mother of pearl buttons.
Made in a light grey 7 Oz. denim woven by the artisinal denim mill Collect in Japan with a beautiful subtle texture. This particular denim is made with a rope-dyed warp yarn which has been given just a small handful of dips in the grey dye, resulting in a light and subtle shade. The Amber Japan Fog is further washed, resulting in an exceptionally light grey denim shirt with a subtle play of colour.
</v>
      </c>
      <c r="F15" s="11" t="str">
        <f>IFERROR(__xludf.DUMMYFUNCTION("""COMPUTED_VALUE"""),"The cropped box-fit shirt, Amber.")</f>
        <v>The cropped box-fit shirt, Amber.</v>
      </c>
      <c r="G15" s="11" t="str">
        <f>IFERROR(__xludf.DUMMYFUNCTION("""COMPUTED_VALUE"""),"- 100% cotton
- 7 Oz. light grey denim woven by Collect in Japan
- Mother of pearl buttons made by Louropel in Italy
- Stitched with durable poly core cotton thread
- Cut &amp; Sewn by Stork, Portugal")</f>
        <v>- 100% cotton
- 7 Oz. light grey denim woven by Collect in Japan
- Mother of pearl buttons made by Louropel in Italy
- Stitched with durable poly core cotton thread
- Cut &amp; Sewn by Stork, Portugal</v>
      </c>
      <c r="H15" s="11" t="str">
        <f>IFERROR(__xludf.DUMMYFUNCTION("""COMPUTED_VALUE"""),"amber-japan-blue-scurry, amber-japan-gravel")</f>
        <v>amber-japan-blue-scurry, amber-japan-gravel</v>
      </c>
      <c r="I15" s="21" t="str">
        <f t="shared" si="1"/>
        <v>Made in Portugal
Designed with wide, dropped shoulders, a boxy fit and a cropped straight cut hem that ends above the hips. Featuring a square button-down chest pocket, button-down collar and a box-peat at the back yoke. Finished with mother of pearl buttons.
Made in a light grey 7 Oz. denim woven by the artisinal denim mill Collect in Japan with a beautiful subtle texture. This particular denim is made with a rope-dyed warp yarn which has been given just a small handful of dips in the grey dye, resulting in a light and subtle shade. The Amber Japan Fog is further washed, resulting in an exceptionally light grey denim shirt with a subtle play of colour.
</v>
      </c>
    </row>
    <row r="16" ht="16.5" customHeight="1">
      <c r="A16" s="11" t="str">
        <f>IFERROR(__xludf.DUMMYFUNCTION("""COMPUTED_VALUE"""),"Livid Femme")</f>
        <v>Livid Femme</v>
      </c>
      <c r="B16" s="11" t="str">
        <f>IFERROR(__xludf.DUMMYFUNCTION("""COMPUTED_VALUE"""),"Shirt")</f>
        <v>Shirt</v>
      </c>
      <c r="C16" s="11" t="str">
        <f>IFERROR(__xludf.DUMMYFUNCTION("""COMPUTED_VALUE"""),"amber-japan-gravel")</f>
        <v>amber-japan-gravel</v>
      </c>
      <c r="D16" s="11" t="str">
        <f>IFERROR(__xludf.DUMMYFUNCTION("""COMPUTED_VALUE"""),"Amber Japan Gravel")</f>
        <v>Amber Japan Gravel</v>
      </c>
      <c r="E16" s="11" t="str">
        <f>IFERROR(__xludf.DUMMYFUNCTION("""COMPUTED_VALUE"""),"Made in Portugal
Designed with wide, dropped shoulders, a boxy fit and a cropped straight cut hem that ends above the hips. Featuring a square button-down chest pocket, button-down collar and a box-peat at the back yoke. Finished with mother of pearl but"&amp;"tons.
Made in a grey 7 Oz. denim woven by the artisinal denim mill Collect in Japan with a beautiful subtle texture, and washed for a sturctured, gravely surface.")</f>
        <v>Made in Portugal
Designed with wide, dropped shoulders, a boxy fit and a cropped straight cut hem that ends above the hips. Featuring a square button-down chest pocket, button-down collar and a box-peat at the back yoke. Finished with mother of pearl buttons.
Made in a grey 7 Oz. denim woven by the artisinal denim mill Collect in Japan with a beautiful subtle texture, and washed for a sturctured, gravely surface.</v>
      </c>
      <c r="F16" s="11" t="str">
        <f>IFERROR(__xludf.DUMMYFUNCTION("""COMPUTED_VALUE"""),"The cropped box-fit shirt, Amber.")</f>
        <v>The cropped box-fit shirt, Amber.</v>
      </c>
      <c r="G16" s="11" t="str">
        <f>IFERROR(__xludf.DUMMYFUNCTION("""COMPUTED_VALUE"""),"- 100% cotton
- 7 Oz. indigo rope-dyed denim woven by Collect in Japan
- Mother of pearl buttons made by Louropel in Italy
- Stitched with durable poly core cotton thread
- Cut &amp; Sewn by Stork, Portugal")</f>
        <v>- 100% cotton
- 7 Oz. indigo rope-dyed denim woven by Collect in Japan
- Mother of pearl buttons made by Louropel in Italy
- Stitched with durable poly core cotton thread
- Cut &amp; Sewn by Stork, Portugal</v>
      </c>
      <c r="H16" s="11" t="str">
        <f>IFERROR(__xludf.DUMMYFUNCTION("""COMPUTED_VALUE"""),"amber-japan-fog, amber-japan-blue-scurry")</f>
        <v>amber-japan-fog, amber-japan-blue-scurry</v>
      </c>
      <c r="I16" s="21" t="str">
        <f t="shared" si="1"/>
        <v>Made in Portugal
Designed with wide, dropped shoulders, a boxy fit and a cropped straight cut hem that ends above the hips. Featuring a square button-down chest pocket, button-down collar and a box-peat at the back yoke. Finished with mother of pearl buttons.
Made in a grey 7 Oz. denim woven by the artisinal denim mill Collect in Japan with a beautiful subtle texture, and washed for a sturctured, gravely surface.</v>
      </c>
    </row>
    <row r="17" ht="16.5" customHeight="1">
      <c r="A17" s="11" t="str">
        <f>IFERROR(__xludf.DUMMYFUNCTION("""COMPUTED_VALUE"""),"Livid Femme")</f>
        <v>Livid Femme</v>
      </c>
      <c r="B17" s="11" t="str">
        <f>IFERROR(__xludf.DUMMYFUNCTION("""COMPUTED_VALUE"""),"Dress")</f>
        <v>Dress</v>
      </c>
      <c r="C17" s="11" t="str">
        <f>IFERROR(__xludf.DUMMYFUNCTION("""COMPUTED_VALUE"""),"brooke-black")</f>
        <v>brooke-black</v>
      </c>
      <c r="D17" s="11" t="str">
        <f>IFERROR(__xludf.DUMMYFUNCTION("""COMPUTED_VALUE"""),"Brooke Black")</f>
        <v>Brooke Black</v>
      </c>
      <c r="E17" s="11"/>
      <c r="F17" s="11"/>
      <c r="G17" s="11"/>
      <c r="H17" s="11"/>
      <c r="I17" s="21" t="str">
        <f t="shared" si="1"/>
        <v/>
      </c>
    </row>
    <row r="18" ht="16.5" customHeight="1">
      <c r="A18" s="11" t="str">
        <f>IFERROR(__xludf.DUMMYFUNCTION("""COMPUTED_VALUE"""),"Livid Femme")</f>
        <v>Livid Femme</v>
      </c>
      <c r="B18" s="11" t="str">
        <f>IFERROR(__xludf.DUMMYFUNCTION("""COMPUTED_VALUE"""),"Shirt")</f>
        <v>Shirt</v>
      </c>
      <c r="C18" s="11" t="str">
        <f>IFERROR(__xludf.DUMMYFUNCTION("""COMPUTED_VALUE"""),"centi-aloe-fine-silk")</f>
        <v>centi-aloe-fine-silk</v>
      </c>
      <c r="D18" s="11" t="str">
        <f>IFERROR(__xludf.DUMMYFUNCTION("""COMPUTED_VALUE"""),"Centi Aloe Fine Silk")</f>
        <v>Centi Aloe Fine Silk</v>
      </c>
      <c r="E18" s="11" t="str">
        <f>IFERROR(__xludf.DUMMYFUNCTION("""COMPUTED_VALUE"""),"Made in Portugal
Made in a lightweight 100% fine silk fabric, lending it a gentle sheen, fluid drape and smooth comfort against the skin.
Centi is designed with a slightly boxy cut, featuring splits at the side seams and a French placket with Mother of "&amp;"pearl buttons.")</f>
        <v>Made in Portugal
Made in a lightweight 100% fine silk fabric, lending it a gentle sheen, fluid drape and smooth comfort against the skin.
Centi is designed with a slightly boxy cut, featuring splits at the side seams and a French placket with Mother of pearl buttons.</v>
      </c>
      <c r="F18" s="11" t="str">
        <f>IFERROR(__xludf.DUMMYFUNCTION("""COMPUTED_VALUE"""),"The single collar short sleeve shirt, Centi.")</f>
        <v>The single collar short sleeve shirt, Centi.</v>
      </c>
      <c r="G18" s="11" t="str">
        <f>IFERROR(__xludf.DUMMYFUNCTION("""COMPUTED_VALUE"""),"- 100% silk
- Silk fabric woven by Jianxin Silk in China
- Mother of pearl buttons
- Sewn with durable poly-core cotton threads
- Cut &amp; sewn by Stork in Portugal")</f>
        <v>- 100% silk
- Silk fabric woven by Jianxin Silk in China
- Mother of pearl buttons
- Sewn with durable poly-core cotton threads
- Cut &amp; sewn by Stork in Portugal</v>
      </c>
      <c r="H18" s="11" t="str">
        <f>IFERROR(__xludf.DUMMYFUNCTION("""COMPUTED_VALUE"""),"centi-white-fine-silk")</f>
        <v>centi-white-fine-silk</v>
      </c>
      <c r="I18" s="21" t="str">
        <f t="shared" si="1"/>
        <v>Made in Portugal
Made in a lightweight 100% fine silk fabric, lending it a gentle sheen, fluid drape and smooth comfort against the skin.
Centi is designed with a slightly boxy cut, featuring splits at the side seams and a French placket with Mother of pearl buttons.</v>
      </c>
    </row>
    <row r="19" ht="16.5" customHeight="1">
      <c r="A19" s="11" t="str">
        <f>IFERROR(__xludf.DUMMYFUNCTION("""COMPUTED_VALUE"""),"Livid Femme")</f>
        <v>Livid Femme</v>
      </c>
      <c r="B19" s="11" t="str">
        <f>IFERROR(__xludf.DUMMYFUNCTION("""COMPUTED_VALUE"""),"Shirt")</f>
        <v>Shirt</v>
      </c>
      <c r="C19" s="11" t="str">
        <f>IFERROR(__xludf.DUMMYFUNCTION("""COMPUTED_VALUE"""),"centi-white-fine-silk")</f>
        <v>centi-white-fine-silk</v>
      </c>
      <c r="D19" s="11" t="str">
        <f>IFERROR(__xludf.DUMMYFUNCTION("""COMPUTED_VALUE"""),"Centi White Fine Silk")</f>
        <v>Centi White Fine Silk</v>
      </c>
      <c r="E19" s="11" t="str">
        <f>IFERROR(__xludf.DUMMYFUNCTION("""COMPUTED_VALUE"""),"Made in Portugal
Made in a lightweight 100% fine silk fabric, lending it a gentle sheen, fluid drape and smooth comfort against the skin.
Centi is designed with a slightly boxy cut, featuring splits at the side seams and a French placket with Mother of "&amp;"pearl buttons.")</f>
        <v>Made in Portugal
Made in a lightweight 100% fine silk fabric, lending it a gentle sheen, fluid drape and smooth comfort against the skin.
Centi is designed with a slightly boxy cut, featuring splits at the side seams and a French placket with Mother of pearl buttons.</v>
      </c>
      <c r="F19" s="11" t="str">
        <f>IFERROR(__xludf.DUMMYFUNCTION("""COMPUTED_VALUE"""),"The single collar short sleeve shirt, Centi.")</f>
        <v>The single collar short sleeve shirt, Centi.</v>
      </c>
      <c r="G19" s="11" t="str">
        <f>IFERROR(__xludf.DUMMYFUNCTION("""COMPUTED_VALUE"""),"- 100% silk
- Silk fabric woven by Jianxin Silk in China
- Mother of pearl buttons
- Sewn with durable poly-core cotton threads
- Cut &amp; sewn by Stork in Portugal")</f>
        <v>- 100% silk
- Silk fabric woven by Jianxin Silk in China
- Mother of pearl buttons
- Sewn with durable poly-core cotton threads
- Cut &amp; sewn by Stork in Portugal</v>
      </c>
      <c r="H19" s="11" t="str">
        <f>IFERROR(__xludf.DUMMYFUNCTION("""COMPUTED_VALUE"""),"centi-aloe-fine-silk")</f>
        <v>centi-aloe-fine-silk</v>
      </c>
      <c r="I19" s="21" t="str">
        <f t="shared" si="1"/>
        <v>Made in Portugal
Made in a lightweight 100% fine silk fabric, lending it a gentle sheen, fluid drape and smooth comfort against the skin.
Centi is designed with a slightly boxy cut, featuring splits at the side seams and a French placket with Mother of pearl buttons.</v>
      </c>
    </row>
    <row r="20" ht="16.5" customHeight="1">
      <c r="A20" s="11" t="str">
        <f>IFERROR(__xludf.DUMMYFUNCTION("""COMPUTED_VALUE"""),"Livid Femme")</f>
        <v>Livid Femme</v>
      </c>
      <c r="B20" s="11" t="str">
        <f>IFERROR(__xludf.DUMMYFUNCTION("""COMPUTED_VALUE"""),"Jersey")</f>
        <v>Jersey</v>
      </c>
      <c r="C20" s="11" t="str">
        <f>IFERROR(__xludf.DUMMYFUNCTION("""COMPUTED_VALUE"""),"coty-white")</f>
        <v>coty-white</v>
      </c>
      <c r="D20" s="11" t="str">
        <f>IFERROR(__xludf.DUMMYFUNCTION("""COMPUTED_VALUE"""),"Coty White")</f>
        <v>Coty White</v>
      </c>
      <c r="E20" s="11"/>
      <c r="F20" s="11"/>
      <c r="G20" s="11"/>
      <c r="H20" s="11"/>
      <c r="I20" s="21" t="str">
        <f t="shared" si="1"/>
        <v/>
      </c>
    </row>
    <row r="21" ht="16.5" customHeight="1">
      <c r="A21" s="11" t="str">
        <f>IFERROR(__xludf.DUMMYFUNCTION("""COMPUTED_VALUE"""),"Livid Femme")</f>
        <v>Livid Femme</v>
      </c>
      <c r="B21" s="11" t="str">
        <f>IFERROR(__xludf.DUMMYFUNCTION("""COMPUTED_VALUE"""),"Singlet")</f>
        <v>Singlet</v>
      </c>
      <c r="C21" s="11" t="str">
        <f>IFERROR(__xludf.DUMMYFUNCTION("""COMPUTED_VALUE"""),"eva-bone")</f>
        <v>eva-bone</v>
      </c>
      <c r="D21" s="11" t="str">
        <f>IFERROR(__xludf.DUMMYFUNCTION("""COMPUTED_VALUE"""),"Eva Bone")</f>
        <v>Eva Bone</v>
      </c>
      <c r="E21" s="11" t="str">
        <f>IFERROR(__xludf.DUMMYFUNCTION("""COMPUTED_VALUE"""),"Made in Portugal
Eva is made in a light 100% cotton jersey knitted in Portugal. Featuring a slim shape, a boat neckline with a narrow jersey rib at neck and sleeve openings.
The shape gives a relaxed and versitle silhouette.")</f>
        <v>Made in Portugal
Eva is made in a light 100% cotton jersey knitted in Portugal. Featuring a slim shape, a boat neckline with a narrow jersey rib at neck and sleeve openings.
The shape gives a relaxed and versitle silhouette.</v>
      </c>
      <c r="F21" s="11" t="str">
        <f>IFERROR(__xludf.DUMMYFUNCTION("""COMPUTED_VALUE"""),"The boat neck singlet Eva.")</f>
        <v>The boat neck singlet Eva.</v>
      </c>
      <c r="G21" s="11" t="str">
        <f>IFERROR(__xludf.DUMMYFUNCTION("""COMPUTED_VALUE"""),"- 100% cotton
- 160 gsm pre-shrunk jersey
- Sewn with durable poly-core cotton thread
- Jersey fabric knitted at Etevimol in Portugal
- Made at Texgoios in Portugal")</f>
        <v>- 100% cotton
- 160 gsm pre-shrunk jersey
- Sewn with durable poly-core cotton thread
- Jersey fabric knitted at Etevimol in Portugal
- Made at Texgoios in Portugal</v>
      </c>
      <c r="H21" s="11" t="str">
        <f>IFERROR(__xludf.DUMMYFUNCTION("""COMPUTED_VALUE"""),"eva-white, eva-black")</f>
        <v>eva-white, eva-black</v>
      </c>
      <c r="I21" s="21" t="str">
        <f t="shared" si="1"/>
        <v>Made in Portugal
Eva is made in a light 100% cotton jersey knitted in Portugal. Featuring a slim shape, a boat neckline with a narrow jersey rib at neck and sleeve openings.
The shape gives a relaxed and versitle silhouette.</v>
      </c>
    </row>
    <row r="22" ht="16.5" customHeight="1">
      <c r="A22" s="11" t="str">
        <f>IFERROR(__xludf.DUMMYFUNCTION("""COMPUTED_VALUE"""),"Livid Femme")</f>
        <v>Livid Femme</v>
      </c>
      <c r="B22" s="11" t="str">
        <f>IFERROR(__xludf.DUMMYFUNCTION("""COMPUTED_VALUE"""),"Jersey")</f>
        <v>Jersey</v>
      </c>
      <c r="C22" s="11" t="str">
        <f>IFERROR(__xludf.DUMMYFUNCTION("""COMPUTED_VALUE"""),"forte-black")</f>
        <v>forte-black</v>
      </c>
      <c r="D22" s="11" t="str">
        <f>IFERROR(__xludf.DUMMYFUNCTION("""COMPUTED_VALUE"""),"Forte Black")</f>
        <v>Forte Black</v>
      </c>
      <c r="E22" s="11"/>
      <c r="F22" s="11"/>
      <c r="G22" s="11"/>
      <c r="H22" s="11"/>
      <c r="I22" s="21" t="str">
        <f t="shared" si="1"/>
        <v/>
      </c>
    </row>
    <row r="23" ht="16.5" customHeight="1">
      <c r="A23" s="11" t="str">
        <f>IFERROR(__xludf.DUMMYFUNCTION("""COMPUTED_VALUE"""),"Livid Femme")</f>
        <v>Livid Femme</v>
      </c>
      <c r="B23" s="11" t="str">
        <f>IFERROR(__xludf.DUMMYFUNCTION("""COMPUTED_VALUE"""),"Knitwear")</f>
        <v>Knitwear</v>
      </c>
      <c r="C23" s="11" t="str">
        <f>IFERROR(__xludf.DUMMYFUNCTION("""COMPUTED_VALUE"""),"merilot-papercrochet-bone")</f>
        <v>merilot-papercrochet-bone</v>
      </c>
      <c r="D23" s="11" t="str">
        <f>IFERROR(__xludf.DUMMYFUNCTION("""COMPUTED_VALUE"""),"Merilot Papercrochet Bone")</f>
        <v>Merilot Papercrochet Bone</v>
      </c>
      <c r="E23" s="11"/>
      <c r="F23" s="11"/>
      <c r="G23" s="11"/>
      <c r="H23" s="11"/>
      <c r="I23" s="21" t="str">
        <f t="shared" si="1"/>
        <v/>
      </c>
    </row>
    <row r="24" ht="16.5" customHeight="1">
      <c r="A24" s="11" t="str">
        <f>IFERROR(__xludf.DUMMYFUNCTION("""COMPUTED_VALUE"""),"Livid Femme")</f>
        <v>Livid Femme</v>
      </c>
      <c r="B24" s="11" t="str">
        <f>IFERROR(__xludf.DUMMYFUNCTION("""COMPUTED_VALUE"""),"Jersey")</f>
        <v>Jersey</v>
      </c>
      <c r="C24" s="11" t="str">
        <f>IFERROR(__xludf.DUMMYFUNCTION("""COMPUTED_VALUE"""),"mila-carma-string")</f>
        <v>mila-carma-string</v>
      </c>
      <c r="D24" s="11" t="str">
        <f>IFERROR(__xludf.DUMMYFUNCTION("""COMPUTED_VALUE"""),"Mila Carma String")</f>
        <v>Mila Carma String</v>
      </c>
      <c r="E24" s="11" t="str">
        <f>IFERROR(__xludf.DUMMYFUNCTION("""COMPUTED_VALUE"""),"Made in Portugal
Mila features dropped shoulders and a relaxed, slightly cropped silhouette. 
Made in our signature 6.5 Oz heavyweight 100% cotton jersey exclusively made for Livid in Portugal. Garment dyed and acid washed for a subtly faded look.")</f>
        <v>Made in Portugal
Mila features dropped shoulders and a relaxed, slightly cropped silhouette. 
Made in our signature 6.5 Oz heavyweight 100% cotton jersey exclusively made for Livid in Portugal. Garment dyed and acid washed for a subtly faded look.</v>
      </c>
      <c r="F24" s="11" t="str">
        <f>IFERROR(__xludf.DUMMYFUNCTION("""COMPUTED_VALUE"""),"The relaxed longsleeve Mila, in a seasonal slubby stripe design.")</f>
        <v>The relaxed longsleeve Mila, in a seasonal slubby stripe design.</v>
      </c>
      <c r="G24" s="11" t="str">
        <f>IFERROR(__xludf.DUMMYFUNCTION("""COMPUTED_VALUE"""),"- 100% cotton
- Pre-shrunk slub yarn jersey
- Knitted by Etevimol in Portugal
- Fine rib collar
- Sewn with durable poly-core cotton thread
- Made at Texgoios in Portugal")</f>
        <v>- 100% cotton
- Pre-shrunk slub yarn jersey
- Knitted by Etevimol in Portugal
- Fine rib collar
- Sewn with durable poly-core cotton thread
- Made at Texgoios in Portugal</v>
      </c>
      <c r="H24" s="11"/>
      <c r="I24" s="21" t="str">
        <f t="shared" si="1"/>
        <v>Made in Portugal
Mila features dropped shoulders and a relaxed, slightly cropped silhouette. 
Made in our signature 6.5 Oz heavyweight 100% cotton jersey exclusively made for Livid in Portugal. Garment dyed and acid washed for a subtly faded look.</v>
      </c>
    </row>
    <row r="25" ht="16.5" customHeight="1">
      <c r="A25" s="11" t="str">
        <f>IFERROR(__xludf.DUMMYFUNCTION("""COMPUTED_VALUE"""),"Livid Femme")</f>
        <v>Livid Femme</v>
      </c>
      <c r="B25" s="11" t="str">
        <f>IFERROR(__xludf.DUMMYFUNCTION("""COMPUTED_VALUE"""),"Jersey")</f>
        <v>Jersey</v>
      </c>
      <c r="C25" s="11" t="str">
        <f>IFERROR(__xludf.DUMMYFUNCTION("""COMPUTED_VALUE"""),"mila-charcoal-fadeout")</f>
        <v>mila-charcoal-fadeout</v>
      </c>
      <c r="D25" s="11" t="str">
        <f>IFERROR(__xludf.DUMMYFUNCTION("""COMPUTED_VALUE"""),"Mila Charcoal Fadeout")</f>
        <v>Mila Charcoal Fadeout</v>
      </c>
      <c r="E25" s="11" t="str">
        <f>IFERROR(__xludf.DUMMYFUNCTION("""COMPUTED_VALUE"""),"Made in Portugal
Mila features dropped shoulders and a relaxed, slightly cropped silhouette. 
Made in our signature 6.5 Oz heavyweight 100% cotton jersey exclusively made for Livid in Portugal. Garment dyed and acid washed for a subtly faded look.")</f>
        <v>Made in Portugal
Mila features dropped shoulders and a relaxed, slightly cropped silhouette. 
Made in our signature 6.5 Oz heavyweight 100% cotton jersey exclusively made for Livid in Portugal. Garment dyed and acid washed for a subtly faded look.</v>
      </c>
      <c r="F25" s="11" t="str">
        <f>IFERROR(__xludf.DUMMYFUNCTION("""COMPUTED_VALUE"""),"The relaxed longsleeve Mila.")</f>
        <v>The relaxed longsleeve Mila.</v>
      </c>
      <c r="G25" s="11" t="str">
        <f>IFERROR(__xludf.DUMMYFUNCTION("""COMPUTED_VALUE"""),"- 100% cotton
- 220 gsm pre-shrunk jersey
- Knitted by Etevimol in Portugal
- Fine rib collar
- Sewn with durable poly-core cotton thread
- Made at Texgoios in Portugal")</f>
        <v>- 100% cotton
- 220 gsm pre-shrunk jersey
- Knitted by Etevimol in Portugal
- Fine rib collar
- Sewn with durable poly-core cotton thread
- Made at Texgoios in Portugal</v>
      </c>
      <c r="H25" s="11"/>
      <c r="I25" s="21" t="str">
        <f t="shared" si="1"/>
        <v>Made in Portugal
Mila features dropped shoulders and a relaxed, slightly cropped silhouette. 
Made in our signature 6.5 Oz heavyweight 100% cotton jersey exclusively made for Livid in Portugal. Garment dyed and acid washed for a subtly faded look.</v>
      </c>
    </row>
    <row r="26" ht="16.5" customHeight="1">
      <c r="A26" s="11" t="str">
        <f>IFERROR(__xludf.DUMMYFUNCTION("""COMPUTED_VALUE"""),"Livid Femme")</f>
        <v>Livid Femme</v>
      </c>
      <c r="B26" s="11" t="str">
        <f>IFERROR(__xludf.DUMMYFUNCTION("""COMPUTED_VALUE"""),"Knitwear")</f>
        <v>Knitwear</v>
      </c>
      <c r="C26" s="11" t="str">
        <f>IFERROR(__xludf.DUMMYFUNCTION("""COMPUTED_VALUE"""),"miso-papercrochet-bone")</f>
        <v>miso-papercrochet-bone</v>
      </c>
      <c r="D26" s="11" t="str">
        <f>IFERROR(__xludf.DUMMYFUNCTION("""COMPUTED_VALUE"""),"Miso Papercrochet Bone")</f>
        <v>Miso Papercrochet Bone</v>
      </c>
      <c r="E26" s="11"/>
      <c r="F26" s="11"/>
      <c r="G26" s="11"/>
      <c r="H26" s="11"/>
      <c r="I26" s="21" t="str">
        <f t="shared" si="1"/>
        <v/>
      </c>
    </row>
    <row r="27" ht="16.5" customHeight="1">
      <c r="A27" s="11" t="str">
        <f>IFERROR(__xludf.DUMMYFUNCTION("""COMPUTED_VALUE"""),"Livid Femme")</f>
        <v>Livid Femme</v>
      </c>
      <c r="B27" s="11" t="str">
        <f>IFERROR(__xludf.DUMMYFUNCTION("""COMPUTED_VALUE"""),"Knitwear")</f>
        <v>Knitwear</v>
      </c>
      <c r="C27" s="11" t="str">
        <f>IFERROR(__xludf.DUMMYFUNCTION("""COMPUTED_VALUE"""),"winnipeg-papercrochet-bone")</f>
        <v>winnipeg-papercrochet-bone</v>
      </c>
      <c r="D27" s="11" t="str">
        <f>IFERROR(__xludf.DUMMYFUNCTION("""COMPUTED_VALUE"""),"Winnipeg Papercrochet Bone")</f>
        <v>Winnipeg Papercrochet Bone</v>
      </c>
      <c r="E27" s="22"/>
      <c r="F27" s="11"/>
      <c r="G27" s="11"/>
      <c r="H27" s="11"/>
      <c r="I27" s="21" t="str">
        <f t="shared" si="1"/>
        <v/>
      </c>
    </row>
    <row r="28" ht="16.5" customHeight="1">
      <c r="A28" s="11" t="str">
        <f>IFERROR(__xludf.DUMMYFUNCTION("""COMPUTED_VALUE"""),"Livid Femme")</f>
        <v>Livid Femme</v>
      </c>
      <c r="B28" s="11" t="str">
        <f>IFERROR(__xludf.DUMMYFUNCTION("""COMPUTED_VALUE"""),"Jersey")</f>
        <v>Jersey</v>
      </c>
      <c r="C28" s="11" t="str">
        <f>IFERROR(__xludf.DUMMYFUNCTION("""COMPUTED_VALUE"""),"nara-smoke")</f>
        <v>nara-smoke</v>
      </c>
      <c r="D28" s="11" t="str">
        <f>IFERROR(__xludf.DUMMYFUNCTION("""COMPUTED_VALUE"""),"Nara Smoke")</f>
        <v>Nara Smoke</v>
      </c>
      <c r="E28" s="11"/>
      <c r="F28" s="11"/>
      <c r="G28" s="11"/>
      <c r="H28" s="11"/>
      <c r="I28" s="21" t="str">
        <f t="shared" si="1"/>
        <v/>
      </c>
    </row>
    <row r="29" ht="16.5" customHeight="1">
      <c r="A29" s="11" t="str">
        <f>IFERROR(__xludf.DUMMYFUNCTION("""COMPUTED_VALUE"""),"Livid Femme")</f>
        <v>Livid Femme</v>
      </c>
      <c r="B29" s="11" t="str">
        <f>IFERROR(__xludf.DUMMYFUNCTION("""COMPUTED_VALUE"""),"Jersey")</f>
        <v>Jersey</v>
      </c>
      <c r="C29" s="11" t="str">
        <f>IFERROR(__xludf.DUMMYFUNCTION("""COMPUTED_VALUE"""),"nara-white")</f>
        <v>nara-white</v>
      </c>
      <c r="D29" s="11" t="str">
        <f>IFERROR(__xludf.DUMMYFUNCTION("""COMPUTED_VALUE"""),"Nara White")</f>
        <v>Nara White</v>
      </c>
      <c r="E29" s="11"/>
      <c r="F29" s="11"/>
      <c r="G29" s="11"/>
      <c r="H29" s="11"/>
      <c r="I29" s="21" t="str">
        <f t="shared" si="1"/>
        <v/>
      </c>
    </row>
    <row r="30" ht="16.5" customHeight="1">
      <c r="A30" s="11" t="str">
        <f>IFERROR(__xludf.DUMMYFUNCTION("""COMPUTED_VALUE"""),"Livid Femme")</f>
        <v>Livid Femme</v>
      </c>
      <c r="B30" s="11" t="str">
        <f>IFERROR(__xludf.DUMMYFUNCTION("""COMPUTED_VALUE"""),"Shirt")</f>
        <v>Shirt</v>
      </c>
      <c r="C30" s="11" t="str">
        <f>IFERROR(__xludf.DUMMYFUNCTION("""COMPUTED_VALUE"""),"nikka-khaki-linen")</f>
        <v>nikka-khaki-linen</v>
      </c>
      <c r="D30" s="11" t="str">
        <f>IFERROR(__xludf.DUMMYFUNCTION("""COMPUTED_VALUE"""),"Nikka Khaki Linen")</f>
        <v>Nikka Khaki Linen</v>
      </c>
      <c r="E30" s="11" t="str">
        <f>IFERROR(__xludf.DUMMYFUNCTION("""COMPUTED_VALUE"""),"Made in Portugal
Designed with bold proportions, half-sleeves and a slightly cropped length, finished with large mother of pearl buttons.
Made in a heavy linen fabric woven by Klasikine in Lithuania, the same fabric we use for our Keri Linen Trousers. T"&amp;"he weighty fabric gives the Nikka shirt a dramatic drape and wonderful handfeel.")</f>
        <v>Made in Portugal
Designed with bold proportions, half-sleeves and a slightly cropped length, finished with large mother of pearl buttons.
Made in a heavy linen fabric woven by Klasikine in Lithuania, the same fabric we use for our Keri Linen Trousers. The weighty fabric gives the Nikka shirt a dramatic drape and wonderful handfeel.</v>
      </c>
      <c r="F30" s="11" t="str">
        <f>IFERROR(__xludf.DUMMYFUNCTION("""COMPUTED_VALUE"""),"The square-cut linen shirt, Nikka.")</f>
        <v>The square-cut linen shirt, Nikka.</v>
      </c>
      <c r="G30" s="11" t="str">
        <f>IFERROR(__xludf.DUMMYFUNCTION("""COMPUTED_VALUE"""),"- 100% Linen 
- Woven by Klasikine in Lithuania
- Real mother of pearl buttons made by Louropel in Italy
- Stitched with durable poly core cotton thread
- Made at Stork in Portugal")</f>
        <v>- 100% Linen 
- Woven by Klasikine in Lithuania
- Real mother of pearl buttons made by Louropel in Italy
- Stitched with durable poly core cotton thread
- Made at Stork in Portugal</v>
      </c>
      <c r="H30" s="11" t="str">
        <f>IFERROR(__xludf.DUMMYFUNCTION("""COMPUTED_VALUE"""),"nikka-peat-linen")</f>
        <v>nikka-peat-linen</v>
      </c>
      <c r="I30" s="21" t="str">
        <f t="shared" si="1"/>
        <v>Made in Portugal
Designed with bold proportions, half-sleeves and a slightly cropped length, finished with large mother of pearl buttons.
Made in a heavy linen fabric woven by Klasikine in Lithuania, the same fabric we use for our Keri Linen Trousers. The weighty fabric gives the Nikka shirt a dramatic drape and wonderful handfeel.</v>
      </c>
    </row>
    <row r="31" ht="16.5" customHeight="1">
      <c r="A31" s="11" t="str">
        <f>IFERROR(__xludf.DUMMYFUNCTION("""COMPUTED_VALUE"""),"Livid Femme")</f>
        <v>Livid Femme</v>
      </c>
      <c r="B31" s="11" t="str">
        <f>IFERROR(__xludf.DUMMYFUNCTION("""COMPUTED_VALUE"""),"Shirt")</f>
        <v>Shirt</v>
      </c>
      <c r="C31" s="11" t="str">
        <f>IFERROR(__xludf.DUMMYFUNCTION("""COMPUTED_VALUE"""),"nikka-peat-linen")</f>
        <v>nikka-peat-linen</v>
      </c>
      <c r="D31" s="11" t="str">
        <f>IFERROR(__xludf.DUMMYFUNCTION("""COMPUTED_VALUE"""),"Nikka Peat Linen")</f>
        <v>Nikka Peat Linen</v>
      </c>
      <c r="E31" s="11" t="str">
        <f>IFERROR(__xludf.DUMMYFUNCTION("""COMPUTED_VALUE"""),"Made in Portugal
Designed with bold proportions, half-sleeves and a slightly cropped length, finished with large mother of pearl buttons.
Made in a heavy linen fabric woven by Klasikine in Lithuania, the same fabric we use for our Keri Linen Trousers. T"&amp;"he weighty fabric gives the Nikka shirt a dramatic drape and wonderful handfeel.")</f>
        <v>Made in Portugal
Designed with bold proportions, half-sleeves and a slightly cropped length, finished with large mother of pearl buttons.
Made in a heavy linen fabric woven by Klasikine in Lithuania, the same fabric we use for our Keri Linen Trousers. The weighty fabric gives the Nikka shirt a dramatic drape and wonderful handfeel.</v>
      </c>
      <c r="F31" s="11" t="str">
        <f>IFERROR(__xludf.DUMMYFUNCTION("""COMPUTED_VALUE"""),"The square-cut linen shirt, Nikka.")</f>
        <v>The square-cut linen shirt, Nikka.</v>
      </c>
      <c r="G31" s="11" t="str">
        <f>IFERROR(__xludf.DUMMYFUNCTION("""COMPUTED_VALUE"""),"- 100% Linen 
- Woven by Klasikine in Lithuania
- Real mother of pearl buttons made by Louropel in Italy
- Stitched with durable poly core cotton thread
- Made at Stork in Portugal")</f>
        <v>- 100% Linen 
- Woven by Klasikine in Lithuania
- Real mother of pearl buttons made by Louropel in Italy
- Stitched with durable poly core cotton thread
- Made at Stork in Portugal</v>
      </c>
      <c r="H31" s="11" t="str">
        <f>IFERROR(__xludf.DUMMYFUNCTION("""COMPUTED_VALUE"""),"nikka-khaki-linen")</f>
        <v>nikka-khaki-linen</v>
      </c>
      <c r="I31" s="21" t="str">
        <f t="shared" si="1"/>
        <v>Made in Portugal
Designed with bold proportions, half-sleeves and a slightly cropped length, finished with large mother of pearl buttons.
Made in a heavy linen fabric woven by Klasikine in Lithuania, the same fabric we use for our Keri Linen Trousers. The weighty fabric gives the Nikka shirt a dramatic drape and wonderful handfeel.</v>
      </c>
    </row>
    <row r="32" ht="16.5" customHeight="1">
      <c r="A32" s="11" t="str">
        <f>IFERROR(__xludf.DUMMYFUNCTION("""COMPUTED_VALUE"""),"Livid Femme")</f>
        <v>Livid Femme</v>
      </c>
      <c r="B32" s="11" t="str">
        <f>IFERROR(__xludf.DUMMYFUNCTION("""COMPUTED_VALUE"""),"Shirt")</f>
        <v>Shirt</v>
      </c>
      <c r="C32" s="11" t="str">
        <f>IFERROR(__xludf.DUMMYFUNCTION("""COMPUTED_VALUE"""),"turnip-khaki")</f>
        <v>turnip-khaki</v>
      </c>
      <c r="D32" s="11" t="str">
        <f>IFERROR(__xludf.DUMMYFUNCTION("""COMPUTED_VALUE"""),"Turnip Khaki")</f>
        <v>Turnip Khaki</v>
      </c>
      <c r="E32" s="11"/>
      <c r="F32" s="11"/>
      <c r="G32" s="11"/>
      <c r="H32" s="11"/>
      <c r="I32" s="21" t="str">
        <f t="shared" si="1"/>
        <v/>
      </c>
    </row>
    <row r="33" ht="16.5" customHeight="1">
      <c r="A33" s="11" t="str">
        <f>IFERROR(__xludf.DUMMYFUNCTION("""COMPUTED_VALUE"""),"Livid Femme")</f>
        <v>Livid Femme</v>
      </c>
      <c r="B33" s="11" t="str">
        <f>IFERROR(__xludf.DUMMYFUNCTION("""COMPUTED_VALUE"""),"Shirt")</f>
        <v>Shirt</v>
      </c>
      <c r="C33" s="11" t="str">
        <f>IFERROR(__xludf.DUMMYFUNCTION("""COMPUTED_VALUE"""),"lais-grey-seersucker")</f>
        <v>lais-grey-seersucker</v>
      </c>
      <c r="D33" s="11" t="str">
        <f>IFERROR(__xludf.DUMMYFUNCTION("""COMPUTED_VALUE"""),"Lais Grey Seersucker")</f>
        <v>Lais Grey Seersucker</v>
      </c>
      <c r="E33" s="11" t="str">
        <f>IFERROR(__xludf.DUMMYFUNCTION("""COMPUTED_VALUE"""),"Made in Portugal
Made with a lightweight and airy seersucker fabric designed by Livid and woven by Somelos in Portugal. A soft seersucker developed to have a fluid drape, and incredible lightness, with a puckered surface giving a cooling effect against t"&amp;"he skin.
Made in the box-fit, Lais. Designed with a boxy straight cut, featuring a box pleat at the back yoke, a French placket with mother of pearl buttoning, and a straight hem ending at the hips.")</f>
        <v>Made in Portugal
Made with a lightweight and airy seersucker fabric designed by Livid and woven by Somelos in Portugal. A soft seersucker developed to have a fluid drape, and incredible lightness, with a puckered surface giving a cooling effect against the skin.
Made in the box-fit, Lais. Designed with a boxy straight cut, featuring a box pleat at the back yoke, a French placket with mother of pearl buttoning, and a straight hem ending at the hips.</v>
      </c>
      <c r="F33" s="11" t="str">
        <f>IFERROR(__xludf.DUMMYFUNCTION("""COMPUTED_VALUE"""),"The box-fit shirt, Lais.")</f>
        <v>The box-fit shirt, Lais.</v>
      </c>
      <c r="G33" s="11" t="str">
        <f>IFERROR(__xludf.DUMMYFUNCTION("""COMPUTED_VALUE"""),"- 98% cotton, 2% elastane
- Lightweight seersucker fabric designed by Livid
- Woven at Somelos in Portugal, exclusively for Livid
- Mother of Pearl buttons made by Louropel in Italy
- Stitched with durable poly-core cotton thread
- Made at Stork in Portug"&amp;"al")</f>
        <v>- 98% cotton, 2% elastane
- Lightweight seersucker fabric designed by Livid
- Woven at Somelos in Portugal, exclusively for Livid
- Mother of Pearl buttons made by Louropel in Italy
- Stitched with durable poly-core cotton thread
- Made at Stork in Portugal</v>
      </c>
      <c r="H33" s="11"/>
      <c r="I33" s="21" t="str">
        <f t="shared" si="1"/>
        <v>Made in Portugal
Made with a lightweight and airy seersucker fabric designed by Livid and woven by Somelos in Portugal. A soft seersucker developed to have a fluid drape, and incredible lightness, with a puckered surface giving a cooling effect against the skin.
Made in the box-fit, Lais. Designed with a boxy straight cut, featuring a box pleat at the back yoke, a French placket with mother of pearl buttoning, and a straight hem ending at the hips.</v>
      </c>
    </row>
    <row r="34" ht="16.5" customHeight="1">
      <c r="A34" s="11" t="str">
        <f>IFERROR(__xludf.DUMMYFUNCTION("""COMPUTED_VALUE"""),"Livid Femme")</f>
        <v>Livid Femme</v>
      </c>
      <c r="B34" s="11" t="str">
        <f>IFERROR(__xludf.DUMMYFUNCTION("""COMPUTED_VALUE"""),"Shirt")</f>
        <v>Shirt</v>
      </c>
      <c r="C34" s="11" t="str">
        <f>IFERROR(__xludf.DUMMYFUNCTION("""COMPUTED_VALUE"""),"tiki-silk-black")</f>
        <v>tiki-silk-black</v>
      </c>
      <c r="D34" s="11" t="str">
        <f>IFERROR(__xludf.DUMMYFUNCTION("""COMPUTED_VALUE"""),"Tiki Black Silk")</f>
        <v>Tiki Black Silk</v>
      </c>
      <c r="E34" s="11" t="str">
        <f>IFERROR(__xludf.DUMMYFUNCTION("""COMPUTED_VALUE"""),"Made in Portugal
Made in a lightweight 100% fine silk fabric, lending it a gentle sheen, fluid drape and smooth comfort against the skin.
Tiki is designed with a generous straight cut, featuring a clean front placket, box pleat at the back yoke, curved "&amp;"hem, and pleats at cuff. Mother of pearl buttons at cuffs and placket.")</f>
        <v>Made in Portugal
Made in a lightweight 100% fine silk fabric, lending it a gentle sheen, fluid drape and smooth comfort against the skin.
Tiki is designed with a generous straight cut, featuring a clean front placket, box pleat at the back yoke, curved hem, and pleats at cuff. Mother of pearl buttons at cuffs and placket.</v>
      </c>
      <c r="F34" s="11" t="str">
        <f>IFERROR(__xludf.DUMMYFUNCTION("""COMPUTED_VALUE"""),"The maxi-fit shirt, Tiki, in a pure fine silk.")</f>
        <v>The maxi-fit shirt, Tiki, in a pure fine silk.</v>
      </c>
      <c r="G34" s="11" t="str">
        <f>IFERROR(__xludf.DUMMYFUNCTION("""COMPUTED_VALUE"""),"- 100% silk
- Silk fabric woven by Jianxin Silk in China
- Mother of pearl buttons
- Sewn with durable poly-core cotton threads
- Cut &amp; sewn by Stork in Portugal")</f>
        <v>- 100% silk
- Silk fabric woven by Jianxin Silk in China
- Mother of pearl buttons
- Sewn with durable poly-core cotton threads
- Cut &amp; sewn by Stork in Portugal</v>
      </c>
      <c r="H34" s="11" t="str">
        <f>IFERROR(__xludf.DUMMYFUNCTION("""COMPUTED_VALUE"""),"tiki-silk-white, tiki-blue-pop, tiki-noil-silk-black")</f>
        <v>tiki-silk-white, tiki-blue-pop, tiki-noil-silk-black</v>
      </c>
      <c r="I34" s="21" t="str">
        <f t="shared" si="1"/>
        <v>Made in Portugal
Made in a lightweight 100% fine silk fabric, lending it a gentle sheen, fluid drape and smooth comfort against the skin.
Tiki is designed with a generous straight cut, featuring a clean front placket, box pleat at the back yoke, curved hem, and pleats at cuff. Mother of pearl buttons at cuffs and placket.</v>
      </c>
    </row>
    <row r="35" ht="16.5" customHeight="1">
      <c r="A35" s="11" t="str">
        <f>IFERROR(__xludf.DUMMYFUNCTION("""COMPUTED_VALUE"""),"Livid Femme")</f>
        <v>Livid Femme</v>
      </c>
      <c r="B35" s="11" t="str">
        <f>IFERROR(__xludf.DUMMYFUNCTION("""COMPUTED_VALUE"""),"Shirt")</f>
        <v>Shirt</v>
      </c>
      <c r="C35" s="11" t="str">
        <f>IFERROR(__xludf.DUMMYFUNCTION("""COMPUTED_VALUE"""),"tiki-silk-white")</f>
        <v>tiki-silk-white</v>
      </c>
      <c r="D35" s="11" t="str">
        <f>IFERROR(__xludf.DUMMYFUNCTION("""COMPUTED_VALUE"""),"Tiki White Silk")</f>
        <v>Tiki White Silk</v>
      </c>
      <c r="E35" s="11" t="str">
        <f>IFERROR(__xludf.DUMMYFUNCTION("""COMPUTED_VALUE"""),"Made in Portugal
Made in a lightweight 100% fine silk fabric, lending it a gentle sheen, fluid drape and smooth comfort against the skin.
Tiki is designed with a generous straight cut, featuring a clean front placket, box pleat at the back yoke, curved "&amp;"hem, and pleats at cuff. Mother of pearl buttons at cuffs and placket.")</f>
        <v>Made in Portugal
Made in a lightweight 100% fine silk fabric, lending it a gentle sheen, fluid drape and smooth comfort against the skin.
Tiki is designed with a generous straight cut, featuring a clean front placket, box pleat at the back yoke, curved hem, and pleats at cuff. Mother of pearl buttons at cuffs and placket.</v>
      </c>
      <c r="F35" s="11" t="str">
        <f>IFERROR(__xludf.DUMMYFUNCTION("""COMPUTED_VALUE"""),"The maxi-fit shirt, Tiki, in a pure fine silk.")</f>
        <v>The maxi-fit shirt, Tiki, in a pure fine silk.</v>
      </c>
      <c r="G35" s="11" t="str">
        <f>IFERROR(__xludf.DUMMYFUNCTION("""COMPUTED_VALUE"""),"- 100% silk
- Silk fabric woven by Jianxin Silk in China
- Mother of pearl buttons
- Sewn with durable poly-core cotton threads
- Cut &amp; sewn by Stork in Portugal")</f>
        <v>- 100% silk
- Silk fabric woven by Jianxin Silk in China
- Mother of pearl buttons
- Sewn with durable poly-core cotton threads
- Cut &amp; sewn by Stork in Portugal</v>
      </c>
      <c r="H35" s="11" t="str">
        <f>IFERROR(__xludf.DUMMYFUNCTION("""COMPUTED_VALUE"""),"tiki-silk-black, tiki-blue-pop, tiki-noil-silk-black")</f>
        <v>tiki-silk-black, tiki-blue-pop, tiki-noil-silk-black</v>
      </c>
      <c r="I35" s="21" t="str">
        <f t="shared" si="1"/>
        <v>Made in Portugal
Made in a lightweight 100% fine silk fabric, lending it a gentle sheen, fluid drape and smooth comfort against the skin.
Tiki is designed with a generous straight cut, featuring a clean front placket, box pleat at the back yoke, curved hem, and pleats at cuff. Mother of pearl buttons at cuffs and placket.</v>
      </c>
    </row>
    <row r="36" ht="16.5" customHeight="1">
      <c r="A36" s="11" t="str">
        <f>IFERROR(__xludf.DUMMYFUNCTION("""COMPUTED_VALUE"""),"Livid Femme")</f>
        <v>Livid Femme</v>
      </c>
      <c r="B36" s="11" t="str">
        <f>IFERROR(__xludf.DUMMYFUNCTION("""COMPUTED_VALUE"""),"Shirt")</f>
        <v>Shirt</v>
      </c>
      <c r="C36" s="11" t="str">
        <f>IFERROR(__xludf.DUMMYFUNCTION("""COMPUTED_VALUE"""),"tiki-blue-pop")</f>
        <v>tiki-blue-pop</v>
      </c>
      <c r="D36" s="11" t="str">
        <f>IFERROR(__xludf.DUMMYFUNCTION("""COMPUTED_VALUE"""),"Tiki Blue Pop")</f>
        <v>Tiki Blue Pop</v>
      </c>
      <c r="E36" s="11" t="str">
        <f>IFERROR(__xludf.DUMMYFUNCTION("""COMPUTED_VALUE"""),"Made in Portugal
Made in a crisp striped poplin designed and developed by Livid, and woven by Somelos in Portugal.
Tiki is designed with a generous straight cut, featuring a clean front placket, box pleat at the back yoke, curved hem, and pleats at cuff"&amp;". Mother of pearl buttons at cuffs and placket.")</f>
        <v>Made in Portugal
Made in a crisp striped poplin designed and developed by Livid, and woven by Somelos in Portugal.
Tiki is designed with a generous straight cut, featuring a clean front placket, box pleat at the back yoke, curved hem, and pleats at cuff. Mother of pearl buttons at cuffs and placket.</v>
      </c>
      <c r="F36" s="11" t="str">
        <f>IFERROR(__xludf.DUMMYFUNCTION("""COMPUTED_VALUE"""),"The maxi-fit shirt, Tiki.")</f>
        <v>The maxi-fit shirt, Tiki.</v>
      </c>
      <c r="G36" s="11" t="str">
        <f>IFERROR(__xludf.DUMMYFUNCTION("""COMPUTED_VALUE"""),"- 100% cotton 
- Poplin fabric designed by Livid
- Woven by Somelos in Portugal, exclusively for Livid
- Mother of pearl buttons
- Stitched with durable poly-core cotton thread
- Cut &amp; sewn by Stork, Portugal")</f>
        <v>- 100% cotton 
- Poplin fabric designed by Livid
- Woven by Somelos in Portugal, exclusively for Livid
- Mother of pearl buttons
- Stitched with durable poly-core cotton thread
- Cut &amp; sewn by Stork, Portugal</v>
      </c>
      <c r="H36" s="11" t="str">
        <f>IFERROR(__xludf.DUMMYFUNCTION("""COMPUTED_VALUE"""),"tiki-silk-black, tiki-silk-white, tiki-noil-silk-black")</f>
        <v>tiki-silk-black, tiki-silk-white, tiki-noil-silk-black</v>
      </c>
      <c r="I36" s="21" t="str">
        <f t="shared" si="1"/>
        <v>Made in Portugal
Made in a crisp striped poplin designed and developed by Livid, and woven by Somelos in Portugal.
Tiki is designed with a generous straight cut, featuring a clean front placket, box pleat at the back yoke, curved hem, and pleats at cuff. Mother of pearl buttons at cuffs and placket.</v>
      </c>
    </row>
    <row r="37" ht="16.5" customHeight="1">
      <c r="A37" s="11" t="str">
        <f>IFERROR(__xludf.DUMMYFUNCTION("""COMPUTED_VALUE"""),"Livid Unisex")</f>
        <v>Livid Unisex</v>
      </c>
      <c r="B37" s="11" t="str">
        <f>IFERROR(__xludf.DUMMYFUNCTION("""COMPUTED_VALUE"""),"Shirt")</f>
        <v>Shirt</v>
      </c>
      <c r="C37" s="11" t="str">
        <f>IFERROR(__xludf.DUMMYFUNCTION("""COMPUTED_VALUE"""),"tim-black-check-bonded")</f>
        <v>tim-black-check-bonded</v>
      </c>
      <c r="D37" s="11" t="str">
        <f>IFERROR(__xludf.DUMMYFUNCTION("""COMPUTED_VALUE"""),"Tim Black Check Bonded")</f>
        <v>Tim Black Check Bonded</v>
      </c>
      <c r="E37" s="11" t="str">
        <f>IFERROR(__xludf.DUMMYFUNCTION("""COMPUTED_VALUE"""),"Made in Portugal
Tim, a shorter version of our unisex big shirt Aiden. Tim features oversized proportions with very dropped shoulders and a very wide body, but with a classic length and a softer curved hem.
Made in a textured fabric, consisting of a loo"&amp;"sely woven linen fabric with a wobbly weave pattern, bonded to a loosely woven cotton backing fabric. The resulting fabric has an added thickness, while still remaining lightweight. The two loose weaves make the shirt highly breathable, while trapping air"&amp;" and insulating when used as a midlayer.
Designed to be unisex, the sleeve lengths have a greater jump between sizes S and M. XS and S fit most women and shorter men, M and L fit most men and taller women.")</f>
        <v>Made in Portugal
Tim, a shorter version of our unisex big shirt Aiden. Tim features oversized proportions with very dropped shoulders and a very wide body, but with a classic length and a softer curved hem.
Made in a textured fabric, consisting of a loosely woven linen fabric with a wobbly weave pattern, bonded to a loosely woven cotton backing fabric. The resulting fabric has an added thickness, while still remaining lightweight. The two loose weaves make the shirt highly breathable, while trapping air and insulating when used as a midlayer.
Designed to be unisex, the sleeve lengths have a greater jump between sizes S and M. XS and S fit most women and shorter men, M and L fit most men and taller women.</v>
      </c>
      <c r="F37" s="11" t="str">
        <f>IFERROR(__xludf.DUMMYFUNCTION("""COMPUTED_VALUE"""),"Tim, the oversized unisex shirt.")</f>
        <v>Tim, the oversized unisex shirt.</v>
      </c>
      <c r="G37" s="11" t="str">
        <f>IFERROR(__xludf.DUMMYFUNCTION("""COMPUTED_VALUE"""),"- 60% cotton, 40% linen
- Custom bonded fabric designed by Livid
- Woven by Somelos in Portugal, exclusively for Livid
- Mother of pearl buttons
- Stitched with durable poly-core cotton thread
- Cut &amp; sewn by Stork, Portugal")</f>
        <v>- 60% cotton, 40% linen
- Custom bonded fabric designed by Livid
- Woven by Somelos in Portugal, exclusively for Livid
- Mother of pearl buttons
- Stitched with durable poly-core cotton thread
- Cut &amp; sewn by Stork, Portugal</v>
      </c>
      <c r="H37" s="11"/>
      <c r="I37" s="21" t="str">
        <f t="shared" si="1"/>
        <v>Made in Portugal
Tim, a shorter version of our unisex big shirt Aiden. Tim features oversized proportions with very dropped shoulders and a very wide body, but with a classic length and a softer curved hem.
Made in a textured fabric, consisting of a loosely woven linen fabric with a wobbly weave pattern, bonded to a loosely woven cotton backing fabric. The resulting fabric has an added thickness, while still remaining lightweight. The two loose weaves make the shirt highly breathable, while trapping air and insulating when used as a midlayer.
Designed to be unisex, the sleeve lengths have a greater jump between sizes S and M. XS and S fit most women and shorter men, M and L fit most men and taller women.</v>
      </c>
    </row>
    <row r="38" ht="16.5" customHeight="1">
      <c r="A38" s="11" t="str">
        <f>IFERROR(__xludf.DUMMYFUNCTION("""COMPUTED_VALUE"""),"Livid Unisex")</f>
        <v>Livid Unisex</v>
      </c>
      <c r="B38" s="11" t="str">
        <f>IFERROR(__xludf.DUMMYFUNCTION("""COMPUTED_VALUE"""),"Shirt")</f>
        <v>Shirt</v>
      </c>
      <c r="C38" s="11" t="str">
        <f>IFERROR(__xludf.DUMMYFUNCTION("""COMPUTED_VALUE"""),"tim-green-bonded")</f>
        <v>tim-green-bonded</v>
      </c>
      <c r="D38" s="11" t="str">
        <f>IFERROR(__xludf.DUMMYFUNCTION("""COMPUTED_VALUE"""),"Tim Green Bonded")</f>
        <v>Tim Green Bonded</v>
      </c>
      <c r="E38" s="11" t="str">
        <f>IFERROR(__xludf.DUMMYFUNCTION("""COMPUTED_VALUE"""),"Made in Portugal
Tim, a shorter version of our unisex big shirt Aiden. Tim features oversized proportions with very dropped shoulders and a very wide body, but with a classic length and a softer curved hem.
Made in a textured fabric, consisting of a loo"&amp;"sely woven linen fabric with a wobbly weave pattern, bonded to a loosely woven cotton backing fabric. The resulting fabric has an added thickness, while still remaining lightweight. The two loose weaves make the shirt highly breathable, while trapping air"&amp;" and insulating when used as a midlayer.
Designed to be unisex, the sleeve lengths have a greater jump between sizes S and M. XS and S fit most women and shorter men, M and L fit most men and taller women.")</f>
        <v>Made in Portugal
Tim, a shorter version of our unisex big shirt Aiden. Tim features oversized proportions with very dropped shoulders and a very wide body, but with a classic length and a softer curved hem.
Made in a textured fabric, consisting of a loosely woven linen fabric with a wobbly weave pattern, bonded to a loosely woven cotton backing fabric. The resulting fabric has an added thickness, while still remaining lightweight. The two loose weaves make the shirt highly breathable, while trapping air and insulating when used as a midlayer.
Designed to be unisex, the sleeve lengths have a greater jump between sizes S and M. XS and S fit most women and shorter men, M and L fit most men and taller women.</v>
      </c>
      <c r="F38" s="11" t="str">
        <f>IFERROR(__xludf.DUMMYFUNCTION("""COMPUTED_VALUE"""),"Tim, the oversized unisex shirt.")</f>
        <v>Tim, the oversized unisex shirt.</v>
      </c>
      <c r="G38" s="11" t="str">
        <f>IFERROR(__xludf.DUMMYFUNCTION("""COMPUTED_VALUE"""),"- 60% cotton, 40% linen
- Custom bonded fabric designed by Livid
- Woven by Somelos in Portugal, exclusively for Livid
- Mother of pearl buttons
- Stitched with durable poly-core cotton thread
- Cut &amp; sewn by Stork, Portugal")</f>
        <v>- 60% cotton, 40% linen
- Custom bonded fabric designed by Livid
- Woven by Somelos in Portugal, exclusively for Livid
- Mother of pearl buttons
- Stitched with durable poly-core cotton thread
- Cut &amp; sewn by Stork, Portugal</v>
      </c>
      <c r="H38" s="11"/>
      <c r="I38" s="21" t="str">
        <f t="shared" si="1"/>
        <v>Made in Portugal
Tim, a shorter version of our unisex big shirt Aiden. Tim features oversized proportions with very dropped shoulders and a very wide body, but with a classic length and a softer curved hem.
Made in a textured fabric, consisting of a loosely woven linen fabric with a wobbly weave pattern, bonded to a loosely woven cotton backing fabric. The resulting fabric has an added thickness, while still remaining lightweight. The two loose weaves make the shirt highly breathable, while trapping air and insulating when used as a midlayer.
Designed to be unisex, the sleeve lengths have a greater jump between sizes S and M. XS and S fit most women and shorter men, M and L fit most men and taller women.</v>
      </c>
    </row>
    <row r="39" ht="16.5" customHeight="1">
      <c r="A39" s="11" t="str">
        <f>IFERROR(__xludf.DUMMYFUNCTION("""COMPUTED_VALUE"""),"Livid Unisex")</f>
        <v>Livid Unisex</v>
      </c>
      <c r="B39" s="11" t="str">
        <f>IFERROR(__xludf.DUMMYFUNCTION("""COMPUTED_VALUE"""),"Shirt")</f>
        <v>Shirt</v>
      </c>
      <c r="C39" s="11" t="str">
        <f>IFERROR(__xludf.DUMMYFUNCTION("""COMPUTED_VALUE"""),"tim-green-seersucker")</f>
        <v>tim-green-seersucker</v>
      </c>
      <c r="D39" s="11" t="str">
        <f>IFERROR(__xludf.DUMMYFUNCTION("""COMPUTED_VALUE"""),"Tim Green Seersucker")</f>
        <v>Tim Green Seersucker</v>
      </c>
      <c r="E39" s="11" t="str">
        <f>IFERROR(__xludf.DUMMYFUNCTION("""COMPUTED_VALUE"""),"Made in Portugal
Made with a lightweight and airy seersucker fabric designed by Livid and woven by Somelos in Portugal. A soft seersucker developed to have a fluid drape, and incredible lightness, with a puckered surface giving a cooling effect against t"&amp;"he skin.
")</f>
        <v>Made in Portugal
Made with a lightweight and airy seersucker fabric designed by Livid and woven by Somelos in Portugal. A soft seersucker developed to have a fluid drape, and incredible lightness, with a puckered surface giving a cooling effect against the skin.
</v>
      </c>
      <c r="F39" s="11" t="str">
        <f>IFERROR(__xludf.DUMMYFUNCTION("""COMPUTED_VALUE"""),"Tim, the oversized unisex shirt.")</f>
        <v>Tim, the oversized unisex shirt.</v>
      </c>
      <c r="G39" s="11" t="str">
        <f>IFERROR(__xludf.DUMMYFUNCTION("""COMPUTED_VALUE"""),"- 98% cotton, 2% elastane
- Lightweight seersucker fabric designed by Livid
- Woven at Somelos in Portugal, exclusively for Livid
- Mother of Pearl buttons made by Louropel in Italy
- Stitched with durable poly-core cotton thread
- Made at Stork in Portug"&amp;"al")</f>
        <v>- 98% cotton, 2% elastane
- Lightweight seersucker fabric designed by Livid
- Woven at Somelos in Portugal, exclusively for Livid
- Mother of Pearl buttons made by Louropel in Italy
- Stitched with durable poly-core cotton thread
- Made at Stork in Portugal</v>
      </c>
      <c r="H39" s="11"/>
      <c r="I39" s="21" t="str">
        <f t="shared" si="1"/>
        <v>Made in Portugal
Made with a lightweight and airy seersucker fabric designed by Livid and woven by Somelos in Portugal. A soft seersucker developed to have a fluid drape, and incredible lightness, with a puckered surface giving a cooling effect against the skin.
</v>
      </c>
    </row>
    <row r="40" ht="16.5" customHeight="1">
      <c r="A40" s="11" t="str">
        <f>IFERROR(__xludf.DUMMYFUNCTION("""COMPUTED_VALUE"""),"Livid men")</f>
        <v>Livid men</v>
      </c>
      <c r="B40" s="11" t="str">
        <f>IFERROR(__xludf.DUMMYFUNCTION("""COMPUTED_VALUE"""),"Shirt")</f>
        <v>Shirt</v>
      </c>
      <c r="C40" s="11" t="str">
        <f>IFERROR(__xludf.DUMMYFUNCTION("""COMPUTED_VALUE"""),"brass-blue-clerk-check")</f>
        <v>brass-blue-clerk-check</v>
      </c>
      <c r="D40" s="11" t="str">
        <f>IFERROR(__xludf.DUMMYFUNCTION("""COMPUTED_VALUE"""),"Brass Blue Clerk Check")</f>
        <v>Brass Blue Clerk Check</v>
      </c>
      <c r="E40" s="11"/>
      <c r="F40" s="11"/>
      <c r="G40" s="11"/>
      <c r="H40" s="11"/>
      <c r="I40" s="21" t="str">
        <f t="shared" si="1"/>
        <v/>
      </c>
    </row>
    <row r="41" ht="16.5" customHeight="1">
      <c r="A41" s="11" t="str">
        <f>IFERROR(__xludf.DUMMYFUNCTION("""COMPUTED_VALUE"""),"Livid men")</f>
        <v>Livid men</v>
      </c>
      <c r="B41" s="11" t="str">
        <f>IFERROR(__xludf.DUMMYFUNCTION("""COMPUTED_VALUE"""),"Shirt")</f>
        <v>Shirt</v>
      </c>
      <c r="C41" s="11" t="str">
        <f>IFERROR(__xludf.DUMMYFUNCTION("""COMPUTED_VALUE"""),"brass-blue-pop")</f>
        <v>brass-blue-pop</v>
      </c>
      <c r="D41" s="11" t="str">
        <f>IFERROR(__xludf.DUMMYFUNCTION("""COMPUTED_VALUE"""),"Brass Blue Pop")</f>
        <v>Brass Blue Pop</v>
      </c>
      <c r="E41" s="11"/>
      <c r="F41" s="11"/>
      <c r="G41" s="11"/>
      <c r="H41" s="11"/>
      <c r="I41" s="21" t="str">
        <f t="shared" si="1"/>
        <v/>
      </c>
    </row>
    <row r="42" ht="16.5" customHeight="1">
      <c r="A42" s="11" t="str">
        <f>IFERROR(__xludf.DUMMYFUNCTION("""COMPUTED_VALUE"""),"Livid men")</f>
        <v>Livid men</v>
      </c>
      <c r="B42" s="11" t="str">
        <f>IFERROR(__xludf.DUMMYFUNCTION("""COMPUTED_VALUE"""),"Shirt")</f>
        <v>Shirt</v>
      </c>
      <c r="C42" s="11" t="str">
        <f>IFERROR(__xludf.DUMMYFUNCTION("""COMPUTED_VALUE"""),"brass-grey-seersucker")</f>
        <v>brass-grey-seersucker</v>
      </c>
      <c r="D42" s="11" t="str">
        <f>IFERROR(__xludf.DUMMYFUNCTION("""COMPUTED_VALUE"""),"Brass Grey Seersucker")</f>
        <v>Brass Grey Seersucker</v>
      </c>
      <c r="E42" s="11"/>
      <c r="F42" s="11"/>
      <c r="G42" s="11" t="str">
        <f>IFERROR(__xludf.DUMMYFUNCTION("""COMPUTED_VALUE"""),"- 98% cotton, 2% elastane
- Lightweight seersucker fabric designed by Livid
- Woven at Somelos in Portugal, exclusively for Livid
- Mother of Pearl buttons made by Louropel in Italy
- Stitched with durable poly-core cotton thread
- Made at Stork in Portug"&amp;"al")</f>
        <v>- 98% cotton, 2% elastane
- Lightweight seersucker fabric designed by Livid
- Woven at Somelos in Portugal, exclusively for Livid
- Mother of Pearl buttons made by Louropel in Italy
- Stitched with durable poly-core cotton thread
- Made at Stork in Portugal</v>
      </c>
      <c r="H42" s="11"/>
      <c r="I42" s="21" t="str">
        <f t="shared" si="1"/>
        <v/>
      </c>
    </row>
    <row r="43" ht="16.5" customHeight="1">
      <c r="A43" s="11" t="str">
        <f>IFERROR(__xludf.DUMMYFUNCTION("""COMPUTED_VALUE"""),"Livid men")</f>
        <v>Livid men</v>
      </c>
      <c r="B43" s="11" t="str">
        <f>IFERROR(__xludf.DUMMYFUNCTION("""COMPUTED_VALUE"""),"Shirt")</f>
        <v>Shirt</v>
      </c>
      <c r="C43" s="11" t="str">
        <f>IFERROR(__xludf.DUMMYFUNCTION("""COMPUTED_VALUE"""),"brass-japan-bone-coi")</f>
        <v>brass-japan-bone-coi</v>
      </c>
      <c r="D43" s="11" t="str">
        <f>IFERROR(__xludf.DUMMYFUNCTION("""COMPUTED_VALUE"""),"Brass Japan Bone Coi")</f>
        <v>Brass Japan Bone Coi</v>
      </c>
      <c r="E43" s="11" t="str">
        <f>IFERROR(__xludf.DUMMYFUNCTION("""COMPUTED_VALUE"""),"Made in Portugal
Made with a 100% cotton voile woven by Hokkoh in Japan, an incredibly lightweight, soft, and slightly sheer fabric, with a fluid drape. Featuring a custom print made for Livid.")</f>
        <v>Made in Portugal
Made with a 100% cotton voile woven by Hokkoh in Japan, an incredibly lightweight, soft, and slightly sheer fabric, with a fluid drape. Featuring a custom print made for Livid.</v>
      </c>
      <c r="F43" s="11"/>
      <c r="G43" s="11" t="str">
        <f>IFERROR(__xludf.DUMMYFUNCTION("""COMPUTED_VALUE"""),"- 100% cotton
- Voille fabric woven by Hokkoh in Japan
- Mother of pearl buttons
- Sewn with durable poly-core cotton threads
- Cut &amp; sewn by Stork in Portugal")</f>
        <v>- 100% cotton
- Voille fabric woven by Hokkoh in Japan
- Mother of pearl buttons
- Sewn with durable poly-core cotton threads
- Cut &amp; sewn by Stork in Portugal</v>
      </c>
      <c r="H43" s="11"/>
      <c r="I43" s="21" t="str">
        <f t="shared" si="1"/>
        <v>Made in Portugal
Made with a 100% cotton voile woven by Hokkoh in Japan, an incredibly lightweight, soft, and slightly sheer fabric, with a fluid drape. Featuring a custom print made for Livid.</v>
      </c>
    </row>
    <row r="44" ht="16.5" customHeight="1">
      <c r="A44" s="11" t="str">
        <f>IFERROR(__xludf.DUMMYFUNCTION("""COMPUTED_VALUE"""),"Livid men")</f>
        <v>Livid men</v>
      </c>
      <c r="B44" s="11" t="str">
        <f>IFERROR(__xludf.DUMMYFUNCTION("""COMPUTED_VALUE"""),"Shirt")</f>
        <v>Shirt</v>
      </c>
      <c r="C44" s="11" t="str">
        <f>IFERROR(__xludf.DUMMYFUNCTION("""COMPUTED_VALUE"""),"brass-tee-blue-clerk-check")</f>
        <v>brass-tee-blue-clerk-check</v>
      </c>
      <c r="D44" s="11" t="str">
        <f>IFERROR(__xludf.DUMMYFUNCTION("""COMPUTED_VALUE"""),"Brass Tee Blue Clerk Check")</f>
        <v>Brass Tee Blue Clerk Check</v>
      </c>
      <c r="E44" s="11"/>
      <c r="F44" s="11"/>
      <c r="G44" s="11"/>
      <c r="H44" s="11"/>
      <c r="I44" s="21" t="str">
        <f t="shared" si="1"/>
        <v/>
      </c>
    </row>
    <row r="45" ht="16.5" customHeight="1">
      <c r="A45" s="11" t="str">
        <f>IFERROR(__xludf.DUMMYFUNCTION("""COMPUTED_VALUE"""),"Livid men")</f>
        <v>Livid men</v>
      </c>
      <c r="B45" s="11" t="str">
        <f>IFERROR(__xludf.DUMMYFUNCTION("""COMPUTED_VALUE"""),"Shirt")</f>
        <v>Shirt</v>
      </c>
      <c r="C45" s="11" t="str">
        <f>IFERROR(__xludf.DUMMYFUNCTION("""COMPUTED_VALUE"""),"brass-tee-voile-stripe")</f>
        <v>brass-tee-voile-stripe</v>
      </c>
      <c r="D45" s="11" t="str">
        <f>IFERROR(__xludf.DUMMYFUNCTION("""COMPUTED_VALUE"""),"Brass Tee Voile Stripe")</f>
        <v>Brass Tee Voile Stripe</v>
      </c>
      <c r="E45" s="11" t="str">
        <f>IFERROR(__xludf.DUMMYFUNCTION("""COMPUTED_VALUE"""),"Made in Portugal
Made with a 100% cotton voile woven by Somelos in Portugal, an incredibly lightweight, soft, and airy fabric, with a fluid drape. ")</f>
        <v>Made in Portugal
Made with a 100% cotton voile woven by Somelos in Portugal, an incredibly lightweight, soft, and airy fabric, with a fluid drape. </v>
      </c>
      <c r="F45" s="11"/>
      <c r="G45" s="11" t="str">
        <f>IFERROR(__xludf.DUMMYFUNCTION("""COMPUTED_VALUE"""),"- 100% cotton
- Lightweight voile fabric designed by Livid
- Woven at Somelos in Portugal, exclusively for Livid
- Mother of pearl buttons
- Sewn with durable poly-core cotton threads
- Cut &amp; sewn by Stork in Portugal")</f>
        <v>- 100% cotton
- Lightweight voile fabric designed by Livid
- Woven at Somelos in Portugal, exclusively for Livid
- Mother of pearl buttons
- Sewn with durable poly-core cotton threads
- Cut &amp; sewn by Stork in Portugal</v>
      </c>
      <c r="H45" s="11"/>
      <c r="I45" s="21" t="str">
        <f t="shared" si="1"/>
        <v>Made in Portugal
Made with a 100% cotton voile woven by Somelos in Portugal, an incredibly lightweight, soft, and airy fabric, with a fluid drape. </v>
      </c>
    </row>
    <row r="46" ht="16.5" customHeight="1">
      <c r="A46" s="11" t="str">
        <f>IFERROR(__xludf.DUMMYFUNCTION("""COMPUTED_VALUE"""),"Livid men")</f>
        <v>Livid men</v>
      </c>
      <c r="B46" s="11" t="str">
        <f>IFERROR(__xludf.DUMMYFUNCTION("""COMPUTED_VALUE"""),"Shirt")</f>
        <v>Shirt</v>
      </c>
      <c r="C46" s="11" t="str">
        <f>IFERROR(__xludf.DUMMYFUNCTION("""COMPUTED_VALUE"""),"brass-voile-stripe")</f>
        <v>brass-voile-stripe</v>
      </c>
      <c r="D46" s="11" t="str">
        <f>IFERROR(__xludf.DUMMYFUNCTION("""COMPUTED_VALUE"""),"Brass Voile Stripe")</f>
        <v>Brass Voile Stripe</v>
      </c>
      <c r="E46" s="11" t="str">
        <f>IFERROR(__xludf.DUMMYFUNCTION("""COMPUTED_VALUE"""),"Made in Portugal
Made with a 100% cotton voile woven by Somelos in Portugal, an incredibly lightweight, soft, and airy fabric, with a fluid drape. ")</f>
        <v>Made in Portugal
Made with a 100% cotton voile woven by Somelos in Portugal, an incredibly lightweight, soft, and airy fabric, with a fluid drape. </v>
      </c>
      <c r="F46" s="11"/>
      <c r="G46" s="11" t="str">
        <f>IFERROR(__xludf.DUMMYFUNCTION("""COMPUTED_VALUE"""),"- 100% cotton
- Lightweight voile fabric designed by Livid
- Woven at Somelos in Portugal, exclusively for Livid
- Mother of pearl buttons
- Sewn with durable poly-core cotton threads
- Cut &amp; sewn by Stork in Portugal")</f>
        <v>- 100% cotton
- Lightweight voile fabric designed by Livid
- Woven at Somelos in Portugal, exclusively for Livid
- Mother of pearl buttons
- Sewn with durable poly-core cotton threads
- Cut &amp; sewn by Stork in Portugal</v>
      </c>
      <c r="H46" s="11"/>
      <c r="I46" s="21" t="str">
        <f t="shared" si="1"/>
        <v>Made in Portugal
Made with a 100% cotton voile woven by Somelos in Portugal, an incredibly lightweight, soft, and airy fabric, with a fluid drape. </v>
      </c>
    </row>
    <row r="47" ht="16.5" customHeight="1">
      <c r="A47" s="11" t="str">
        <f>IFERROR(__xludf.DUMMYFUNCTION("""COMPUTED_VALUE"""),"Livid men")</f>
        <v>Livid men</v>
      </c>
      <c r="B47" s="11" t="str">
        <f>IFERROR(__xludf.DUMMYFUNCTION("""COMPUTED_VALUE"""),"Shirt")</f>
        <v>Shirt</v>
      </c>
      <c r="C47" s="11" t="str">
        <f>IFERROR(__xludf.DUMMYFUNCTION("""COMPUTED_VALUE"""),"huff-black-wool")</f>
        <v>huff-black-wool</v>
      </c>
      <c r="D47" s="11" t="str">
        <f>IFERROR(__xludf.DUMMYFUNCTION("""COMPUTED_VALUE"""),"Huff Black Wool")</f>
        <v>Huff Black Wool</v>
      </c>
      <c r="E47" s="11" t="str">
        <f>IFERROR(__xludf.DUMMYFUNCTION("""COMPUTED_VALUE"""),"Made in Portugal
Made in a 100% merino wool voile woven by Somelos in Portugal, an incredibly lightweight, soft, and subtly sheer fabric. Creating a sharp and comfortable shirt with a fluid drape.
The Huff shirt gives a clean, but relaxed look. Designed"&amp;" with a generous straight cut, and a longer, curved back hem. Featuring a clean collar that sits well undearneath a suit lapel, and a French placket finished with mother of pearl buttons.")</f>
        <v>Made in Portugal
Made in a 100% merino wool voile woven by Somelos in Portugal, an incredibly lightweight, soft, and subtly sheer fabric. Creating a sharp and comfortable shirt with a fluid drape.
The Huff shirt gives a clean, but relaxed look. Designed with a generous straight cut, and a longer, curved back hem. Featuring a clean collar that sits well undearneath a suit lapel, and a French placket finished with mother of pearl buttons.</v>
      </c>
      <c r="F47" s="11" t="str">
        <f>IFERROR(__xludf.DUMMYFUNCTION("""COMPUTED_VALUE"""),"The relaxed formal shirt, Huff, in a lightweight merino voile.")</f>
        <v>The relaxed formal shirt, Huff, in a lightweight merino voile.</v>
      </c>
      <c r="G47" s="11" t="str">
        <f>IFERROR(__xludf.DUMMYFUNCTION("""COMPUTED_VALUE"""),"- 100% merino wool
- Woven by Somelos in Portugal
- Mother of pearl buttons
- Sewn with durable poly core cotton threads
- Cut &amp; sewn by Stork in Portugal")</f>
        <v>- 100% merino wool
- Woven by Somelos in Portugal
- Mother of pearl buttons
- Sewn with durable poly core cotton threads
- Cut &amp; sewn by Stork in Portugal</v>
      </c>
      <c r="H47" s="11" t="str">
        <f>IFERROR(__xludf.DUMMYFUNCTION("""COMPUTED_VALUE"""),"huff-white-silk")</f>
        <v>huff-white-silk</v>
      </c>
      <c r="I47" s="21" t="str">
        <f t="shared" si="1"/>
        <v>Made in Portugal
Made in a 100% merino wool voile woven by Somelos in Portugal, an incredibly lightweight, soft, and subtly sheer fabric. Creating a sharp and comfortable shirt with a fluid drape.
The Huff shirt gives a clean, but relaxed look. Designed with a generous straight cut, and a longer, curved back hem. Featuring a clean collar that sits well undearneath a suit lapel, and a French placket finished with mother of pearl buttons.</v>
      </c>
    </row>
    <row r="48" ht="16.5" customHeight="1">
      <c r="A48" s="11" t="str">
        <f>IFERROR(__xludf.DUMMYFUNCTION("""COMPUTED_VALUE"""),"Livid men")</f>
        <v>Livid men</v>
      </c>
      <c r="B48" s="11" t="str">
        <f>IFERROR(__xludf.DUMMYFUNCTION("""COMPUTED_VALUE"""),"Shirt")</f>
        <v>Shirt</v>
      </c>
      <c r="C48" s="11" t="str">
        <f>IFERROR(__xludf.DUMMYFUNCTION("""COMPUTED_VALUE"""),"kalum-japan-slate")</f>
        <v>kalum-japan-slate</v>
      </c>
      <c r="D48" s="11" t="str">
        <f>IFERROR(__xludf.DUMMYFUNCTION("""COMPUTED_VALUE"""),"Kalum Japan Slate")</f>
        <v>Kalum Japan Slate</v>
      </c>
      <c r="E48" s="11" t="str">
        <f>IFERROR(__xludf.DUMMYFUNCTION("""COMPUTED_VALUE"""),"Made in Portugal
Kalum, our regular straight hemmed shirt. Designed with slightly wide shoulders, a straight fit and straight cut hem that ends perfectly at the hips. Featuring flap pockets at the chest and finished with Cobrax snap-buttons. A shirt that"&amp;" feels classicly rooted in denim heritage, while looking modern and sharp. 
Made in a 7 Oz. denim woven by the artisinal denim mill Collect in Japan. Woven with a black warp and a natural white weft, and washed for a structured texture.")</f>
        <v>Made in Portugal
Kalum, our regular straight hemmed shirt. Designed with slightly wide shoulders, a straight fit and straight cut hem that ends perfectly at the hips. Featuring flap pockets at the chest and finished with Cobrax snap-buttons. A shirt that feels classicly rooted in denim heritage, while looking modern and sharp. 
Made in a 7 Oz. denim woven by the artisinal denim mill Collect in Japan. Woven with a black warp and a natural white weft, and washed for a structured texture.</v>
      </c>
      <c r="F48" s="11" t="str">
        <f>IFERROR(__xludf.DUMMYFUNCTION("""COMPUTED_VALUE"""),"Thre straight-hemmed denim shirt, Kalum")</f>
        <v>Thre straight-hemmed denim shirt, Kalum</v>
      </c>
      <c r="G48" s="11" t="str">
        <f>IFERROR(__xludf.DUMMYFUNCTION("""COMPUTED_VALUE"""),"- 100% cotton
- 7 Oz. wideloom denim woven by Collect in Japan
- Cobrax press buttons made by RiRi in Switzerland
- Stitched with durable poly-core cotton thread
- Cut &amp; Sewn by Stork, Portugal")</f>
        <v>- 100% cotton
- 7 Oz. wideloom denim woven by Collect in Japan
- Cobrax press buttons made by RiRi in Switzerland
- Stitched with durable poly-core cotton thread
- Cut &amp; Sewn by Stork, Portugal</v>
      </c>
      <c r="H48" s="11"/>
      <c r="I48" s="21" t="str">
        <f t="shared" si="1"/>
        <v>Made in Portugal
Kalum, our regular straight hemmed shirt. Designed with slightly wide shoulders, a straight fit and straight cut hem that ends perfectly at the hips. Featuring flap pockets at the chest and finished with Cobrax snap-buttons. A shirt that feels classicly rooted in denim heritage, while looking modern and sharp. 
Made in a 7 Oz. denim woven by the artisinal denim mill Collect in Japan. Woven with a black warp and a natural white weft, and washed for a structured texture.</v>
      </c>
    </row>
    <row r="49" ht="16.5" customHeight="1">
      <c r="A49" s="11" t="str">
        <f>IFERROR(__xludf.DUMMYFUNCTION("""COMPUTED_VALUE"""),"Livid men")</f>
        <v>Livid men</v>
      </c>
      <c r="B49" s="11" t="str">
        <f>IFERROR(__xludf.DUMMYFUNCTION("""COMPUTED_VALUE"""),"Shirt")</f>
        <v>Shirt</v>
      </c>
      <c r="C49" s="11" t="str">
        <f>IFERROR(__xludf.DUMMYFUNCTION("""COMPUTED_VALUE"""),"keen-green-seersucker")</f>
        <v>keen-green-seersucker</v>
      </c>
      <c r="D49" s="11" t="str">
        <f>IFERROR(__xludf.DUMMYFUNCTION("""COMPUTED_VALUE"""),"Keen Green Seersucker")</f>
        <v>Keen Green Seersucker</v>
      </c>
      <c r="E49" s="11" t="str">
        <f>IFERROR(__xludf.DUMMYFUNCTION("""COMPUTED_VALUE"""),"Made in Portugal
Made with a lightweight and airy seersucker fabric designed by Livid and woven by Somelos in Portugal. A soft seersucker developed to have a fluid drape, and incredible lightness, with a puckered surface giving a cooling effect against t"&amp;"he skin.
Made in the box-fit shirt, Keen, designed with a generous straight cut. Featuring a box pleat at the back yoke, a french placket finished with natural Mother of Pearl buttoning, and a straight hem with side slits.")</f>
        <v>Made in Portugal
Made with a lightweight and airy seersucker fabric designed by Livid and woven by Somelos in Portugal. A soft seersucker developed to have a fluid drape, and incredible lightness, with a puckered surface giving a cooling effect against the skin.
Made in the box-fit shirt, Keen, designed with a generous straight cut. Featuring a box pleat at the back yoke, a french placket finished with natural Mother of Pearl buttoning, and a straight hem with side slits.</v>
      </c>
      <c r="F49" s="11" t="str">
        <f>IFERROR(__xludf.DUMMYFUNCTION("""COMPUTED_VALUE"""),"The box-fit shirt, Keen.")</f>
        <v>The box-fit shirt, Keen.</v>
      </c>
      <c r="G49" s="11" t="str">
        <f>IFERROR(__xludf.DUMMYFUNCTION("""COMPUTED_VALUE"""),"- 98% cotton, 2% elastane
- Lightweight seersucker fabric designed by Livid
- Woven at Somelos in Portugal, exclusively for Livid
- Mother of Pearl buttons made by Louropel in Italy
- Stitched with durable poly-core cotton thread
- Made at Stork in Portug"&amp;"al")</f>
        <v>- 98% cotton, 2% elastane
- Lightweight seersucker fabric designed by Livid
- Woven at Somelos in Portugal, exclusively for Livid
- Mother of Pearl buttons made by Louropel in Italy
- Stitched with durable poly-core cotton thread
- Made at Stork in Portugal</v>
      </c>
      <c r="H49" s="11"/>
      <c r="I49" s="21" t="str">
        <f t="shared" si="1"/>
        <v>Made in Portugal
Made with a lightweight and airy seersucker fabric designed by Livid and woven by Somelos in Portugal. A soft seersucker developed to have a fluid drape, and incredible lightness, with a puckered surface giving a cooling effect against the skin.
Made in the box-fit shirt, Keen, designed with a generous straight cut. Featuring a box pleat at the back yoke, a french placket finished with natural Mother of Pearl buttoning, and a straight hem with side slits.</v>
      </c>
    </row>
    <row r="50" ht="16.5" customHeight="1">
      <c r="A50" s="11" t="str">
        <f>IFERROR(__xludf.DUMMYFUNCTION("""COMPUTED_VALUE"""),"Livid men")</f>
        <v>Livid men</v>
      </c>
      <c r="B50" s="11" t="str">
        <f>IFERROR(__xludf.DUMMYFUNCTION("""COMPUTED_VALUE"""),"Shirt")</f>
        <v>Shirt</v>
      </c>
      <c r="C50" s="11" t="str">
        <f>IFERROR(__xludf.DUMMYFUNCTION("""COMPUTED_VALUE"""),"keen-red-seersucker")</f>
        <v>keen-red-seersucker</v>
      </c>
      <c r="D50" s="11" t="str">
        <f>IFERROR(__xludf.DUMMYFUNCTION("""COMPUTED_VALUE"""),"Keen Red Seersucker")</f>
        <v>Keen Red Seersucker</v>
      </c>
      <c r="E50" s="11" t="str">
        <f>IFERROR(__xludf.DUMMYFUNCTION("""COMPUTED_VALUE"""),"Made in Portugal
Made with a lightweight and airy seersucker fabric designed by Livid and woven by Somelos in Portugal. A soft seersucker developed to have a fluid drape, and incredible lightness, with a puckered surface giving a cooling effect against t"&amp;"he skin.
Made in the box-fit shirt, Keen, designed with a generous straight cut. Featuring a box pleat at the back yoke, a french placket finished with natural Mother of Pearl buttoning, and a straight hem with side slits.")</f>
        <v>Made in Portugal
Made with a lightweight and airy seersucker fabric designed by Livid and woven by Somelos in Portugal. A soft seersucker developed to have a fluid drape, and incredible lightness, with a puckered surface giving a cooling effect against the skin.
Made in the box-fit shirt, Keen, designed with a generous straight cut. Featuring a box pleat at the back yoke, a french placket finished with natural Mother of Pearl buttoning, and a straight hem with side slits.</v>
      </c>
      <c r="F50" s="11" t="str">
        <f>IFERROR(__xludf.DUMMYFUNCTION("""COMPUTED_VALUE"""),"The box-fit shirt, Keen.")</f>
        <v>The box-fit shirt, Keen.</v>
      </c>
      <c r="G50" s="11" t="str">
        <f>IFERROR(__xludf.DUMMYFUNCTION("""COMPUTED_VALUE"""),"- 98% cotton, 2% elastane
- Lightweight seersucker fabric designed by Livid
- Woven at Somelos in Portugal, exclusively for Livid
- Mother of Pearl buttons made by Louropel in Italy
- Stitched with durable poly-core cotton thread
- Made at Stork in Portug"&amp;"al")</f>
        <v>- 98% cotton, 2% elastane
- Lightweight seersucker fabric designed by Livid
- Woven at Somelos in Portugal, exclusively for Livid
- Mother of Pearl buttons made by Louropel in Italy
- Stitched with durable poly-core cotton thread
- Made at Stork in Portugal</v>
      </c>
      <c r="H50" s="11"/>
      <c r="I50" s="21" t="str">
        <f t="shared" si="1"/>
        <v>Made in Portugal
Made with a lightweight and airy seersucker fabric designed by Livid and woven by Somelos in Portugal. A soft seersucker developed to have a fluid drape, and incredible lightness, with a puckered surface giving a cooling effect against the skin.
Made in the box-fit shirt, Keen, designed with a generous straight cut. Featuring a box pleat at the back yoke, a french placket finished with natural Mother of Pearl buttoning, and a straight hem with side slits.</v>
      </c>
    </row>
    <row r="51" ht="16.5" customHeight="1">
      <c r="A51" s="11" t="str">
        <f>IFERROR(__xludf.DUMMYFUNCTION("""COMPUTED_VALUE"""),"Livid men")</f>
        <v>Livid men</v>
      </c>
      <c r="B51" s="11" t="str">
        <f>IFERROR(__xludf.DUMMYFUNCTION("""COMPUTED_VALUE"""),"Shirt")</f>
        <v>Shirt</v>
      </c>
      <c r="C51" s="11" t="str">
        <f>IFERROR(__xludf.DUMMYFUNCTION("""COMPUTED_VALUE"""),"keen-tee-shirt-string-loose")</f>
        <v>keen-tee-shirt-string-loose</v>
      </c>
      <c r="D51" s="11" t="str">
        <f>IFERROR(__xludf.DUMMYFUNCTION("""COMPUTED_VALUE"""),"Keen Tee Shirt String Loose")</f>
        <v>Keen Tee Shirt String Loose</v>
      </c>
      <c r="E51" s="11"/>
      <c r="F51" s="11"/>
      <c r="G51" s="11"/>
      <c r="H51" s="11"/>
      <c r="I51" s="21" t="str">
        <f t="shared" si="1"/>
        <v/>
      </c>
    </row>
    <row r="52" ht="16.5" customHeight="1">
      <c r="A52" s="11" t="str">
        <f>IFERROR(__xludf.DUMMYFUNCTION("""COMPUTED_VALUE"""),"Livid men")</f>
        <v>Livid men</v>
      </c>
      <c r="B52" s="11" t="str">
        <f>IFERROR(__xludf.DUMMYFUNCTION("""COMPUTED_VALUE"""),"Shirt")</f>
        <v>Shirt</v>
      </c>
      <c r="C52" s="11" t="str">
        <f>IFERROR(__xludf.DUMMYFUNCTION("""COMPUTED_VALUE"""),"keen-tee-shirt-white-loose")</f>
        <v>keen-tee-shirt-white-loose</v>
      </c>
      <c r="D52" s="11" t="str">
        <f>IFERROR(__xludf.DUMMYFUNCTION("""COMPUTED_VALUE"""),"Keen Tee Shirt White Loose")</f>
        <v>Keen Tee Shirt White Loose</v>
      </c>
      <c r="E52" s="11"/>
      <c r="F52" s="11"/>
      <c r="G52" s="11"/>
      <c r="H52" s="11"/>
      <c r="I52" s="21" t="str">
        <f t="shared" si="1"/>
        <v/>
      </c>
    </row>
    <row r="53" ht="16.5" customHeight="1">
      <c r="A53" s="11" t="str">
        <f>IFERROR(__xludf.DUMMYFUNCTION("""COMPUTED_VALUE"""),"Livid men")</f>
        <v>Livid men</v>
      </c>
      <c r="B53" s="11" t="str">
        <f>IFERROR(__xludf.DUMMYFUNCTION("""COMPUTED_VALUE"""),"Shirt")</f>
        <v>Shirt</v>
      </c>
      <c r="C53" s="11" t="str">
        <f>IFERROR(__xludf.DUMMYFUNCTION("""COMPUTED_VALUE"""),"russ-aloe-noil-silk")</f>
        <v>russ-aloe-noil-silk</v>
      </c>
      <c r="D53" s="11" t="str">
        <f>IFERROR(__xludf.DUMMYFUNCTION("""COMPUTED_VALUE"""),"Russ Aloe Noil Silk")</f>
        <v>Russ Aloe Noil Silk</v>
      </c>
      <c r="E53" s="11"/>
      <c r="F53" s="11"/>
      <c r="G53" s="11"/>
      <c r="H53" s="11"/>
      <c r="I53" s="21" t="str">
        <f t="shared" si="1"/>
        <v/>
      </c>
    </row>
    <row r="54" ht="16.5" customHeight="1">
      <c r="A54" s="11" t="str">
        <f>IFERROR(__xludf.DUMMYFUNCTION("""COMPUTED_VALUE"""),"Livid men")</f>
        <v>Livid men</v>
      </c>
      <c r="B54" s="11" t="str">
        <f>IFERROR(__xludf.DUMMYFUNCTION("""COMPUTED_VALUE"""),"Shirt")</f>
        <v>Shirt</v>
      </c>
      <c r="C54" s="11" t="str">
        <f>IFERROR(__xludf.DUMMYFUNCTION("""COMPUTED_VALUE"""),"russ-japan-floral-voile")</f>
        <v>russ-japan-floral-voile</v>
      </c>
      <c r="D54" s="11" t="str">
        <f>IFERROR(__xludf.DUMMYFUNCTION("""COMPUTED_VALUE"""),"Russ Japan Floral Voile")</f>
        <v>Russ Japan Floral Voile</v>
      </c>
      <c r="E54" s="11" t="str">
        <f>IFERROR(__xludf.DUMMYFUNCTION("""COMPUTED_VALUE"""),"Made in Portugal
Made with a 100% cotton voile woven by Hokkoh in Japan, an incredibly lightweight, soft, and slightly sheer fabric, with a fluid drape. Featuring a custom print made for Livid.")</f>
        <v>Made in Portugal
Made with a 100% cotton voile woven by Hokkoh in Japan, an incredibly lightweight, soft, and slightly sheer fabric, with a fluid drape. Featuring a custom print made for Livid.</v>
      </c>
      <c r="F54" s="11"/>
      <c r="G54" s="11" t="str">
        <f>IFERROR(__xludf.DUMMYFUNCTION("""COMPUTED_VALUE"""),"- 100% cotton
- Voille fabric woven by Hokkoh in Japan
- Mother of pearl buttons
- Sewn with durable poly-core cotton threads
- Cut &amp; sewn by Stork in Portugal")</f>
        <v>- 100% cotton
- Voille fabric woven by Hokkoh in Japan
- Mother of pearl buttons
- Sewn with durable poly-core cotton threads
- Cut &amp; sewn by Stork in Portugal</v>
      </c>
      <c r="H54" s="11"/>
      <c r="I54" s="21" t="str">
        <f t="shared" si="1"/>
        <v>Made in Portugal
Made with a 100% cotton voile woven by Hokkoh in Japan, an incredibly lightweight, soft, and slightly sheer fabric, with a fluid drape. Featuring a custom print made for Livid.</v>
      </c>
    </row>
    <row r="55" ht="16.5" customHeight="1">
      <c r="A55" s="11" t="str">
        <f>IFERROR(__xludf.DUMMYFUNCTION("""COMPUTED_VALUE"""),"Livid men")</f>
        <v>Livid men</v>
      </c>
      <c r="B55" s="11" t="str">
        <f>IFERROR(__xludf.DUMMYFUNCTION("""COMPUTED_VALUE"""),"Shirt")</f>
        <v>Shirt</v>
      </c>
      <c r="C55" s="11" t="str">
        <f>IFERROR(__xludf.DUMMYFUNCTION("""COMPUTED_VALUE"""),"russ-bright-cobalt-fine-silk")</f>
        <v>russ-bright-cobalt-fine-silk</v>
      </c>
      <c r="D55" s="11" t="str">
        <f>IFERROR(__xludf.DUMMYFUNCTION("""COMPUTED_VALUE"""),"Russ Bright Cobalt Fine Silk")</f>
        <v>Russ Bright Cobalt Fine Silk</v>
      </c>
      <c r="E55" s="11"/>
      <c r="F55" s="11"/>
      <c r="G55" s="11"/>
      <c r="H55" s="11"/>
      <c r="I55" s="21" t="str">
        <f t="shared" si="1"/>
        <v/>
      </c>
    </row>
    <row r="56" ht="16.5" customHeight="1">
      <c r="A56" s="11" t="str">
        <f>IFERROR(__xludf.DUMMYFUNCTION("""COMPUTED_VALUE"""),"Livid men")</f>
        <v>Livid men</v>
      </c>
      <c r="B56" s="11" t="str">
        <f>IFERROR(__xludf.DUMMYFUNCTION("""COMPUTED_VALUE"""),"Shirt")</f>
        <v>Shirt</v>
      </c>
      <c r="C56" s="11" t="str">
        <f>IFERROR(__xludf.DUMMYFUNCTION("""COMPUTED_VALUE"""),"russ-white-fine-silk")</f>
        <v>russ-white-fine-silk</v>
      </c>
      <c r="D56" s="11" t="str">
        <f>IFERROR(__xludf.DUMMYFUNCTION("""COMPUTED_VALUE"""),"Russ White Fine Silk")</f>
        <v>Russ White Fine Silk</v>
      </c>
      <c r="E56" s="11"/>
      <c r="F56" s="11"/>
      <c r="G56" s="11"/>
      <c r="H56" s="11"/>
      <c r="I56" s="21" t="str">
        <f t="shared" si="1"/>
        <v/>
      </c>
    </row>
    <row r="57" ht="16.5" customHeight="1">
      <c r="A57" s="11" t="str">
        <f>IFERROR(__xludf.DUMMYFUNCTION("""COMPUTED_VALUE"""),"Livid men")</f>
        <v>Livid men</v>
      </c>
      <c r="B57" s="11" t="str">
        <f>IFERROR(__xludf.DUMMYFUNCTION("""COMPUTED_VALUE"""),"T-Shirt")</f>
        <v>T-Shirt</v>
      </c>
      <c r="C57" s="11" t="str">
        <f>IFERROR(__xludf.DUMMYFUNCTION("""COMPUTED_VALUE"""),"needle-mud-stripe")</f>
        <v>needle-mud-stripe</v>
      </c>
      <c r="D57" s="11" t="str">
        <f>IFERROR(__xludf.DUMMYFUNCTION("""COMPUTED_VALUE"""),"Needle Mud Stripe")</f>
        <v>Needle Mud Stripe</v>
      </c>
      <c r="E57" s="11" t="str">
        <f>IFERROR(__xludf.DUMMYFUNCTION("""COMPUTED_VALUE"""),"Made in Portugal 
The relaxed fit tee, Nelson. Featuring dropped shoulders, a wider body for a relaxed fit, and a tonal Livid embroidery at the chest.
Made from a pre-shrunk 6.5 Oz heavyweight 100% cotton jersey exclusively made for Livid in Portugal, i"&amp;"n a seasonal knitted stripe. This jersey was developed for our very first tees in 2013, has since been used in our heavyweight tees due to its durability and comfortable hand feel.")</f>
        <v>Made in Portugal 
The relaxed fit tee, Nelson. Featuring dropped shoulders, a wider body for a relaxed fit, and a tonal Livid embroidery at the chest.
Made from a pre-shrunk 6.5 Oz heavyweight 100% cotton jersey exclusively made for Livid in Portugal, in a seasonal knitted stripe. This jersey was developed for our very first tees in 2013, has since been used in our heavyweight tees due to its durability and comfortable hand feel.</v>
      </c>
      <c r="F57" s="11" t="str">
        <f>IFERROR(__xludf.DUMMYFUNCTION("""COMPUTED_VALUE"""),"The relaxed fit tee, Nelson. In a seasonal knitted stripe.")</f>
        <v>The relaxed fit tee, Nelson. In a seasonal knitted stripe.</v>
      </c>
      <c r="G57" s="11" t="str">
        <f>IFERROR(__xludf.DUMMYFUNCTION("""COMPUTED_VALUE"""),"- 100% cotton
- 220 gsm pre-shrunk jersey
- Livid embroidery at chest
- Fine rib collar
- Sewn with durable poly-core cotton thread
- Jersey knitted by Etevimol in Portugal
- Made at Texgoios in Portugal")</f>
        <v>- 100% cotton
- 220 gsm pre-shrunk jersey
- Livid embroidery at chest
- Fine rib collar
- Sewn with durable poly-core cotton thread
- Jersey knitted by Etevimol in Portugal
- Made at Texgoios in Portugal</v>
      </c>
      <c r="H57" s="11"/>
      <c r="I57" s="21" t="str">
        <f t="shared" si="1"/>
        <v>Made in Portugal 
The relaxed fit tee, Nelson. Featuring dropped shoulders, a wider body for a relaxed fit, and a tonal Livid embroidery at the chest.
Made from a pre-shrunk 6.5 Oz heavyweight 100% cotton jersey exclusively made for Livid in Portugal, in a seasonal knitted stripe. This jersey was developed for our very first tees in 2013, has since been used in our heavyweight tees due to its durability and comfortable hand feel.</v>
      </c>
    </row>
    <row r="58" ht="16.5" customHeight="1">
      <c r="A58" s="11" t="str">
        <f>IFERROR(__xludf.DUMMYFUNCTION("""COMPUTED_VALUE"""),"Livid men")</f>
        <v>Livid men</v>
      </c>
      <c r="B58" s="11" t="str">
        <f>IFERROR(__xludf.DUMMYFUNCTION("""COMPUTED_VALUE"""),"T-Shirt")</f>
        <v>T-Shirt</v>
      </c>
      <c r="C58" s="11" t="str">
        <f>IFERROR(__xludf.DUMMYFUNCTION("""COMPUTED_VALUE"""),"nelson-green-stripe")</f>
        <v>nelson-green-stripe</v>
      </c>
      <c r="D58" s="11" t="str">
        <f>IFERROR(__xludf.DUMMYFUNCTION("""COMPUTED_VALUE"""),"Nelson Green Stripe")</f>
        <v>Nelson Green Stripe</v>
      </c>
      <c r="E58" s="11" t="str">
        <f>IFERROR(__xludf.DUMMYFUNCTION("""COMPUTED_VALUE"""),"Made in Portugal 
The relaxed fit tee, Nelson. Featuring dropped shoulders, a wider body for a relaxed fit, and a tonal Livid embroidery at the chest.
Made from a pre-shrunk 6.5 Oz heavyweight 100% cotton jersey exclusively made for Livid in Portugal, i"&amp;"n a seasonal knitted stripe. This jersey was developed for our very first tees in 2013, has since been used in our heavyweight tees due to its durability and comfortable hand feel.")</f>
        <v>Made in Portugal 
The relaxed fit tee, Nelson. Featuring dropped shoulders, a wider body for a relaxed fit, and a tonal Livid embroidery at the chest.
Made from a pre-shrunk 6.5 Oz heavyweight 100% cotton jersey exclusively made for Livid in Portugal, in a seasonal knitted stripe. This jersey was developed for our very first tees in 2013, has since been used in our heavyweight tees due to its durability and comfortable hand feel.</v>
      </c>
      <c r="F58" s="11" t="str">
        <f>IFERROR(__xludf.DUMMYFUNCTION("""COMPUTED_VALUE"""),"The relaxed fit tee, Nelson. In a seasonal knitted stripe.")</f>
        <v>The relaxed fit tee, Nelson. In a seasonal knitted stripe.</v>
      </c>
      <c r="G58" s="11" t="str">
        <f>IFERROR(__xludf.DUMMYFUNCTION("""COMPUTED_VALUE"""),"- 100% cotton
- 220 gsm pre-shrunk jersey
- Livid embroidery at chest
- Fine rib collar
- Sewn with durable poly-core cotton thread
- Jersey knitted by Etevimol in Portugal
- Made at Texgoios in Portugal")</f>
        <v>- 100% cotton
- 220 gsm pre-shrunk jersey
- Livid embroidery at chest
- Fine rib collar
- Sewn with durable poly-core cotton thread
- Jersey knitted by Etevimol in Portugal
- Made at Texgoios in Portugal</v>
      </c>
      <c r="H58" s="11"/>
      <c r="I58" s="21" t="str">
        <f t="shared" si="1"/>
        <v>Made in Portugal 
The relaxed fit tee, Nelson. Featuring dropped shoulders, a wider body for a relaxed fit, and a tonal Livid embroidery at the chest.
Made from a pre-shrunk 6.5 Oz heavyweight 100% cotton jersey exclusively made for Livid in Portugal, in a seasonal knitted stripe. This jersey was developed for our very first tees in 2013, has since been used in our heavyweight tees due to its durability and comfortable hand feel.</v>
      </c>
    </row>
    <row r="59" ht="16.5" customHeight="1">
      <c r="A59" s="11" t="str">
        <f>IFERROR(__xludf.DUMMYFUNCTION("""COMPUTED_VALUE"""),"Livid men")</f>
        <v>Livid men</v>
      </c>
      <c r="B59" s="11" t="str">
        <f>IFERROR(__xludf.DUMMYFUNCTION("""COMPUTED_VALUE"""),"T-Shirt")</f>
        <v>T-Shirt</v>
      </c>
      <c r="C59" s="11" t="str">
        <f>IFERROR(__xludf.DUMMYFUNCTION("""COMPUTED_VALUE"""),"nelson-black-fadeout")</f>
        <v>nelson-black-fadeout</v>
      </c>
      <c r="D59" s="11" t="str">
        <f>IFERROR(__xludf.DUMMYFUNCTION("""COMPUTED_VALUE"""),"Nelson Black Fadeout")</f>
        <v>Nelson Black Fadeout</v>
      </c>
      <c r="E59" s="11" t="str">
        <f>IFERROR(__xludf.DUMMYFUNCTION("""COMPUTED_VALUE"""),"Made in Portugal 
The relaxed fit tee, Nelson. Featuring dropped shoulders, a wider body for a relaxed fit, and a tonal Livid embroidery at the chest. Garment dyed and acid washed for a subtly faded look.
Made from a pre-shrunk 6.5 Oz heavyweight 100% c"&amp;"otton jersey exclusively made for Livid in Portugal. This jersey was developed for our very first tees in 2013, has since been used in our heavyweight tees due to its durability and comfortable hand feel.")</f>
        <v>Made in Portugal 
The relaxed fit tee, Nelson. Featuring dropped shoulders, a wider body for a relaxed fit, and a tonal Livid embroidery at the chest. Garment dyed and acid washed for a subtly faded look.
Made from a pre-shrunk 6.5 Oz heavyweight 100% cotton jersey exclusively made for Livid in Portugal. This jersey was developed for our very first tees in 2013, has since been used in our heavyweight tees due to its durability and comfortable hand feel.</v>
      </c>
      <c r="F59" s="11" t="str">
        <f>IFERROR(__xludf.DUMMYFUNCTION("""COMPUTED_VALUE"""),"The relaxed fit tee, Nelson. In a seasonal colourway.")</f>
        <v>The relaxed fit tee, Nelson. In a seasonal colourway.</v>
      </c>
      <c r="G59" s="11" t="str">
        <f>IFERROR(__xludf.DUMMYFUNCTION("""COMPUTED_VALUE"""),"- 100% cotton
- 220 gsm pre-shrunk jersey
- Livid embroidery at chest
- Fine rib collar
- Sewn with durable poly-core cotton thread
- Jersey knitted by Etevimol in Portugal
- Made at Texgoios in Portugal")</f>
        <v>- 100% cotton
- 220 gsm pre-shrunk jersey
- Livid embroidery at chest
- Fine rib collar
- Sewn with durable poly-core cotton thread
- Jersey knitted by Etevimol in Portugal
- Made at Texgoios in Portugal</v>
      </c>
      <c r="H59" s="11"/>
      <c r="I59" s="21" t="str">
        <f t="shared" si="1"/>
        <v>Made in Portugal 
The relaxed fit tee, Nelson. Featuring dropped shoulders, a wider body for a relaxed fit, and a tonal Livid embroidery at the chest. Garment dyed and acid washed for a subtly faded look.
Made from a pre-shrunk 6.5 Oz heavyweight 100% cotton jersey exclusively made for Livid in Portugal. This jersey was developed for our very first tees in 2013, has since been used in our heavyweight tees due to its durability and comfortable hand feel.</v>
      </c>
    </row>
    <row r="60" ht="16.5" customHeight="1">
      <c r="A60" s="11" t="str">
        <f>IFERROR(__xludf.DUMMYFUNCTION("""COMPUTED_VALUE"""),"Livid men")</f>
        <v>Livid men</v>
      </c>
      <c r="B60" s="11" t="str">
        <f>IFERROR(__xludf.DUMMYFUNCTION("""COMPUTED_VALUE"""),"T-Shirt")</f>
        <v>T-Shirt</v>
      </c>
      <c r="C60" s="11" t="str">
        <f>IFERROR(__xludf.DUMMYFUNCTION("""COMPUTED_VALUE"""),"nelson-fog-fadeout")</f>
        <v>nelson-fog-fadeout</v>
      </c>
      <c r="D60" s="11" t="str">
        <f>IFERROR(__xludf.DUMMYFUNCTION("""COMPUTED_VALUE"""),"Nelson Fog Fadeout")</f>
        <v>Nelson Fog Fadeout</v>
      </c>
      <c r="E60" s="11" t="str">
        <f>IFERROR(__xludf.DUMMYFUNCTION("""COMPUTED_VALUE"""),"Made in Portugal 
The relaxed fit tee, Nelson. Featuring dropped shoulders, a wider body for a relaxed fit, and a tonal Livid embroidery at the chest. Garment dyed and acid washed for a subtly faded look.
Made from a pre-shrunk 6.5 Oz heavyweight 100% c"&amp;"otton jersey exclusively made for Livid in Portugal. This jersey was developed for our very first tees in 2013, has since been used in our heavyweight tees due to its durability and comfortable hand feel.")</f>
        <v>Made in Portugal 
The relaxed fit tee, Nelson. Featuring dropped shoulders, a wider body for a relaxed fit, and a tonal Livid embroidery at the chest. Garment dyed and acid washed for a subtly faded look.
Made from a pre-shrunk 6.5 Oz heavyweight 100% cotton jersey exclusively made for Livid in Portugal. This jersey was developed for our very first tees in 2013, has since been used in our heavyweight tees due to its durability and comfortable hand feel.</v>
      </c>
      <c r="F60" s="11" t="str">
        <f>IFERROR(__xludf.DUMMYFUNCTION("""COMPUTED_VALUE"""),"The relaxed fit tee, Nelson. In a seasonal colourway.")</f>
        <v>The relaxed fit tee, Nelson. In a seasonal colourway.</v>
      </c>
      <c r="G60" s="11" t="str">
        <f>IFERROR(__xludf.DUMMYFUNCTION("""COMPUTED_VALUE"""),"- 100% cotton
- 220 gsm pre-shrunk jersey
- Livid embroidery at chest
- Fine rib collar
- Sewn with durable poly-core cotton thread
- Jersey knitted by Etevimol in Portugal
- Made at Texgoios in Portugal")</f>
        <v>- 100% cotton
- 220 gsm pre-shrunk jersey
- Livid embroidery at chest
- Fine rib collar
- Sewn with durable poly-core cotton thread
- Jersey knitted by Etevimol in Portugal
- Made at Texgoios in Portugal</v>
      </c>
      <c r="H60" s="11"/>
      <c r="I60" s="21" t="str">
        <f t="shared" si="1"/>
        <v>Made in Portugal 
The relaxed fit tee, Nelson. Featuring dropped shoulders, a wider body for a relaxed fit, and a tonal Livid embroidery at the chest. Garment dyed and acid washed for a subtly faded look.
Made from a pre-shrunk 6.5 Oz heavyweight 100% cotton jersey exclusively made for Livid in Portugal. This jersey was developed for our very first tees in 2013, has since been used in our heavyweight tees due to its durability and comfortable hand feel.</v>
      </c>
    </row>
    <row r="61" ht="16.5" customHeight="1">
      <c r="A61" s="11" t="str">
        <f>IFERROR(__xludf.DUMMYFUNCTION("""COMPUTED_VALUE"""),"Livid men")</f>
        <v>Livid men</v>
      </c>
      <c r="B61" s="11" t="str">
        <f>IFERROR(__xludf.DUMMYFUNCTION("""COMPUTED_VALUE"""),"T-Shirt")</f>
        <v>T-Shirt</v>
      </c>
      <c r="C61" s="11" t="str">
        <f>IFERROR(__xludf.DUMMYFUNCTION("""COMPUTED_VALUE"""),"nelson-mud")</f>
        <v>nelson-mud</v>
      </c>
      <c r="D61" s="11" t="str">
        <f>IFERROR(__xludf.DUMMYFUNCTION("""COMPUTED_VALUE"""),"Nelson Mud")</f>
        <v>Nelson Mud</v>
      </c>
      <c r="E61" s="11" t="str">
        <f>IFERROR(__xludf.DUMMYFUNCTION("""COMPUTED_VALUE"""),"Made in Portugal 
The relaxed fit tee, Nelson. Featuring dropped shoulders, a wider body for a relaxed fit, and a tonal Livid embroidery at the chest.
Made from a pre-shrunk 6.5 Oz heavyweight 100% cotton jersey exclusively made for Livid in Portugal. T"&amp;"his jersey was developed for our very first tees in 2013, has since been used in our heavyweight tees due to its durability and comfortable hand feel.")</f>
        <v>Made in Portugal 
The relaxed fit tee, Nelson. Featuring dropped shoulders, a wider body for a relaxed fit, and a tonal Livid embroidery at the chest.
Made from a pre-shrunk 6.5 Oz heavyweight 100% cotton jersey exclusively made for Livid in Portugal. This jersey was developed for our very first tees in 2013, has since been used in our heavyweight tees due to its durability and comfortable hand feel.</v>
      </c>
      <c r="F61" s="11" t="str">
        <f>IFERROR(__xludf.DUMMYFUNCTION("""COMPUTED_VALUE"""),"The relaxed fit tee, Nelson. In a seasonal colourway.")</f>
        <v>The relaxed fit tee, Nelson. In a seasonal colourway.</v>
      </c>
      <c r="G61" s="11" t="str">
        <f>IFERROR(__xludf.DUMMYFUNCTION("""COMPUTED_VALUE"""),"- 100% cotton
- 220 gsm pre-shrunk jersey
- Livid embroidery at chest
- Fine rib collar
- Sewn with durable poly-core cotton thread
- Jersey knitted by Etevimol in Portugal
- Made at Texgoios in Portugal")</f>
        <v>- 100% cotton
- 220 gsm pre-shrunk jersey
- Livid embroidery at chest
- Fine rib collar
- Sewn with durable poly-core cotton thread
- Jersey knitted by Etevimol in Portugal
- Made at Texgoios in Portugal</v>
      </c>
      <c r="H61" s="11"/>
      <c r="I61" s="21" t="str">
        <f t="shared" si="1"/>
        <v>Made in Portugal 
The relaxed fit tee, Nelson. Featuring dropped shoulders, a wider body for a relaxed fit, and a tonal Livid embroidery at the chest.
Made from a pre-shrunk 6.5 Oz heavyweight 100% cotton jersey exclusively made for Livid in Portugal. This jersey was developed for our very first tees in 2013, has since been used in our heavyweight tees due to its durability and comfortable hand feel.</v>
      </c>
    </row>
    <row r="62" ht="16.5" customHeight="1">
      <c r="A62" s="11" t="str">
        <f>IFERROR(__xludf.DUMMYFUNCTION("""COMPUTED_VALUE"""),"Livid men")</f>
        <v>Livid men</v>
      </c>
      <c r="B62" s="11" t="str">
        <f>IFERROR(__xludf.DUMMYFUNCTION("""COMPUTED_VALUE"""),"T-Shirt")</f>
        <v>T-Shirt</v>
      </c>
      <c r="C62" s="11" t="str">
        <f>IFERROR(__xludf.DUMMYFUNCTION("""COMPUTED_VALUE"""),"nelson-bleek-eclipse")</f>
        <v>nelson-bleek-eclipse</v>
      </c>
      <c r="D62" s="11" t="str">
        <f>IFERROR(__xludf.DUMMYFUNCTION("""COMPUTED_VALUE"""),"Nelson Bleek Eclipse")</f>
        <v>Nelson Bleek Eclipse</v>
      </c>
      <c r="E62" s="11" t="str">
        <f>IFERROR(__xludf.DUMMYFUNCTION("""COMPUTED_VALUE"""),"Made in Portugal 
The relaxed fit tee, Nelson. Featuring dropped shoulders, a wider body for a relaxed fit, and a tonal Livid embroidery at the chest.
Made from a pre-shrunk 6.5 Oz heavyweight 100% cotton jersey exclusively made for Livid in Portugal. T"&amp;"his jersey was developed for our very first tees in 2013, has since been used in our heavyweight tees due to its durability and comfortable hand feel.")</f>
        <v>Made in Portugal 
The relaxed fit tee, Nelson. Featuring dropped shoulders, a wider body for a relaxed fit, and a tonal Livid embroidery at the chest.
Made from a pre-shrunk 6.5 Oz heavyweight 100% cotton jersey exclusively made for Livid in Portugal. This jersey was developed for our very first tees in 2013, has since been used in our heavyweight tees due to its durability and comfortable hand feel.</v>
      </c>
      <c r="F62" s="11" t="str">
        <f>IFERROR(__xludf.DUMMYFUNCTION("""COMPUTED_VALUE"""),"The relaxed fit tee, Nelson. In a seasonal colourway.")</f>
        <v>The relaxed fit tee, Nelson. In a seasonal colourway.</v>
      </c>
      <c r="G62" s="11" t="str">
        <f>IFERROR(__xludf.DUMMYFUNCTION("""COMPUTED_VALUE"""),"- 100% cotton
- 220 gsm pre-shrunk jersey
- Livid embroidery at chest
- Fine rib collar
- Sewn with durable poly-core cotton thread
- Jersey knitted by Etevimol in Portugal
- Made at Texgoios in Portugal")</f>
        <v>- 100% cotton
- 220 gsm pre-shrunk jersey
- Livid embroidery at chest
- Fine rib collar
- Sewn with durable poly-core cotton thread
- Jersey knitted by Etevimol in Portugal
- Made at Texgoios in Portugal</v>
      </c>
      <c r="H62" s="11"/>
      <c r="I62" s="21" t="str">
        <f t="shared" si="1"/>
        <v>Made in Portugal 
The relaxed fit tee, Nelson. Featuring dropped shoulders, a wider body for a relaxed fit, and a tonal Livid embroidery at the chest.
Made from a pre-shrunk 6.5 Oz heavyweight 100% cotton jersey exclusively made for Livid in Portugal. This jersey was developed for our very first tees in 2013, has since been used in our heavyweight tees due to its durability and comfortable hand feel.</v>
      </c>
    </row>
    <row r="63" ht="16.5" customHeight="1">
      <c r="A63" s="11" t="str">
        <f>IFERROR(__xludf.DUMMYFUNCTION("""COMPUTED_VALUE"""),"Livid Men")</f>
        <v>Livid Men</v>
      </c>
      <c r="B63" s="11" t="str">
        <f>IFERROR(__xludf.DUMMYFUNCTION("""COMPUTED_VALUE"""),"T-Shirt")</f>
        <v>T-Shirt</v>
      </c>
      <c r="C63" s="11" t="str">
        <f>IFERROR(__xludf.DUMMYFUNCTION("""COMPUTED_VALUE"""),"nelson-black")</f>
        <v>nelson-black</v>
      </c>
      <c r="D63" s="11" t="str">
        <f>IFERROR(__xludf.DUMMYFUNCTION("""COMPUTED_VALUE"""),"Nelson Black")</f>
        <v>Nelson Black</v>
      </c>
      <c r="E63" s="11" t="str">
        <f>IFERROR(__xludf.DUMMYFUNCTION("""COMPUTED_VALUE"""),"Made in Portugal 
The relaxed fit staple tee, Nelson. Made from a pre-shrunk 6.5 Oz heavyweight 100% cotton jersey exclusively made for Livid in Portugal. This jersey was developed for our very first tees in 2013, has since been used in our heavyweight t"&amp;"ees due to its durability and comfortable hand feel.
Featuring dropped shoulders, a wider body for a relaxed fit, and a slightly shorter length than the classic staple tee Richmond. Tonal ""Livid"" embroidery at the chest.")</f>
        <v>Made in Portugal 
The relaxed fit staple tee, Nelson. Made from a pre-shrunk 6.5 Oz heavyweight 100% cotton jersey exclusively made for Livid in Portugal. This jersey was developed for our very first tees in 2013, has since been used in our heavyweight tees due to its durability and comfortable hand feel.
Featuring dropped shoulders, a wider body for a relaxed fit, and a slightly shorter length than the classic staple tee Richmond. Tonal "Livid" embroidery at the chest.</v>
      </c>
      <c r="F63" s="11" t="str">
        <f>IFERROR(__xludf.DUMMYFUNCTION("""COMPUTED_VALUE"""),"The relaxed fit tee, Nelson.")</f>
        <v>The relaxed fit tee, Nelson.</v>
      </c>
      <c r="G63" s="11" t="str">
        <f>IFERROR(__xludf.DUMMYFUNCTION("""COMPUTED_VALUE"""),"- 100% cotton
- 220 gsm pre-shrunk jersey
- Livid embroidery at chest
- Fine rib collar
- Sewn with durable poly-core cotton thread
- Jersey knitted by Etevimol in Portugal
- Made at Texgoios in Portugal")</f>
        <v>- 100% cotton
- 220 gsm pre-shrunk jersey
- Livid embroidery at chest
- Fine rib collar
- Sewn with durable poly-core cotton thread
- Jersey knitted by Etevimol in Portugal
- Made at Texgoios in Portugal</v>
      </c>
      <c r="H63" s="11"/>
      <c r="I63" s="21" t="str">
        <f t="shared" si="1"/>
        <v>Made in Portugal 
The relaxed fit staple tee, Nelson. Made from a pre-shrunk 6.5 Oz heavyweight 100% cotton jersey exclusively made for Livid in Portugal. This jersey was developed for our very first tees in 2013, has since been used in our heavyweight tees due to its durability and comfortable hand feel.
Featuring dropped shoulders, a wider body for a relaxed fit, and a slightly shorter length than the classic staple tee Richmond. Tonal "Livid" embroidery at the chest.</v>
      </c>
    </row>
    <row r="64" ht="16.5" customHeight="1">
      <c r="A64" s="11" t="str">
        <f>IFERROR(__xludf.DUMMYFUNCTION("""COMPUTED_VALUE"""),"Livid men")</f>
        <v>Livid men</v>
      </c>
      <c r="B64" s="11" t="str">
        <f>IFERROR(__xludf.DUMMYFUNCTION("""COMPUTED_VALUE"""),"T-Shirt")</f>
        <v>T-Shirt</v>
      </c>
      <c r="C64" s="11" t="str">
        <f>IFERROR(__xludf.DUMMYFUNCTION("""COMPUTED_VALUE"""),"nelson-charcoal-melange")</f>
        <v>nelson-charcoal-melange</v>
      </c>
      <c r="D64" s="11" t="str">
        <f>IFERROR(__xludf.DUMMYFUNCTION("""COMPUTED_VALUE"""),"Nelson Charcoal Melange")</f>
        <v>Nelson Charcoal Melange</v>
      </c>
      <c r="E64" s="11" t="str">
        <f>IFERROR(__xludf.DUMMYFUNCTION("""COMPUTED_VALUE"""),"Made in Portugal 
The relaxed fit staple tee, Nelson. Made from a pre-shrunk 6.5 Oz heavyweight 100% cotton jersey exclusively made for Livid in Portugal. This jersey was developed for our very first tees in 2013, has since been used in our heavyweight t"&amp;"ees due to its durability and comfortable hand feel.
Featuring dropped shoulders, a wider body for a relaxed fit, and a slightly shorter length than the classic staple tee Richmond. Tonal ""Livid"" embroidery at the chest.")</f>
        <v>Made in Portugal 
The relaxed fit staple tee, Nelson. Made from a pre-shrunk 6.5 Oz heavyweight 100% cotton jersey exclusively made for Livid in Portugal. This jersey was developed for our very first tees in 2013, has since been used in our heavyweight tees due to its durability and comfortable hand feel.
Featuring dropped shoulders, a wider body for a relaxed fit, and a slightly shorter length than the classic staple tee Richmond. Tonal "Livid" embroidery at the chest.</v>
      </c>
      <c r="F64" s="11" t="str">
        <f>IFERROR(__xludf.DUMMYFUNCTION("""COMPUTED_VALUE"""),"The relaxed fit tee, Nelson.")</f>
        <v>The relaxed fit tee, Nelson.</v>
      </c>
      <c r="G64" s="11" t="str">
        <f>IFERROR(__xludf.DUMMYFUNCTION("""COMPUTED_VALUE"""),"- 100% cotton
- 220 gsm pre-shrunk jersey
- Livid embroidery at chest
- Fine rib collar
- Sewn with durable poly-core cotton thread
- Jersey knitted by Etevimol in Portugal
- Made at Texgoios in Portugal")</f>
        <v>- 100% cotton
- 220 gsm pre-shrunk jersey
- Livid embroidery at chest
- Fine rib collar
- Sewn with durable poly-core cotton thread
- Jersey knitted by Etevimol in Portugal
- Made at Texgoios in Portugal</v>
      </c>
      <c r="H64" s="11"/>
      <c r="I64" s="21" t="str">
        <f t="shared" si="1"/>
        <v>Made in Portugal 
The relaxed fit staple tee, Nelson. Made from a pre-shrunk 6.5 Oz heavyweight 100% cotton jersey exclusively made for Livid in Portugal. This jersey was developed for our very first tees in 2013, has since been used in our heavyweight tees due to its durability and comfortable hand feel.
Featuring dropped shoulders, a wider body for a relaxed fit, and a slightly shorter length than the classic staple tee Richmond. Tonal "Livid" embroidery at the chest.</v>
      </c>
    </row>
    <row r="65" ht="16.5" customHeight="1">
      <c r="A65" s="11" t="str">
        <f>IFERROR(__xludf.DUMMYFUNCTION("""COMPUTED_VALUE"""),"Livid Men")</f>
        <v>Livid Men</v>
      </c>
      <c r="B65" s="11" t="str">
        <f>IFERROR(__xludf.DUMMYFUNCTION("""COMPUTED_VALUE"""),"T-Shirt")</f>
        <v>T-Shirt</v>
      </c>
      <c r="C65" s="11" t="str">
        <f>IFERROR(__xludf.DUMMYFUNCTION("""COMPUTED_VALUE"""),"nelson-grey-melange")</f>
        <v>nelson-grey-melange</v>
      </c>
      <c r="D65" s="11" t="str">
        <f>IFERROR(__xludf.DUMMYFUNCTION("""COMPUTED_VALUE"""),"Nelson Grey Melange")</f>
        <v>Nelson Grey Melange</v>
      </c>
      <c r="E65" s="11" t="str">
        <f>IFERROR(__xludf.DUMMYFUNCTION("""COMPUTED_VALUE"""),"Made in Portugal 
The relaxed fit staple tee, Nelson. Made from a pre-shrunk 6.5 Oz heavyweight 100% cotton jersey exclusively made for Livid in Portugal. This jersey was developed for our very first tees in 2013, has since been used in our heavyweight t"&amp;"ees due to its durability and comfortable hand feel.
Featuring dropped shoulders, a wider body for a relaxed fit, and a slightly shorter length than the classic staple tee Richmond. Tonal ""Livid"" embroidery at the chest.")</f>
        <v>Made in Portugal 
The relaxed fit staple tee, Nelson. Made from a pre-shrunk 6.5 Oz heavyweight 100% cotton jersey exclusively made for Livid in Portugal. This jersey was developed for our very first tees in 2013, has since been used in our heavyweight tees due to its durability and comfortable hand feel.
Featuring dropped shoulders, a wider body for a relaxed fit, and a slightly shorter length than the classic staple tee Richmond. Tonal "Livid" embroidery at the chest.</v>
      </c>
      <c r="F65" s="11" t="str">
        <f>IFERROR(__xludf.DUMMYFUNCTION("""COMPUTED_VALUE"""),"The relaxed fit tee, Nelson.")</f>
        <v>The relaxed fit tee, Nelson.</v>
      </c>
      <c r="G65" s="11" t="str">
        <f>IFERROR(__xludf.DUMMYFUNCTION("""COMPUTED_VALUE"""),"- 100% cotton
- 220 gsm pre-shrunk jersey
- Livid embroidery at chest
- Fine rib collar
- Sewn with durable poly-core cotton thread
- Jersey knitted by Etevimol in Portugal
- Made at Texgoios in Portugal")</f>
        <v>- 100% cotton
- 220 gsm pre-shrunk jersey
- Livid embroidery at chest
- Fine rib collar
- Sewn with durable poly-core cotton thread
- Jersey knitted by Etevimol in Portugal
- Made at Texgoios in Portugal</v>
      </c>
      <c r="H65" s="11"/>
      <c r="I65" s="21" t="str">
        <f t="shared" si="1"/>
        <v>Made in Portugal 
The relaxed fit staple tee, Nelson. Made from a pre-shrunk 6.5 Oz heavyweight 100% cotton jersey exclusively made for Livid in Portugal. This jersey was developed for our very first tees in 2013, has since been used in our heavyweight tees due to its durability and comfortable hand feel.
Featuring dropped shoulders, a wider body for a relaxed fit, and a slightly shorter length than the classic staple tee Richmond. Tonal "Livid" embroidery at the chest.</v>
      </c>
    </row>
    <row r="66" ht="16.5" customHeight="1">
      <c r="A66" s="11" t="str">
        <f>IFERROR(__xludf.DUMMYFUNCTION("""COMPUTED_VALUE"""),"Livid Men")</f>
        <v>Livid Men</v>
      </c>
      <c r="B66" s="11" t="str">
        <f>IFERROR(__xludf.DUMMYFUNCTION("""COMPUTED_VALUE"""),"T-Shirt")</f>
        <v>T-Shirt</v>
      </c>
      <c r="C66" s="11" t="str">
        <f>IFERROR(__xludf.DUMMYFUNCTION("""COMPUTED_VALUE"""),"nelson-white")</f>
        <v>nelson-white</v>
      </c>
      <c r="D66" s="11" t="str">
        <f>IFERROR(__xludf.DUMMYFUNCTION("""COMPUTED_VALUE"""),"Nelson White")</f>
        <v>Nelson White</v>
      </c>
      <c r="E66" s="11" t="str">
        <f>IFERROR(__xludf.DUMMYFUNCTION("""COMPUTED_VALUE"""),"Made in Portugal 
The relaxed fit staple tee, Nelson. Made from a pre-shrunk 6.5 Oz heavyweight 100% cotton jersey exclusively made for Livid in Portugal. This jersey was developed for our very first tees in 2013, has since been used in our heavyweight t"&amp;"ees due to its durability and comfortable hand feel.
Featuring dropped shoulders, a wider body for a relaxed fit, and a slightly shorter length than the classic staple tee Richmond. Tonal ""Livid"" embroidery at the chest.")</f>
        <v>Made in Portugal 
The relaxed fit staple tee, Nelson. Made from a pre-shrunk 6.5 Oz heavyweight 100% cotton jersey exclusively made for Livid in Portugal. This jersey was developed for our very first tees in 2013, has since been used in our heavyweight tees due to its durability and comfortable hand feel.
Featuring dropped shoulders, a wider body for a relaxed fit, and a slightly shorter length than the classic staple tee Richmond. Tonal "Livid" embroidery at the chest.</v>
      </c>
      <c r="F66" s="11" t="str">
        <f>IFERROR(__xludf.DUMMYFUNCTION("""COMPUTED_VALUE"""),"The relaxed fit tee, Nelson.")</f>
        <v>The relaxed fit tee, Nelson.</v>
      </c>
      <c r="G66" s="11" t="str">
        <f>IFERROR(__xludf.DUMMYFUNCTION("""COMPUTED_VALUE"""),"- 100% cotton
- 220 gsm pre-shrunk jersey
- Livid embroidery at chest
- Fine rib collar
- Sewn with durable poly-core cotton thread
- Jersey knitted by Etevimol in Portugal
- Made at Texgoios in Portugal")</f>
        <v>- 100% cotton
- 220 gsm pre-shrunk jersey
- Livid embroidery at chest
- Fine rib collar
- Sewn with durable poly-core cotton thread
- Jersey knitted by Etevimol in Portugal
- Made at Texgoios in Portugal</v>
      </c>
      <c r="H66" s="11"/>
      <c r="I66" s="21" t="str">
        <f t="shared" si="1"/>
        <v>Made in Portugal 
The relaxed fit staple tee, Nelson. Made from a pre-shrunk 6.5 Oz heavyweight 100% cotton jersey exclusively made for Livid in Portugal. This jersey was developed for our very first tees in 2013, has since been used in our heavyweight tees due to its durability and comfortable hand feel.
Featuring dropped shoulders, a wider body for a relaxed fit, and a slightly shorter length than the classic staple tee Richmond. Tonal "Livid" embroidery at the chest.</v>
      </c>
    </row>
    <row r="67" ht="16.5" customHeight="1">
      <c r="A67" s="11" t="str">
        <f>IFERROR(__xludf.DUMMYFUNCTION("""COMPUTED_VALUE"""),"Livid men")</f>
        <v>Livid men</v>
      </c>
      <c r="B67" s="11" t="str">
        <f>IFERROR(__xludf.DUMMYFUNCTION("""COMPUTED_VALUE"""),"T-Shirt")</f>
        <v>T-Shirt</v>
      </c>
      <c r="C67" s="11" t="str">
        <f>IFERROR(__xludf.DUMMYFUNCTION("""COMPUTED_VALUE"""),"paco-bile-fadeout")</f>
        <v>paco-bile-fadeout</v>
      </c>
      <c r="D67" s="11" t="str">
        <f>IFERROR(__xludf.DUMMYFUNCTION("""COMPUTED_VALUE"""),"Paco Bile Fadeout")</f>
        <v>Paco Bile Fadeout</v>
      </c>
      <c r="E67" s="11"/>
      <c r="F67" s="11"/>
      <c r="G67" s="11"/>
      <c r="H67" s="11"/>
      <c r="I67" s="21" t="str">
        <f t="shared" si="1"/>
        <v/>
      </c>
    </row>
    <row r="68" ht="16.5" customHeight="1">
      <c r="A68" s="11" t="str">
        <f>IFERROR(__xludf.DUMMYFUNCTION("""COMPUTED_VALUE"""),"Livid men")</f>
        <v>Livid men</v>
      </c>
      <c r="B68" s="11" t="str">
        <f>IFERROR(__xludf.DUMMYFUNCTION("""COMPUTED_VALUE"""),"T-Shirt")</f>
        <v>T-Shirt</v>
      </c>
      <c r="C68" s="11" t="str">
        <f>IFERROR(__xludf.DUMMYFUNCTION("""COMPUTED_VALUE"""),"paco-white")</f>
        <v>paco-white</v>
      </c>
      <c r="D68" s="11" t="str">
        <f>IFERROR(__xludf.DUMMYFUNCTION("""COMPUTED_VALUE"""),"Paco White")</f>
        <v>Paco White</v>
      </c>
      <c r="E68" s="11"/>
      <c r="F68" s="11"/>
      <c r="G68" s="11"/>
      <c r="H68" s="11"/>
      <c r="I68" s="21" t="str">
        <f t="shared" si="1"/>
        <v/>
      </c>
    </row>
    <row r="69" ht="16.5" customHeight="1">
      <c r="A69" s="11" t="str">
        <f>IFERROR(__xludf.DUMMYFUNCTION("""COMPUTED_VALUE"""),"Livid men")</f>
        <v>Livid men</v>
      </c>
      <c r="B69" s="11" t="str">
        <f>IFERROR(__xludf.DUMMYFUNCTION("""COMPUTED_VALUE"""),"Singlet")</f>
        <v>Singlet</v>
      </c>
      <c r="C69" s="11" t="str">
        <f>IFERROR(__xludf.DUMMYFUNCTION("""COMPUTED_VALUE"""),"elmer-grey-melange")</f>
        <v>elmer-grey-melange</v>
      </c>
      <c r="D69" s="11" t="str">
        <f>IFERROR(__xludf.DUMMYFUNCTION("""COMPUTED_VALUE"""),"Elmer Grey Melange")</f>
        <v>Elmer Grey Melange</v>
      </c>
      <c r="E69" s="11" t="str">
        <f>IFERROR(__xludf.DUMMYFUNCTION("""COMPUTED_VALUE"""),"Made in Portugal
Made in a soft and light 100% cotton rib jersey, Elmer features a straight fitting body, an open neckline and a straight cut hem. 
Designed to be worn on its own, or to add visual interest as a layering piece.")</f>
        <v>Made in Portugal
Made in a soft and light 100% cotton rib jersey, Elmer features a straight fitting body, an open neckline and a straight cut hem. 
Designed to be worn on its own, or to add visual interest as a layering piece.</v>
      </c>
      <c r="F69" s="11" t="str">
        <f>IFERROR(__xludf.DUMMYFUNCTION("""COMPUTED_VALUE"""),"The rib singlet, Elmer.")</f>
        <v>The rib singlet, Elmer.</v>
      </c>
      <c r="G69" s="11" t="str">
        <f>IFERROR(__xludf.DUMMYFUNCTION("""COMPUTED_VALUE"""),"- 100% cotton
- Pre-shrunk rib jersey, knitted at Etevimol, Portugal
- Sewn with durable poly-core cotton thread
- Made at Texgoios in Portugal")</f>
        <v>- 100% cotton
- Pre-shrunk rib jersey, knitted at Etevimol, Portugal
- Sewn with durable poly-core cotton thread
- Made at Texgoios in Portugal</v>
      </c>
      <c r="H69" s="11" t="str">
        <f>IFERROR(__xludf.DUMMYFUNCTION("""COMPUTED_VALUE"""),"elmer-white")</f>
        <v>elmer-white</v>
      </c>
      <c r="I69" s="21" t="str">
        <f t="shared" si="1"/>
        <v>Made in Portugal
Made in a soft and light 100% cotton rib jersey, Elmer features a straight fitting body, an open neckline and a straight cut hem. 
Designed to be worn on its own, or to add visual interest as a layering piece.</v>
      </c>
    </row>
    <row r="70" ht="16.5" customHeight="1">
      <c r="A70" s="11" t="str">
        <f>IFERROR(__xludf.DUMMYFUNCTION("""COMPUTED_VALUE"""),"Livid men")</f>
        <v>Livid men</v>
      </c>
      <c r="B70" s="11" t="str">
        <f>IFERROR(__xludf.DUMMYFUNCTION("""COMPUTED_VALUE"""),"Singlet")</f>
        <v>Singlet</v>
      </c>
      <c r="C70" s="11" t="str">
        <f>IFERROR(__xludf.DUMMYFUNCTION("""COMPUTED_VALUE"""),"elmer-white")</f>
        <v>elmer-white</v>
      </c>
      <c r="D70" s="11" t="str">
        <f>IFERROR(__xludf.DUMMYFUNCTION("""COMPUTED_VALUE"""),"Elmer White")</f>
        <v>Elmer White</v>
      </c>
      <c r="E70" s="11" t="str">
        <f>IFERROR(__xludf.DUMMYFUNCTION("""COMPUTED_VALUE"""),"Made in Portugal
Made in a soft and light 100% cotton rib jersey, Elmer features a straight fitting body, an open neckline and a straight cut hem. 
Designed to be worn on its own, or to add visual interest as a layering piece.")</f>
        <v>Made in Portugal
Made in a soft and light 100% cotton rib jersey, Elmer features a straight fitting body, an open neckline and a straight cut hem. 
Designed to be worn on its own, or to add visual interest as a layering piece.</v>
      </c>
      <c r="F70" s="11" t="str">
        <f>IFERROR(__xludf.DUMMYFUNCTION("""COMPUTED_VALUE"""),"The rib singlet, Elmer.")</f>
        <v>The rib singlet, Elmer.</v>
      </c>
      <c r="G70" s="11" t="str">
        <f>IFERROR(__xludf.DUMMYFUNCTION("""COMPUTED_VALUE"""),"- 100% cotton
- Pre-shrunk rib jersey, knitted at Etevimol, Portugal
- Sewn with durable poly-core cotton thread
- Made at Texgoios in Portugal")</f>
        <v>- 100% cotton
- Pre-shrunk rib jersey, knitted at Etevimol, Portugal
- Sewn with durable poly-core cotton thread
- Made at Texgoios in Portugal</v>
      </c>
      <c r="H70" s="11" t="str">
        <f>IFERROR(__xludf.DUMMYFUNCTION("""COMPUTED_VALUE"""),"elmer-grey-melange")</f>
        <v>elmer-grey-melange</v>
      </c>
      <c r="I70" s="21" t="str">
        <f t="shared" si="1"/>
        <v>Made in Portugal
Made in a soft and light 100% cotton rib jersey, Elmer features a straight fitting body, an open neckline and a straight cut hem. 
Designed to be worn on its own, or to add visual interest as a layering piece.</v>
      </c>
    </row>
    <row r="71" ht="16.5" customHeight="1">
      <c r="A71" s="11" t="str">
        <f>IFERROR(__xludf.DUMMYFUNCTION("""COMPUTED_VALUE"""),"Livid men")</f>
        <v>Livid men</v>
      </c>
      <c r="B71" s="11" t="str">
        <f>IFERROR(__xludf.DUMMYFUNCTION("""COMPUTED_VALUE"""),"Singlet")</f>
        <v>Singlet</v>
      </c>
      <c r="C71" s="11" t="str">
        <f>IFERROR(__xludf.DUMMYFUNCTION("""COMPUTED_VALUE"""),"anoki-black")</f>
        <v>anoki-black</v>
      </c>
      <c r="D71" s="11" t="str">
        <f>IFERROR(__xludf.DUMMYFUNCTION("""COMPUTED_VALUE"""),"Anoki Black")</f>
        <v>Anoki Black</v>
      </c>
      <c r="E71" s="11"/>
      <c r="F71" s="11"/>
      <c r="G71" s="11"/>
      <c r="H71" s="11"/>
      <c r="I71" s="21" t="str">
        <f t="shared" si="1"/>
        <v/>
      </c>
    </row>
    <row r="72" ht="16.5" customHeight="1">
      <c r="A72" s="11" t="str">
        <f>IFERROR(__xludf.DUMMYFUNCTION("""COMPUTED_VALUE"""),"Livid men")</f>
        <v>Livid men</v>
      </c>
      <c r="B72" s="11" t="str">
        <f>IFERROR(__xludf.DUMMYFUNCTION("""COMPUTED_VALUE"""),"Jersey")</f>
        <v>Jersey</v>
      </c>
      <c r="C72" s="11" t="str">
        <f>IFERROR(__xludf.DUMMYFUNCTION("""COMPUTED_VALUE"""),"kavon-mizzi-moss")</f>
        <v>kavon-mizzi-moss</v>
      </c>
      <c r="D72" s="11" t="str">
        <f>IFERROR(__xludf.DUMMYFUNCTION("""COMPUTED_VALUE"""),"Kavon Mizzi Moss")</f>
        <v>Kavon Mizzi Moss</v>
      </c>
      <c r="E72" s="11" t="str">
        <f>IFERROR(__xludf.DUMMYFUNCTION("""COMPUTED_VALUE"""),"Made in Portugal
Kavon features a wider, shorter body for a loose box-fit, but sits more dialed in at the shoulders and upper chest compared to an ovesized fit. Made with long straight sleeves.
Made in our signature 6.5 Oz heavyweight 100% cotton jersey"&amp;" exclusively made for Livid in Portugal, with a knitted stripe design. This jersey was developed for our very first tees in 2013, has since been used in our heavyweight tees due to its durability and comfortable hand feel.")</f>
        <v>Made in Portugal
Kavon features a wider, shorter body for a loose box-fit, but sits more dialed in at the shoulders and upper chest compared to an ovesized fit. Made with long straight sleeves.
Made in our signature 6.5 Oz heavyweight 100% cotton jersey exclusively made for Livid in Portugal, with a knitted stripe design. This jersey was developed for our very first tees in 2013, has since been used in our heavyweight tees due to its durability and comfortable hand feel.</v>
      </c>
      <c r="F72" s="11" t="str">
        <f>IFERROR(__xludf.DUMMYFUNCTION("""COMPUTED_VALUE"""),"The box-fit longsleeve, Kavon.")</f>
        <v>The box-fit longsleeve, Kavon.</v>
      </c>
      <c r="G72" s="11" t="str">
        <f>IFERROR(__xludf.DUMMYFUNCTION("""COMPUTED_VALUE"""),"- 100% cotton
- 220 gsm pre-shrunk jersey, knitted by Etevimol in Portugal
- Livid embroidery at chest
- Fine rib collar
- Sewn with durable poly core cotton thread
- Made at Texgoios in Portugal")</f>
        <v>- 100% cotton
- 220 gsm pre-shrunk jersey, knitted by Etevimol in Portugal
- Livid embroidery at chest
- Fine rib collar
- Sewn with durable poly core cotton thread
- Made at Texgoios in Portugal</v>
      </c>
      <c r="H72" s="11"/>
      <c r="I72" s="21" t="str">
        <f t="shared" si="1"/>
        <v>Made in Portugal
Kavon features a wider, shorter body for a loose box-fit, but sits more dialed in at the shoulders and upper chest compared to an ovesized fit. Made with long straight sleeves.
Made in our signature 6.5 Oz heavyweight 100% cotton jersey exclusively made for Livid in Portugal, with a knitted stripe design. This jersey was developed for our very first tees in 2013, has since been used in our heavyweight tees due to its durability and comfortable hand feel.</v>
      </c>
    </row>
    <row r="73" ht="16.5" customHeight="1">
      <c r="A73" s="11" t="str">
        <f>IFERROR(__xludf.DUMMYFUNCTION("""COMPUTED_VALUE"""),"Livid men")</f>
        <v>Livid men</v>
      </c>
      <c r="B73" s="11" t="str">
        <f>IFERROR(__xludf.DUMMYFUNCTION("""COMPUTED_VALUE"""),"Jersey")</f>
        <v>Jersey</v>
      </c>
      <c r="C73" s="11" t="str">
        <f>IFERROR(__xludf.DUMMYFUNCTION("""COMPUTED_VALUE"""),"kavon-string-fadeout")</f>
        <v>kavon-string-fadeout</v>
      </c>
      <c r="D73" s="11" t="str">
        <f>IFERROR(__xludf.DUMMYFUNCTION("""COMPUTED_VALUE"""),"Kavon String Fadeout")</f>
        <v>Kavon String Fadeout</v>
      </c>
      <c r="E73" s="11" t="str">
        <f>IFERROR(__xludf.DUMMYFUNCTION("""COMPUTED_VALUE"""),"Made in Portugal
Kavon features a wider, shorter body for a loose box-fit, but sits more dialed in at the shoulders and upper chest compared to an ovesized fit. Made with long straight sleeves.
Made in our signature 6.5 Oz heavyweight 100% cotton jersey"&amp;" exclusively made for Livid in Portugal. This jersey was developed for our very first tees in 2013, has since been used in our heavyweight tees due to its durability and comfortable hand feel. Garment dyed and acid washed for a subtly faded look.")</f>
        <v>Made in Portugal
Kavon features a wider, shorter body for a loose box-fit, but sits more dialed in at the shoulders and upper chest compared to an ovesized fit. Made with long straight sleeves.
Made in our signature 6.5 Oz heavyweight 100% cotton jersey exclusively made for Livid in Portugal. This jersey was developed for our very first tees in 2013, has since been used in our heavyweight tees due to its durability and comfortable hand feel. Garment dyed and acid washed for a subtly faded look.</v>
      </c>
      <c r="F73" s="11" t="str">
        <f>IFERROR(__xludf.DUMMYFUNCTION("""COMPUTED_VALUE"""),"The box-fit longsleeve, Kavon.")</f>
        <v>The box-fit longsleeve, Kavon.</v>
      </c>
      <c r="G73" s="11" t="str">
        <f>IFERROR(__xludf.DUMMYFUNCTION("""COMPUTED_VALUE"""),"- 100% cotton
- 220 gsm pre-shrunk jersey, knitted by Etevimol in Portugal
- Livid embroidery at chest
- Fine rib collar
- Sewn with durable poly core cotton thread
- Made at Texgoios in Portugal")</f>
        <v>- 100% cotton
- 220 gsm pre-shrunk jersey, knitted by Etevimol in Portugal
- Livid embroidery at chest
- Fine rib collar
- Sewn with durable poly core cotton thread
- Made at Texgoios in Portugal</v>
      </c>
      <c r="H73" s="11"/>
      <c r="I73" s="21" t="str">
        <f t="shared" si="1"/>
        <v>Made in Portugal
Kavon features a wider, shorter body for a loose box-fit, but sits more dialed in at the shoulders and upper chest compared to an ovesized fit. Made with long straight sleeves.
Made in our signature 6.5 Oz heavyweight 100% cotton jersey exclusively made for Livid in Portugal. This jersey was developed for our very first tees in 2013, has since been used in our heavyweight tees due to its durability and comfortable hand feel. Garment dyed and acid washed for a subtly faded look.</v>
      </c>
    </row>
    <row r="74" ht="16.5" customHeight="1">
      <c r="A74" s="11" t="str">
        <f>IFERROR(__xludf.DUMMYFUNCTION("""COMPUTED_VALUE"""),"Livid men")</f>
        <v>Livid men</v>
      </c>
      <c r="B74" s="11" t="str">
        <f>IFERROR(__xludf.DUMMYFUNCTION("""COMPUTED_VALUE"""),"Jersey")</f>
        <v>Jersey</v>
      </c>
      <c r="C74" s="11" t="str">
        <f>IFERROR(__xludf.DUMMYFUNCTION("""COMPUTED_VALUE"""),"kavon-white")</f>
        <v>kavon-white</v>
      </c>
      <c r="D74" s="11" t="str">
        <f>IFERROR(__xludf.DUMMYFUNCTION("""COMPUTED_VALUE"""),"Kavon White")</f>
        <v>Kavon White</v>
      </c>
      <c r="E74" s="11" t="str">
        <f>IFERROR(__xludf.DUMMYFUNCTION("""COMPUTED_VALUE"""),"Made in Portugal
Kavon features a wider, shorter body for a loose box-fit, but sits more dialed in at the shoulders and upper chest compared to an ovesized fit. Made with long straight sleeves.
Made in our signature 6.5 Oz heavyweight 100% cotton jersey"&amp;" exclusively made for Livid in Portugal. This jersey was developed for our very first tees in 2013, has since been used in our heavyweight tees due to its durability and comfortable hand feel.")</f>
        <v>Made in Portugal
Kavon features a wider, shorter body for a loose box-fit, but sits more dialed in at the shoulders and upper chest compared to an ovesized fit. Made with long straight sleeves.
Made in our signature 6.5 Oz heavyweight 100% cotton jersey exclusively made for Livid in Portugal. This jersey was developed for our very first tees in 2013, has since been used in our heavyweight tees due to its durability and comfortable hand feel.</v>
      </c>
      <c r="F74" s="11" t="str">
        <f>IFERROR(__xludf.DUMMYFUNCTION("""COMPUTED_VALUE"""),"The box-fit longsleeve, Kavon.")</f>
        <v>The box-fit longsleeve, Kavon.</v>
      </c>
      <c r="G74" s="11" t="str">
        <f>IFERROR(__xludf.DUMMYFUNCTION("""COMPUTED_VALUE"""),"- 100% cotton
- 220 gsm pre-shrunk jersey, knitted by Etevimol in Portugal
- Livid embroidery at chest
- Fine rib collar
- Sewn with durable poly core cotton thread
- Made at Texgoios in Portugal")</f>
        <v>- 100% cotton
- 220 gsm pre-shrunk jersey, knitted by Etevimol in Portugal
- Livid embroidery at chest
- Fine rib collar
- Sewn with durable poly core cotton thread
- Made at Texgoios in Portugal</v>
      </c>
      <c r="H74" s="11"/>
      <c r="I74" s="21" t="str">
        <f t="shared" si="1"/>
        <v>Made in Portugal
Kavon features a wider, shorter body for a loose box-fit, but sits more dialed in at the shoulders and upper chest compared to an ovesized fit. Made with long straight sleeves.
Made in our signature 6.5 Oz heavyweight 100% cotton jersey exclusively made for Livid in Portugal. This jersey was developed for our very first tees in 2013, has since been used in our heavyweight tees due to its durability and comfortable hand feel.</v>
      </c>
    </row>
    <row r="75" ht="16.5" customHeight="1">
      <c r="A75" s="11" t="str">
        <f>IFERROR(__xludf.DUMMYFUNCTION("""COMPUTED_VALUE"""),"Livid men")</f>
        <v>Livid men</v>
      </c>
      <c r="B75" s="11" t="str">
        <f>IFERROR(__xludf.DUMMYFUNCTION("""COMPUTED_VALUE"""),"Jersey")</f>
        <v>Jersey</v>
      </c>
      <c r="C75" s="11" t="str">
        <f>IFERROR(__xludf.DUMMYFUNCTION("""COMPUTED_VALUE"""),"atohi-black")</f>
        <v>atohi-black</v>
      </c>
      <c r="D75" s="11" t="str">
        <f>IFERROR(__xludf.DUMMYFUNCTION("""COMPUTED_VALUE"""),"Atohi Black")</f>
        <v>Atohi Black</v>
      </c>
      <c r="E75" s="11"/>
      <c r="F75" s="11"/>
      <c r="G75" s="11"/>
      <c r="H75" s="11"/>
      <c r="I75" s="21" t="str">
        <f t="shared" si="1"/>
        <v/>
      </c>
    </row>
    <row r="76" ht="16.5" customHeight="1">
      <c r="A76" s="11" t="str">
        <f>IFERROR(__xludf.DUMMYFUNCTION("""COMPUTED_VALUE"""),"Livid men")</f>
        <v>Livid men</v>
      </c>
      <c r="B76" s="11" t="str">
        <f>IFERROR(__xludf.DUMMYFUNCTION("""COMPUTED_VALUE"""),"Jersey")</f>
        <v>Jersey</v>
      </c>
      <c r="C76" s="11" t="str">
        <f>IFERROR(__xludf.DUMMYFUNCTION("""COMPUTED_VALUE"""),"ayon-grey")</f>
        <v>ayon-grey</v>
      </c>
      <c r="D76" s="11" t="str">
        <f>IFERROR(__xludf.DUMMYFUNCTION("""COMPUTED_VALUE"""),"Ayon Grey")</f>
        <v>Ayon Grey</v>
      </c>
      <c r="E76" s="11" t="str">
        <f>IFERROR(__xludf.DUMMYFUNCTION("""COMPUTED_VALUE"""),"Made in Portugal 
The relaxed staple sweatshirt Ayon. Made from a pre-shrunk 100% cotton loopback jersey exclusively knitted for Livid in Portugal. Developed for durability and a sturdy, yet comfortable hand feel, and made in a versatile 500 gsm heavywei"&amp;"ght that works well all year round. 
Made in a classic crewneck style with a relaxed fit.")</f>
        <v>Made in Portugal 
The relaxed staple sweatshirt Ayon. Made from a pre-shrunk 100% cotton loopback jersey exclusively knitted for Livid in Portugal. Developed for durability and a sturdy, yet comfortable hand feel, and made in a versatile 500 gsm heavyweight that works well all year round. 
Made in a classic crewneck style with a relaxed fit.</v>
      </c>
      <c r="F76" s="11" t="str">
        <f>IFERROR(__xludf.DUMMYFUNCTION("""COMPUTED_VALUE"""),"Ayon, the relaxed staple sweatshirt.")</f>
        <v>Ayon, the relaxed staple sweatshirt.</v>
      </c>
      <c r="G76" s="11" t="str">
        <f>IFERROR(__xludf.DUMMYFUNCTION("""COMPUTED_VALUE"""),"- 100% cotton
- Pre-shrunk loopback jersey
- Livid embroidery at chest
- Fine rib collar 
- Sewn with durrable poly-core cotton thread
- Jesey knitted by Etevimol in Portugal
- Made at Texgoios in Portugal")</f>
        <v>- 100% cotton
- Pre-shrunk loopback jersey
- Livid embroidery at chest
- Fine rib collar 
- Sewn with durrable poly-core cotton thread
- Jesey knitted by Etevimol in Portugal
- Made at Texgoios in Portugal</v>
      </c>
      <c r="H76" s="11"/>
      <c r="I76" s="21" t="str">
        <f t="shared" si="1"/>
        <v>Made in Portugal 
The relaxed staple sweatshirt Ayon. Made from a pre-shrunk 100% cotton loopback jersey exclusively knitted for Livid in Portugal. Developed for durability and a sturdy, yet comfortable hand feel, and made in a versatile 500 gsm heavyweight that works well all year round. 
Made in a classic crewneck style with a relaxed fit.</v>
      </c>
    </row>
    <row r="77" ht="16.5" customHeight="1">
      <c r="A77" s="11" t="str">
        <f>IFERROR(__xludf.DUMMYFUNCTION("""COMPUTED_VALUE"""),"Livid men")</f>
        <v>Livid men</v>
      </c>
      <c r="B77" s="11" t="str">
        <f>IFERROR(__xludf.DUMMYFUNCTION("""COMPUTED_VALUE"""),"Jersey")</f>
        <v>Jersey</v>
      </c>
      <c r="C77" s="11" t="str">
        <f>IFERROR(__xludf.DUMMYFUNCTION("""COMPUTED_VALUE"""),"ayon-black")</f>
        <v>ayon-black</v>
      </c>
      <c r="D77" s="11" t="str">
        <f>IFERROR(__xludf.DUMMYFUNCTION("""COMPUTED_VALUE"""),"Ayon Black")</f>
        <v>Ayon Black</v>
      </c>
      <c r="E77" s="11" t="str">
        <f>IFERROR(__xludf.DUMMYFUNCTION("""COMPUTED_VALUE"""),"Made in Portugal 
The relaxed staple sweatshirt Ayon. Made from a pre-shrunk 100% cotton loopback jersey exclusively knitted for Livid in Portugal. Developed for durability and a sturdy, yet comfortable hand feel, and made in a versatile 500 gsm heavywei"&amp;"ght that works well all year round. 
Made in a classic crewneck style with a relaxed fit.")</f>
        <v>Made in Portugal 
The relaxed staple sweatshirt Ayon. Made from a pre-shrunk 100% cotton loopback jersey exclusively knitted for Livid in Portugal. Developed for durability and a sturdy, yet comfortable hand feel, and made in a versatile 500 gsm heavyweight that works well all year round. 
Made in a classic crewneck style with a relaxed fit.</v>
      </c>
      <c r="F77" s="11" t="str">
        <f>IFERROR(__xludf.DUMMYFUNCTION("""COMPUTED_VALUE"""),"Ayon, the relaxed staple sweatshirt.")</f>
        <v>Ayon, the relaxed staple sweatshirt.</v>
      </c>
      <c r="G77" s="11" t="str">
        <f>IFERROR(__xludf.DUMMYFUNCTION("""COMPUTED_VALUE"""),"- 100% cotton
- Pre-shrunk loopback jersey
- Livid embroidery at chest
- Fine rib collar 
- Sewn with durrable poly-core cotton thread
- Jesey knitted by Etevimol in Portugal
- Made at Texgoios in Portugal")</f>
        <v>- 100% cotton
- Pre-shrunk loopback jersey
- Livid embroidery at chest
- Fine rib collar 
- Sewn with durrable poly-core cotton thread
- Jesey knitted by Etevimol in Portugal
- Made at Texgoios in Portugal</v>
      </c>
      <c r="H77" s="11" t="str">
        <f>IFERROR(__xludf.DUMMYFUNCTION("""COMPUTED_VALUE"""),"ayon-grey, ayon-garden-green")</f>
        <v>ayon-grey, ayon-garden-green</v>
      </c>
      <c r="I77" s="21" t="str">
        <f t="shared" si="1"/>
        <v>Made in Portugal 
The relaxed staple sweatshirt Ayon. Made from a pre-shrunk 100% cotton loopback jersey exclusively knitted for Livid in Portugal. Developed for durability and a sturdy, yet comfortable hand feel, and made in a versatile 500 gsm heavyweight that works well all year round. 
Made in a classic crewneck style with a relaxed fit.</v>
      </c>
    </row>
    <row r="78" ht="16.5" customHeight="1">
      <c r="A78" s="11" t="str">
        <f>IFERROR(__xludf.DUMMYFUNCTION("""COMPUTED_VALUE"""),"Livid men")</f>
        <v>Livid men</v>
      </c>
      <c r="B78" s="11" t="str">
        <f>IFERROR(__xludf.DUMMYFUNCTION("""COMPUTED_VALUE"""),"Jersey")</f>
        <v>Jersey</v>
      </c>
      <c r="C78" s="11" t="str">
        <f>IFERROR(__xludf.DUMMYFUNCTION("""COMPUTED_VALUE"""),"ayon-garden-green")</f>
        <v>ayon-garden-green</v>
      </c>
      <c r="D78" s="11" t="str">
        <f>IFERROR(__xludf.DUMMYFUNCTION("""COMPUTED_VALUE"""),"Ayon Garden Green")</f>
        <v>Ayon Garden Green</v>
      </c>
      <c r="E78" s="11" t="str">
        <f>IFERROR(__xludf.DUMMYFUNCTION("""COMPUTED_VALUE"""),"Made in Portugal 
The relaxed staple sweatshirt Ayon. Made from a pre-shrunk 100% cotton loopback jersey exclusively knitted for Livid in Portugal. Developed for durability and a sturdy, yet comfortable hand feel, and made in a versatile 500 gsm heavywei"&amp;"ght that works well all year round. 
Made in a classic crewneck style with a relaxed fit.")</f>
        <v>Made in Portugal 
The relaxed staple sweatshirt Ayon. Made from a pre-shrunk 100% cotton loopback jersey exclusively knitted for Livid in Portugal. Developed for durability and a sturdy, yet comfortable hand feel, and made in a versatile 500 gsm heavyweight that works well all year round. 
Made in a classic crewneck style with a relaxed fit.</v>
      </c>
      <c r="F78" s="11" t="str">
        <f>IFERROR(__xludf.DUMMYFUNCTION("""COMPUTED_VALUE"""),"Ayon, the relaxed staple sweatshirt.")</f>
        <v>Ayon, the relaxed staple sweatshirt.</v>
      </c>
      <c r="G78" s="11" t="str">
        <f>IFERROR(__xludf.DUMMYFUNCTION("""COMPUTED_VALUE"""),"- 100% cotton
- Pre-shrunk loopback jersey
- Livid embroidery at chest
- Fine rib collar 
- Sewn with durrable poly-core cotton thread
- Jesey knitted by Etevimol in Portugal
- Made at Texgoios in Portugal")</f>
        <v>- 100% cotton
- Pre-shrunk loopback jersey
- Livid embroidery at chest
- Fine rib collar 
- Sewn with durrable poly-core cotton thread
- Jesey knitted by Etevimol in Portugal
- Made at Texgoios in Portugal</v>
      </c>
      <c r="H78" s="11" t="str">
        <f>IFERROR(__xludf.DUMMYFUNCTION("""COMPUTED_VALUE"""),"ayon-grey, ayon-black")</f>
        <v>ayon-grey, ayon-black</v>
      </c>
      <c r="I78" s="21" t="str">
        <f t="shared" si="1"/>
        <v>Made in Portugal 
The relaxed staple sweatshirt Ayon. Made from a pre-shrunk 100% cotton loopback jersey exclusively knitted for Livid in Portugal. Developed for durability and a sturdy, yet comfortable hand feel, and made in a versatile 500 gsm heavyweight that works well all year round. 
Made in a classic crewneck style with a relaxed fit.</v>
      </c>
    </row>
    <row r="79" ht="16.5" customHeight="1">
      <c r="A79" s="11" t="str">
        <f>IFERROR(__xludf.DUMMYFUNCTION("""COMPUTED_VALUE"""),"Livid men")</f>
        <v>Livid men</v>
      </c>
      <c r="B79" s="11" t="str">
        <f>IFERROR(__xludf.DUMMYFUNCTION("""COMPUTED_VALUE"""),"Jersey")</f>
        <v>Jersey</v>
      </c>
      <c r="C79" s="11" t="str">
        <f>IFERROR(__xludf.DUMMYFUNCTION("""COMPUTED_VALUE"""),"dyer-aloe-fadeout-thermal")</f>
        <v>dyer-aloe-fadeout-thermal</v>
      </c>
      <c r="D79" s="11" t="str">
        <f>IFERROR(__xludf.DUMMYFUNCTION("""COMPUTED_VALUE"""),"Dyer Aloe Fadeout Thermal")</f>
        <v>Dyer Aloe Fadeout Thermal</v>
      </c>
      <c r="E79" s="11"/>
      <c r="F79" s="11"/>
      <c r="G79" s="11"/>
      <c r="H79" s="11"/>
      <c r="I79" s="21" t="str">
        <f t="shared" si="1"/>
        <v/>
      </c>
    </row>
    <row r="80" ht="16.5" customHeight="1">
      <c r="A80" s="11" t="str">
        <f>IFERROR(__xludf.DUMMYFUNCTION("""COMPUTED_VALUE"""),"Livid men")</f>
        <v>Livid men</v>
      </c>
      <c r="B80" s="11" t="str">
        <f>IFERROR(__xludf.DUMMYFUNCTION("""COMPUTED_VALUE"""),"Jersey")</f>
        <v>Jersey</v>
      </c>
      <c r="C80" s="11" t="str">
        <f>IFERROR(__xludf.DUMMYFUNCTION("""COMPUTED_VALUE"""),"noya-aloe")</f>
        <v>noya-aloe</v>
      </c>
      <c r="D80" s="11" t="str">
        <f>IFERROR(__xludf.DUMMYFUNCTION("""COMPUTED_VALUE"""),"Noya Aloe")</f>
        <v>Noya Aloe</v>
      </c>
      <c r="E80" s="11"/>
      <c r="F80" s="11"/>
      <c r="G80" s="11"/>
      <c r="H80" s="11"/>
      <c r="I80" s="21" t="str">
        <f t="shared" si="1"/>
        <v/>
      </c>
    </row>
    <row r="81" ht="16.5" customHeight="1">
      <c r="A81" s="11" t="str">
        <f>IFERROR(__xludf.DUMMYFUNCTION("""COMPUTED_VALUE"""),"Livid men")</f>
        <v>Livid men</v>
      </c>
      <c r="B81" s="11" t="str">
        <f>IFERROR(__xludf.DUMMYFUNCTION("""COMPUTED_VALUE"""),"Knitwear")</f>
        <v>Knitwear</v>
      </c>
      <c r="C81" s="11" t="str">
        <f>IFERROR(__xludf.DUMMYFUNCTION("""COMPUTED_VALUE"""),"alon-knit-wheat")</f>
        <v>alon-knit-wheat</v>
      </c>
      <c r="D81" s="11" t="str">
        <f>IFERROR(__xludf.DUMMYFUNCTION("""COMPUTED_VALUE"""),"Alon Knit Wheat")</f>
        <v>Alon Knit Wheat</v>
      </c>
      <c r="E81" s="11"/>
      <c r="F81" s="11"/>
      <c r="G81" s="11" t="str">
        <f>IFERROR(__xludf.DUMMYFUNCTION("""COMPUTED_VALUE"""),"- 26% Paper, 43% Cotton, 31% Lyocell
- Paper yarn spun by Shine Yarn in China
- Cool and breathable
- YKK Silver zipper
- Knitted by Springair in China")</f>
        <v>- 26% Paper, 43% Cotton, 31% Lyocell
- Paper yarn spun by Shine Yarn in China
- Cool and breathable
- YKK Silver zipper
- Knitted by Springair in China</v>
      </c>
      <c r="H81" s="11"/>
      <c r="I81" s="21" t="str">
        <f t="shared" si="1"/>
        <v/>
      </c>
    </row>
    <row r="82" ht="16.5" customHeight="1">
      <c r="A82" s="11" t="str">
        <f>IFERROR(__xludf.DUMMYFUNCTION("""COMPUTED_VALUE"""),"Livid men")</f>
        <v>Livid men</v>
      </c>
      <c r="B82" s="11" t="str">
        <f>IFERROR(__xludf.DUMMYFUNCTION("""COMPUTED_VALUE"""),"Knitwear")</f>
        <v>Knitwear</v>
      </c>
      <c r="C82" s="11" t="str">
        <f>IFERROR(__xludf.DUMMYFUNCTION("""COMPUTED_VALUE"""),"stanton-black")</f>
        <v>stanton-black</v>
      </c>
      <c r="D82" s="11" t="str">
        <f>IFERROR(__xludf.DUMMYFUNCTION("""COMPUTED_VALUE"""),"Stanton Black")</f>
        <v>Stanton Black</v>
      </c>
      <c r="E82" s="11"/>
      <c r="F82" s="11"/>
      <c r="G82" s="11" t="str">
        <f>IFERROR(__xludf.DUMMYFUNCTION("""COMPUTED_VALUE"""),"- 26% Paper, 43% Cotton, 31% Lyocell
- Paper yarn spun by Shine Yarn in China
- Cool and breathable
- YKK two-way silver zipper
- Knitted by Springair in China")</f>
        <v>- 26% Paper, 43% Cotton, 31% Lyocell
- Paper yarn spun by Shine Yarn in China
- Cool and breathable
- YKK two-way silver zipper
- Knitted by Springair in China</v>
      </c>
      <c r="H82" s="11"/>
      <c r="I82" s="21" t="str">
        <f t="shared" si="1"/>
        <v/>
      </c>
    </row>
    <row r="83" ht="16.5" customHeight="1">
      <c r="A83" s="11" t="str">
        <f>IFERROR(__xludf.DUMMYFUNCTION("""COMPUTED_VALUE"""),"Livid men")</f>
        <v>Livid men</v>
      </c>
      <c r="B83" s="11" t="str">
        <f>IFERROR(__xludf.DUMMYFUNCTION("""COMPUTED_VALUE"""),"Knitwear")</f>
        <v>Knitwear</v>
      </c>
      <c r="C83" s="11" t="str">
        <f>IFERROR(__xludf.DUMMYFUNCTION("""COMPUTED_VALUE"""),"stanton-linen")</f>
        <v>stanton-linen</v>
      </c>
      <c r="D83" s="11" t="str">
        <f>IFERROR(__xludf.DUMMYFUNCTION("""COMPUTED_VALUE"""),"Stanton Linen")</f>
        <v>Stanton Linen</v>
      </c>
      <c r="E83" s="11"/>
      <c r="F83" s="11"/>
      <c r="G83" s="11" t="str">
        <f>IFERROR(__xludf.DUMMYFUNCTION("""COMPUTED_VALUE"""),"- 26% Paper, 43% Cotton, 31% Lyocell
- Paper yarn spun by Shine Yarn in China
- Cool and breathable
- YKK two-way silver zipper
- Knitted by Springair in China")</f>
        <v>- 26% Paper, 43% Cotton, 31% Lyocell
- Paper yarn spun by Shine Yarn in China
- Cool and breathable
- YKK two-way silver zipper
- Knitted by Springair in China</v>
      </c>
      <c r="H83" s="11"/>
      <c r="I83" s="21" t="str">
        <f t="shared" si="1"/>
        <v/>
      </c>
    </row>
    <row r="84" ht="16.5" customHeight="1">
      <c r="A84" s="11" t="str">
        <f>IFERROR(__xludf.DUMMYFUNCTION("""COMPUTED_VALUE"""),"Livid men")</f>
        <v>Livid men</v>
      </c>
      <c r="B84" s="11" t="str">
        <f>IFERROR(__xludf.DUMMYFUNCTION("""COMPUTED_VALUE"""),"Knitwear")</f>
        <v>Knitwear</v>
      </c>
      <c r="C84" s="11" t="str">
        <f>IFERROR(__xludf.DUMMYFUNCTION("""COMPUTED_VALUE"""),"taelon-black")</f>
        <v>taelon-black</v>
      </c>
      <c r="D84" s="11" t="str">
        <f>IFERROR(__xludf.DUMMYFUNCTION("""COMPUTED_VALUE"""),"Taelon Black")</f>
        <v>Taelon Black</v>
      </c>
      <c r="E84" s="11"/>
      <c r="F84" s="11"/>
      <c r="G84" s="11" t="str">
        <f>IFERROR(__xludf.DUMMYFUNCTION("""COMPUTED_VALUE"""),"- 65% Cotton, 35% Hemp
- Yarn spun by Topline in China
- Cool and breathable
- Knitted by Springair in China")</f>
        <v>- 65% Cotton, 35% Hemp
- Yarn spun by Topline in China
- Cool and breathable
- Knitted by Springair in China</v>
      </c>
      <c r="H84" s="11"/>
      <c r="I84" s="21" t="str">
        <f t="shared" si="1"/>
        <v/>
      </c>
    </row>
    <row r="85" ht="16.5" customHeight="1">
      <c r="A85" s="11" t="str">
        <f>IFERROR(__xludf.DUMMYFUNCTION("""COMPUTED_VALUE"""),"Livid men")</f>
        <v>Livid men</v>
      </c>
      <c r="B85" s="11" t="str">
        <f>IFERROR(__xludf.DUMMYFUNCTION("""COMPUTED_VALUE"""),"Knitwear")</f>
        <v>Knitwear</v>
      </c>
      <c r="C85" s="11" t="str">
        <f>IFERROR(__xludf.DUMMYFUNCTION("""COMPUTED_VALUE"""),"taelon-paleo")</f>
        <v>taelon-paleo</v>
      </c>
      <c r="D85" s="11" t="str">
        <f>IFERROR(__xludf.DUMMYFUNCTION("""COMPUTED_VALUE"""),"Taelon Paleo")</f>
        <v>Taelon Paleo</v>
      </c>
      <c r="E85" s="11"/>
      <c r="F85" s="11"/>
      <c r="G85" s="11" t="str">
        <f>IFERROR(__xludf.DUMMYFUNCTION("""COMPUTED_VALUE"""),"- 65% Cotton, 35% Hemp
- Yarn spun by Topline in China
- Cool and breathable
- Knitted by Springair in China")</f>
        <v>- 65% Cotton, 35% Hemp
- Yarn spun by Topline in China
- Cool and breathable
- Knitted by Springair in China</v>
      </c>
      <c r="H85" s="11"/>
      <c r="I85" s="21" t="str">
        <f t="shared" si="1"/>
        <v/>
      </c>
    </row>
    <row r="86" ht="16.5" customHeight="1">
      <c r="A86" s="11" t="str">
        <f>IFERROR(__xludf.DUMMYFUNCTION("""COMPUTED_VALUE"""),"Livid men")</f>
        <v>Livid men</v>
      </c>
      <c r="B86" s="11" t="str">
        <f>IFERROR(__xludf.DUMMYFUNCTION("""COMPUTED_VALUE"""),"Jacket")</f>
        <v>Jacket</v>
      </c>
      <c r="C86" s="11" t="str">
        <f>IFERROR(__xludf.DUMMYFUNCTION("""COMPUTED_VALUE"""),"jaylin-green-twill")</f>
        <v>jaylin-green-twill</v>
      </c>
      <c r="D86" s="11" t="str">
        <f>IFERROR(__xludf.DUMMYFUNCTION("""COMPUTED_VALUE"""),"Jaylin Green Twill")</f>
        <v>Jaylin Green Twill</v>
      </c>
      <c r="E86" s="11"/>
      <c r="F86" s="11"/>
      <c r="G86" s="11"/>
      <c r="H86" s="11"/>
      <c r="I86" s="21" t="str">
        <f t="shared" si="1"/>
        <v/>
      </c>
    </row>
    <row r="87" ht="16.5" customHeight="1">
      <c r="A87" s="11" t="str">
        <f>IFERROR(__xludf.DUMMYFUNCTION("""COMPUTED_VALUE"""),"Livid men")</f>
        <v>Livid men</v>
      </c>
      <c r="B87" s="11" t="str">
        <f>IFERROR(__xludf.DUMMYFUNCTION("""COMPUTED_VALUE"""),"Jacket")</f>
        <v>Jacket</v>
      </c>
      <c r="C87" s="11" t="str">
        <f>IFERROR(__xludf.DUMMYFUNCTION("""COMPUTED_VALUE"""),"kelvin-black")</f>
        <v>kelvin-black</v>
      </c>
      <c r="D87" s="11" t="str">
        <f>IFERROR(__xludf.DUMMYFUNCTION("""COMPUTED_VALUE"""),"Kelvin Black")</f>
        <v>Kelvin Black</v>
      </c>
      <c r="E87" s="11"/>
      <c r="F87" s="11"/>
      <c r="G87" s="11"/>
      <c r="H87" s="11"/>
      <c r="I87" s="21" t="str">
        <f t="shared" si="1"/>
        <v/>
      </c>
    </row>
    <row r="88" ht="16.5" customHeight="1">
      <c r="A88" s="11" t="str">
        <f>IFERROR(__xludf.DUMMYFUNCTION("""COMPUTED_VALUE"""),"Livid men")</f>
        <v>Livid men</v>
      </c>
      <c r="B88" s="11" t="str">
        <f>IFERROR(__xludf.DUMMYFUNCTION("""COMPUTED_VALUE"""),"Jacket")</f>
        <v>Jacket</v>
      </c>
      <c r="C88" s="11" t="str">
        <f>IFERROR(__xludf.DUMMYFUNCTION("""COMPUTED_VALUE"""),"pen-stone-tech")</f>
        <v>pen-stone-tech</v>
      </c>
      <c r="D88" s="11" t="str">
        <f>IFERROR(__xludf.DUMMYFUNCTION("""COMPUTED_VALUE"""),"Pen Stone Tech")</f>
        <v>Pen Stone Tech</v>
      </c>
      <c r="E88" s="11" t="str">
        <f>IFERROR(__xludf.DUMMYFUNCTION("""COMPUTED_VALUE"""),"Made in Portugal
Combining a boxy fit with versitile functionality, the Pen jacket is an insulating short jacket and midlayer, which transitions into a breathable and light spring jacket.
Made with an ultralight technical material made by Olmetex in Ita"&amp;"ly, and insulated with Primaloft silver, the Pen jacket protects you against the elements with comfortable warmth when needed. The boxy fit with dropped shoulders, a relaxed body and slightly cropped length makes it a perfect layering piece. Cobrax button"&amp;" fastening at the cuffs and side seams let you easily adjust the fit. Hand warmer pockets at the waist.")</f>
        <v>Made in Portugal
Combining a boxy fit with versitile functionality, the Pen jacket is an insulating short jacket and midlayer, which transitions into a breathable and light spring jacket.
Made with an ultralight technical material made by Olmetex in Italy, and insulated with Primaloft silver, the Pen jacket protects you against the elements with comfortable warmth when needed. The boxy fit with dropped shoulders, a relaxed body and slightly cropped length makes it a perfect layering piece. Cobrax button fastening at the cuffs and side seams let you easily adjust the fit. Hand warmer pockets at the waist.</v>
      </c>
      <c r="F88" s="11" t="str">
        <f>IFERROR(__xludf.DUMMYFUNCTION("""COMPUTED_VALUE"""),"The ultralight insulated jacket, Pen")</f>
        <v>The ultralight insulated jacket, Pen</v>
      </c>
      <c r="G88" s="11" t="str">
        <f>IFERROR(__xludf.DUMMYFUNCTION("""COMPUTED_VALUE"""),"- Technical fabric made by Olmetex, Italy
- 100% polyamide fabric
- Ultralight, breathable and water repellent
- Insulated with Primaloft Silver
- Two-way silver zipper made by YKK
- Cobrax snap button adjusters at cuffs and side hems
- Made at Stork in P"&amp;"ortugal")</f>
        <v>- Technical fabric made by Olmetex, Italy
- 100% polyamide fabric
- Ultralight, breathable and water repellent
- Insulated with Primaloft Silver
- Two-way silver zipper made by YKK
- Cobrax snap button adjusters at cuffs and side hems
- Made at Stork in Portugal</v>
      </c>
      <c r="H88" s="11"/>
      <c r="I88" s="21" t="str">
        <f t="shared" si="1"/>
        <v>Made in Portugal
Combining a boxy fit with versitile functionality, the Pen jacket is an insulating short jacket and midlayer, which transitions into a breathable and light spring jacket.
Made with an ultralight technical material made by Olmetex in Italy, and insulated with Primaloft silver, the Pen jacket protects you against the elements with comfortable warmth when needed. The boxy fit with dropped shoulders, a relaxed body and slightly cropped length makes it a perfect layering piece. Cobrax button fastening at the cuffs and side seams let you easily adjust the fit. Hand warmer pockets at the waist.</v>
      </c>
    </row>
    <row r="89" ht="16.5" customHeight="1">
      <c r="I89" s="21" t="str">
        <f t="shared" si="1"/>
        <v/>
      </c>
    </row>
    <row r="90" ht="16.5" customHeight="1">
      <c r="I90" s="21" t="str">
        <f t="shared" si="1"/>
        <v/>
      </c>
    </row>
    <row r="91" ht="16.5" customHeight="1">
      <c r="I91" s="21" t="str">
        <f t="shared" si="1"/>
        <v/>
      </c>
    </row>
    <row r="92" ht="16.5" customHeight="1">
      <c r="I92" s="21" t="str">
        <f t="shared" si="1"/>
        <v/>
      </c>
    </row>
    <row r="93" ht="16.5" customHeight="1">
      <c r="I93" s="21" t="str">
        <f t="shared" si="1"/>
        <v/>
      </c>
    </row>
    <row r="94" ht="16.5" customHeight="1">
      <c r="I94" s="21" t="str">
        <f t="shared" si="1"/>
        <v/>
      </c>
    </row>
    <row r="95" ht="16.5" customHeight="1">
      <c r="I95" s="21" t="str">
        <f t="shared" si="1"/>
        <v/>
      </c>
    </row>
    <row r="96" ht="16.5" customHeight="1">
      <c r="I96" s="21" t="str">
        <f t="shared" si="1"/>
        <v/>
      </c>
    </row>
    <row r="97" ht="16.5" customHeight="1">
      <c r="I97" s="21" t="str">
        <f t="shared" si="1"/>
        <v/>
      </c>
    </row>
    <row r="98" ht="16.5" customHeight="1">
      <c r="I98" s="21" t="str">
        <f t="shared" si="1"/>
        <v/>
      </c>
    </row>
    <row r="99" ht="16.5" customHeight="1">
      <c r="I99" s="21" t="str">
        <f t="shared" si="1"/>
        <v/>
      </c>
    </row>
    <row r="100" ht="16.5" customHeight="1">
      <c r="I100" s="21" t="str">
        <f t="shared" si="1"/>
        <v/>
      </c>
    </row>
    <row r="101" ht="16.5" customHeight="1">
      <c r="I101" s="21" t="str">
        <f t="shared" si="1"/>
        <v/>
      </c>
    </row>
    <row r="102" ht="16.5" customHeight="1">
      <c r="I102" s="21" t="str">
        <f t="shared" si="1"/>
        <v/>
      </c>
    </row>
    <row r="103" ht="16.5" customHeight="1">
      <c r="I103" s="21" t="str">
        <f t="shared" si="1"/>
        <v/>
      </c>
    </row>
    <row r="104" ht="16.5" customHeight="1">
      <c r="I104" s="21" t="str">
        <f t="shared" si="1"/>
        <v/>
      </c>
    </row>
    <row r="105" ht="16.5" customHeight="1">
      <c r="I105" s="21" t="str">
        <f t="shared" si="1"/>
        <v/>
      </c>
    </row>
    <row r="106" ht="16.5" customHeight="1">
      <c r="I106" s="21" t="str">
        <f t="shared" si="1"/>
        <v/>
      </c>
    </row>
    <row r="107" ht="16.5" customHeight="1">
      <c r="I107" s="21" t="str">
        <f t="shared" si="1"/>
        <v/>
      </c>
    </row>
    <row r="108" ht="16.5" customHeight="1">
      <c r="I108" s="21" t="str">
        <f t="shared" si="1"/>
        <v/>
      </c>
    </row>
    <row r="109" ht="16.5" customHeight="1">
      <c r="I109" s="21" t="str">
        <f t="shared" si="1"/>
        <v/>
      </c>
    </row>
    <row r="110" ht="16.5" customHeight="1">
      <c r="I110" s="21" t="str">
        <f t="shared" si="1"/>
        <v/>
      </c>
    </row>
    <row r="111" ht="16.5" customHeight="1">
      <c r="I111" s="21" t="str">
        <f t="shared" si="1"/>
        <v/>
      </c>
    </row>
    <row r="112" ht="16.5" customHeight="1">
      <c r="I112" s="21" t="str">
        <f t="shared" si="1"/>
        <v/>
      </c>
    </row>
    <row r="113" ht="16.5" customHeight="1">
      <c r="I113" s="21" t="str">
        <f t="shared" si="1"/>
        <v/>
      </c>
    </row>
    <row r="114" ht="16.5" customHeight="1">
      <c r="I114" s="21" t="str">
        <f t="shared" si="1"/>
        <v/>
      </c>
    </row>
    <row r="115" ht="16.5" customHeight="1">
      <c r="I115" s="21" t="str">
        <f t="shared" si="1"/>
        <v/>
      </c>
    </row>
    <row r="116" ht="16.5" customHeight="1">
      <c r="I116" s="21" t="str">
        <f t="shared" si="1"/>
        <v/>
      </c>
    </row>
    <row r="117" ht="16.5" customHeight="1">
      <c r="I117" s="21" t="str">
        <f t="shared" si="1"/>
        <v/>
      </c>
    </row>
    <row r="118" ht="16.5" customHeight="1">
      <c r="I118" s="21" t="str">
        <f t="shared" si="1"/>
        <v/>
      </c>
    </row>
    <row r="119" ht="16.5" customHeight="1">
      <c r="I119" s="21" t="str">
        <f t="shared" si="1"/>
        <v/>
      </c>
    </row>
    <row r="120" ht="16.5" customHeight="1">
      <c r="I120" s="21" t="str">
        <f t="shared" si="1"/>
        <v/>
      </c>
    </row>
    <row r="121" ht="16.5" customHeight="1">
      <c r="I121" s="21" t="str">
        <f t="shared" si="1"/>
        <v/>
      </c>
    </row>
    <row r="122" ht="16.5" customHeight="1">
      <c r="I122" s="21" t="str">
        <f t="shared" si="1"/>
        <v/>
      </c>
    </row>
    <row r="123" ht="16.5" customHeight="1">
      <c r="I123" s="21" t="str">
        <f t="shared" si="1"/>
        <v/>
      </c>
    </row>
    <row r="124" ht="16.5" customHeight="1">
      <c r="I124" s="21" t="str">
        <f t="shared" si="1"/>
        <v/>
      </c>
    </row>
    <row r="125" ht="16.5" customHeight="1">
      <c r="I125" s="21" t="str">
        <f t="shared" si="1"/>
        <v/>
      </c>
    </row>
    <row r="126" ht="16.5" customHeight="1">
      <c r="I126" s="21" t="str">
        <f t="shared" si="1"/>
        <v/>
      </c>
    </row>
    <row r="127" ht="16.5" customHeight="1">
      <c r="I127" s="21" t="str">
        <f t="shared" si="1"/>
        <v/>
      </c>
    </row>
    <row r="128" ht="16.5" customHeight="1">
      <c r="I128" s="21" t="str">
        <f t="shared" si="1"/>
        <v/>
      </c>
    </row>
    <row r="129" ht="16.5" customHeight="1">
      <c r="I129" s="21" t="str">
        <f t="shared" si="1"/>
        <v/>
      </c>
    </row>
    <row r="130" ht="16.5" customHeight="1">
      <c r="I130" s="21" t="str">
        <f t="shared" si="1"/>
        <v/>
      </c>
    </row>
    <row r="131" ht="16.5" customHeight="1">
      <c r="I131" s="21" t="str">
        <f t="shared" si="1"/>
        <v/>
      </c>
    </row>
    <row r="132" ht="16.5" customHeight="1">
      <c r="I132" s="21" t="str">
        <f t="shared" si="1"/>
        <v/>
      </c>
    </row>
    <row r="133" ht="16.5" customHeight="1">
      <c r="I133" s="21" t="str">
        <f t="shared" si="1"/>
        <v/>
      </c>
    </row>
    <row r="134" ht="16.5" customHeight="1">
      <c r="I134" s="21" t="str">
        <f t="shared" si="1"/>
        <v/>
      </c>
    </row>
    <row r="135" ht="16.5" customHeight="1">
      <c r="I135" s="21" t="str">
        <f t="shared" si="1"/>
        <v/>
      </c>
    </row>
    <row r="136" ht="16.5" customHeight="1">
      <c r="I136" s="21" t="str">
        <f t="shared" si="1"/>
        <v/>
      </c>
    </row>
    <row r="137" ht="16.5" customHeight="1">
      <c r="I137" s="21" t="str">
        <f t="shared" si="1"/>
        <v/>
      </c>
    </row>
    <row r="138" ht="16.5" customHeight="1">
      <c r="I138" s="21" t="str">
        <f t="shared" si="1"/>
        <v/>
      </c>
    </row>
    <row r="139" ht="16.5" customHeight="1">
      <c r="I139" s="21" t="str">
        <f t="shared" si="1"/>
        <v/>
      </c>
    </row>
    <row r="140" ht="16.5" customHeight="1">
      <c r="I140" s="21" t="str">
        <f t="shared" si="1"/>
        <v/>
      </c>
    </row>
    <row r="141" ht="16.5" customHeight="1">
      <c r="I141" s="21" t="str">
        <f t="shared" si="1"/>
        <v/>
      </c>
    </row>
    <row r="142" ht="16.5" customHeight="1">
      <c r="I142" s="21" t="str">
        <f t="shared" si="1"/>
        <v/>
      </c>
    </row>
    <row r="143" ht="16.5" customHeight="1">
      <c r="I143" s="21" t="str">
        <f t="shared" si="1"/>
        <v/>
      </c>
    </row>
    <row r="144" ht="16.5" customHeight="1">
      <c r="I144" s="21" t="str">
        <f t="shared" si="1"/>
        <v/>
      </c>
    </row>
    <row r="145" ht="16.5" customHeight="1">
      <c r="I145" s="21" t="str">
        <f t="shared" si="1"/>
        <v/>
      </c>
    </row>
    <row r="146" ht="16.5" customHeight="1">
      <c r="I146" s="21" t="str">
        <f t="shared" si="1"/>
        <v/>
      </c>
    </row>
    <row r="147" ht="16.5" customHeight="1">
      <c r="I147" s="21" t="str">
        <f t="shared" si="1"/>
        <v/>
      </c>
    </row>
    <row r="148" ht="16.5" customHeight="1">
      <c r="I148" s="21" t="str">
        <f t="shared" si="1"/>
        <v/>
      </c>
    </row>
    <row r="149" ht="16.5" customHeight="1">
      <c r="I149" s="21" t="str">
        <f t="shared" si="1"/>
        <v/>
      </c>
    </row>
    <row r="150" ht="16.5" customHeight="1">
      <c r="I150" s="21" t="str">
        <f t="shared" si="1"/>
        <v/>
      </c>
    </row>
    <row r="151" ht="16.5" customHeight="1">
      <c r="I151" s="21" t="str">
        <f t="shared" si="1"/>
        <v/>
      </c>
    </row>
    <row r="152" ht="16.5" customHeight="1">
      <c r="I152" s="21" t="str">
        <f t="shared" si="1"/>
        <v/>
      </c>
    </row>
    <row r="153" ht="16.5" customHeight="1">
      <c r="I153" s="21" t="str">
        <f t="shared" si="1"/>
        <v/>
      </c>
    </row>
    <row r="154" ht="16.5" customHeight="1">
      <c r="I154" s="21" t="str">
        <f t="shared" si="1"/>
        <v/>
      </c>
    </row>
    <row r="155" ht="16.5" customHeight="1">
      <c r="I155" s="21" t="str">
        <f t="shared" si="1"/>
        <v/>
      </c>
    </row>
    <row r="156" ht="16.5" customHeight="1">
      <c r="I156" s="21" t="str">
        <f t="shared" si="1"/>
        <v/>
      </c>
    </row>
    <row r="157" ht="16.5" customHeight="1">
      <c r="I157" s="21" t="str">
        <f t="shared" si="1"/>
        <v/>
      </c>
    </row>
    <row r="158" ht="16.5" customHeight="1">
      <c r="I158" s="21" t="str">
        <f t="shared" si="1"/>
        <v/>
      </c>
    </row>
    <row r="159" ht="16.5" customHeight="1">
      <c r="I159" s="21" t="str">
        <f t="shared" si="1"/>
        <v/>
      </c>
    </row>
    <row r="160" ht="16.5" customHeight="1">
      <c r="I160" s="21" t="str">
        <f t="shared" si="1"/>
        <v/>
      </c>
    </row>
    <row r="161" ht="16.5" customHeight="1">
      <c r="I161" s="21" t="str">
        <f t="shared" si="1"/>
        <v/>
      </c>
    </row>
    <row r="162" ht="16.5" customHeight="1">
      <c r="I162" s="21" t="str">
        <f t="shared" si="1"/>
        <v/>
      </c>
    </row>
    <row r="163" ht="16.5" customHeight="1">
      <c r="I163" s="21" t="str">
        <f t="shared" si="1"/>
        <v/>
      </c>
    </row>
    <row r="164" ht="16.5" customHeight="1">
      <c r="I164" s="21" t="str">
        <f t="shared" si="1"/>
        <v/>
      </c>
    </row>
    <row r="165" ht="16.5" customHeight="1">
      <c r="I165" s="21" t="str">
        <f t="shared" si="1"/>
        <v/>
      </c>
    </row>
    <row r="166" ht="16.5" customHeight="1">
      <c r="I166" s="21" t="str">
        <f t="shared" si="1"/>
        <v/>
      </c>
    </row>
    <row r="167" ht="16.5" customHeight="1">
      <c r="I167" s="21" t="str">
        <f t="shared" si="1"/>
        <v/>
      </c>
    </row>
    <row r="168" ht="16.5" customHeight="1">
      <c r="I168" s="21" t="str">
        <f t="shared" si="1"/>
        <v/>
      </c>
    </row>
    <row r="169" ht="16.5" customHeight="1">
      <c r="I169" s="21" t="str">
        <f t="shared" si="1"/>
        <v/>
      </c>
    </row>
    <row r="170" ht="16.5" customHeight="1">
      <c r="I170" s="21" t="str">
        <f t="shared" si="1"/>
        <v/>
      </c>
    </row>
    <row r="171" ht="16.5" customHeight="1">
      <c r="I171" s="21" t="str">
        <f t="shared" si="1"/>
        <v/>
      </c>
    </row>
    <row r="172" ht="16.5" customHeight="1">
      <c r="I172" s="21" t="str">
        <f t="shared" si="1"/>
        <v/>
      </c>
    </row>
    <row r="173" ht="16.5" customHeight="1">
      <c r="I173" s="21" t="str">
        <f t="shared" si="1"/>
        <v/>
      </c>
    </row>
    <row r="174" ht="16.5" customHeight="1">
      <c r="I174" s="21" t="str">
        <f t="shared" si="1"/>
        <v/>
      </c>
    </row>
    <row r="175" ht="16.5" customHeight="1">
      <c r="I175" s="21" t="str">
        <f t="shared" si="1"/>
        <v/>
      </c>
    </row>
    <row r="176" ht="16.5" customHeight="1">
      <c r="I176" s="21" t="str">
        <f t="shared" si="1"/>
        <v/>
      </c>
    </row>
    <row r="177" ht="16.5" customHeight="1">
      <c r="I177" s="21" t="str">
        <f t="shared" si="1"/>
        <v/>
      </c>
    </row>
    <row r="178" ht="16.5" customHeight="1">
      <c r="I178" s="21" t="str">
        <f t="shared" si="1"/>
        <v/>
      </c>
    </row>
    <row r="179" ht="16.5" customHeight="1">
      <c r="I179" s="21" t="str">
        <f t="shared" si="1"/>
        <v/>
      </c>
    </row>
    <row r="180" ht="16.5" customHeight="1">
      <c r="I180" s="21" t="str">
        <f t="shared" si="1"/>
        <v/>
      </c>
    </row>
    <row r="181" ht="16.5" customHeight="1">
      <c r="I181" s="21" t="str">
        <f t="shared" si="1"/>
        <v/>
      </c>
    </row>
    <row r="182" ht="16.5" customHeight="1">
      <c r="I182" s="21" t="str">
        <f t="shared" si="1"/>
        <v/>
      </c>
    </row>
    <row r="183" ht="16.5" customHeight="1">
      <c r="I183" s="21" t="str">
        <f t="shared" si="1"/>
        <v/>
      </c>
    </row>
    <row r="184" ht="16.5" customHeight="1">
      <c r="I184" s="21" t="str">
        <f t="shared" si="1"/>
        <v/>
      </c>
    </row>
    <row r="185" ht="16.5" customHeight="1">
      <c r="I185" s="21" t="str">
        <f t="shared" si="1"/>
        <v/>
      </c>
    </row>
    <row r="186" ht="16.5" customHeight="1">
      <c r="I186" s="21" t="str">
        <f t="shared" si="1"/>
        <v/>
      </c>
    </row>
    <row r="187" ht="16.5" customHeight="1">
      <c r="I187" s="21" t="str">
        <f t="shared" si="1"/>
        <v/>
      </c>
    </row>
    <row r="188" ht="16.5" customHeight="1">
      <c r="I188" s="21" t="str">
        <f t="shared" si="1"/>
        <v/>
      </c>
    </row>
    <row r="189" ht="16.5" customHeight="1">
      <c r="I189" s="21" t="str">
        <f t="shared" si="1"/>
        <v/>
      </c>
    </row>
    <row r="190" ht="16.5" customHeight="1">
      <c r="I190" s="21" t="str">
        <f t="shared" si="1"/>
        <v/>
      </c>
    </row>
    <row r="191" ht="16.5" customHeight="1">
      <c r="I191" s="21" t="str">
        <f t="shared" si="1"/>
        <v/>
      </c>
    </row>
    <row r="192" ht="16.5" customHeight="1">
      <c r="I192" s="21" t="str">
        <f t="shared" si="1"/>
        <v/>
      </c>
    </row>
    <row r="193" ht="16.5" customHeight="1">
      <c r="I193" s="21" t="str">
        <f t="shared" si="1"/>
        <v/>
      </c>
    </row>
    <row r="194" ht="16.5" customHeight="1">
      <c r="I194" s="21" t="str">
        <f t="shared" si="1"/>
        <v/>
      </c>
    </row>
    <row r="195" ht="16.5" customHeight="1">
      <c r="I195" s="21" t="str">
        <f t="shared" si="1"/>
        <v/>
      </c>
    </row>
    <row r="196" ht="16.5" customHeight="1">
      <c r="I196" s="21" t="str">
        <f t="shared" si="1"/>
        <v/>
      </c>
    </row>
    <row r="197" ht="16.5" customHeight="1">
      <c r="I197" s="21" t="str">
        <f t="shared" si="1"/>
        <v/>
      </c>
    </row>
    <row r="198" ht="16.5" customHeight="1">
      <c r="I198" s="21" t="str">
        <f t="shared" si="1"/>
        <v/>
      </c>
    </row>
    <row r="199" ht="16.5" customHeight="1">
      <c r="I199" s="21" t="str">
        <f t="shared" si="1"/>
        <v/>
      </c>
    </row>
    <row r="200" ht="16.5" customHeight="1">
      <c r="I200" s="21" t="str">
        <f t="shared" si="1"/>
        <v/>
      </c>
    </row>
    <row r="201" ht="16.5" customHeight="1">
      <c r="I201" s="21" t="str">
        <f t="shared" si="1"/>
        <v/>
      </c>
    </row>
    <row r="202" ht="16.5" customHeight="1">
      <c r="I202" s="21" t="str">
        <f t="shared" si="1"/>
        <v/>
      </c>
    </row>
    <row r="203" ht="16.5" customHeight="1">
      <c r="I203" s="21" t="str">
        <f t="shared" si="1"/>
        <v/>
      </c>
    </row>
    <row r="204" ht="16.5" customHeight="1">
      <c r="I204" s="21" t="str">
        <f t="shared" si="1"/>
        <v/>
      </c>
    </row>
    <row r="205" ht="16.5" customHeight="1">
      <c r="I205" s="21" t="str">
        <f t="shared" si="1"/>
        <v/>
      </c>
    </row>
    <row r="206" ht="16.5" customHeight="1">
      <c r="I206" s="21" t="str">
        <f t="shared" si="1"/>
        <v/>
      </c>
    </row>
    <row r="207" ht="16.5" customHeight="1">
      <c r="I207" s="21" t="str">
        <f t="shared" si="1"/>
        <v/>
      </c>
    </row>
    <row r="208" ht="16.5" customHeight="1">
      <c r="I208" s="21" t="str">
        <f t="shared" si="1"/>
        <v/>
      </c>
    </row>
    <row r="209" ht="16.5" customHeight="1">
      <c r="I209" s="21" t="str">
        <f t="shared" si="1"/>
        <v/>
      </c>
    </row>
    <row r="210" ht="16.5" customHeight="1">
      <c r="I210" s="21" t="str">
        <f t="shared" si="1"/>
        <v/>
      </c>
    </row>
    <row r="211" ht="16.5" customHeight="1">
      <c r="I211" s="21" t="str">
        <f t="shared" si="1"/>
        <v/>
      </c>
    </row>
    <row r="212" ht="16.5" customHeight="1">
      <c r="I212" s="21" t="str">
        <f t="shared" si="1"/>
        <v/>
      </c>
    </row>
    <row r="213" ht="16.5" customHeight="1">
      <c r="I213" s="21" t="str">
        <f t="shared" si="1"/>
        <v/>
      </c>
    </row>
    <row r="214" ht="16.5" customHeight="1">
      <c r="I214" s="21" t="str">
        <f t="shared" si="1"/>
        <v/>
      </c>
    </row>
    <row r="215" ht="16.5" customHeight="1">
      <c r="I215" s="21" t="str">
        <f t="shared" si="1"/>
        <v/>
      </c>
    </row>
    <row r="216" ht="16.5" customHeight="1">
      <c r="I216" s="21" t="str">
        <f t="shared" si="1"/>
        <v/>
      </c>
    </row>
    <row r="217" ht="16.5" customHeight="1">
      <c r="I217" s="21" t="str">
        <f t="shared" si="1"/>
        <v/>
      </c>
    </row>
    <row r="218" ht="16.5" customHeight="1">
      <c r="I218" s="21" t="str">
        <f t="shared" si="1"/>
        <v/>
      </c>
    </row>
    <row r="219" ht="16.5" customHeight="1">
      <c r="I219" s="21" t="str">
        <f t="shared" si="1"/>
        <v/>
      </c>
    </row>
    <row r="220" ht="16.5" customHeight="1">
      <c r="I220" s="21" t="str">
        <f t="shared" si="1"/>
        <v/>
      </c>
    </row>
    <row r="221" ht="16.5" customHeight="1">
      <c r="I221" s="21" t="str">
        <f t="shared" si="1"/>
        <v/>
      </c>
    </row>
    <row r="222" ht="16.5" customHeight="1">
      <c r="I222" s="21" t="str">
        <f t="shared" si="1"/>
        <v/>
      </c>
    </row>
    <row r="223" ht="16.5" customHeight="1">
      <c r="I223" s="21" t="str">
        <f t="shared" si="1"/>
        <v/>
      </c>
    </row>
    <row r="224" ht="16.5" customHeight="1">
      <c r="I224" s="21" t="str">
        <f t="shared" si="1"/>
        <v/>
      </c>
    </row>
    <row r="225" ht="16.5" customHeight="1">
      <c r="I225" s="21" t="str">
        <f t="shared" si="1"/>
        <v/>
      </c>
    </row>
    <row r="226" ht="16.5" customHeight="1">
      <c r="I226" s="21" t="str">
        <f t="shared" si="1"/>
        <v/>
      </c>
    </row>
    <row r="227" ht="16.5" customHeight="1">
      <c r="I227" s="21" t="str">
        <f t="shared" si="1"/>
        <v/>
      </c>
    </row>
    <row r="228" ht="16.5" customHeight="1">
      <c r="I228" s="21" t="str">
        <f t="shared" si="1"/>
        <v/>
      </c>
    </row>
    <row r="229" ht="16.5" customHeight="1">
      <c r="I229" s="21" t="str">
        <f t="shared" si="1"/>
        <v/>
      </c>
    </row>
    <row r="230" ht="16.5" customHeight="1">
      <c r="I230" s="21" t="str">
        <f t="shared" si="1"/>
        <v/>
      </c>
    </row>
    <row r="231" ht="16.5" customHeight="1">
      <c r="I231" s="21" t="str">
        <f t="shared" si="1"/>
        <v/>
      </c>
    </row>
    <row r="232" ht="16.5" customHeight="1">
      <c r="I232" s="21" t="str">
        <f t="shared" si="1"/>
        <v/>
      </c>
    </row>
    <row r="233" ht="16.5" customHeight="1">
      <c r="I233" s="21" t="str">
        <f t="shared" si="1"/>
        <v/>
      </c>
    </row>
    <row r="234" ht="16.5" customHeight="1">
      <c r="I234" s="21" t="str">
        <f t="shared" si="1"/>
        <v/>
      </c>
    </row>
    <row r="235" ht="16.5" customHeight="1">
      <c r="I235" s="21" t="str">
        <f t="shared" si="1"/>
        <v/>
      </c>
    </row>
    <row r="236" ht="16.5" customHeight="1">
      <c r="I236" s="21" t="str">
        <f t="shared" si="1"/>
        <v/>
      </c>
    </row>
    <row r="237" ht="16.5" customHeight="1">
      <c r="I237" s="21" t="str">
        <f t="shared" si="1"/>
        <v/>
      </c>
    </row>
    <row r="238" ht="16.5" customHeight="1">
      <c r="I238" s="21" t="str">
        <f t="shared" si="1"/>
        <v/>
      </c>
    </row>
    <row r="239" ht="16.5" customHeight="1">
      <c r="I239" s="21" t="str">
        <f t="shared" si="1"/>
        <v/>
      </c>
    </row>
    <row r="240" ht="16.5" customHeight="1">
      <c r="I240" s="21" t="str">
        <f t="shared" si="1"/>
        <v/>
      </c>
    </row>
    <row r="241" ht="16.5" customHeight="1">
      <c r="I241" s="21" t="str">
        <f t="shared" si="1"/>
        <v/>
      </c>
    </row>
    <row r="242" ht="16.5" customHeight="1">
      <c r="I242" s="21" t="str">
        <f t="shared" si="1"/>
        <v/>
      </c>
    </row>
    <row r="243" ht="16.5" customHeight="1">
      <c r="I243" s="21" t="str">
        <f t="shared" si="1"/>
        <v/>
      </c>
    </row>
    <row r="244" ht="16.5" customHeight="1">
      <c r="I244" s="21" t="str">
        <f t="shared" si="1"/>
        <v/>
      </c>
    </row>
    <row r="245" ht="16.5" customHeight="1">
      <c r="I245" s="21" t="str">
        <f t="shared" si="1"/>
        <v/>
      </c>
    </row>
    <row r="246" ht="16.5" customHeight="1">
      <c r="I246" s="21" t="str">
        <f t="shared" si="1"/>
        <v/>
      </c>
    </row>
    <row r="247" ht="16.5" customHeight="1">
      <c r="I247" s="21" t="str">
        <f t="shared" si="1"/>
        <v/>
      </c>
    </row>
    <row r="248" ht="16.5" customHeight="1">
      <c r="I248" s="21" t="str">
        <f t="shared" si="1"/>
        <v/>
      </c>
    </row>
    <row r="249" ht="16.5" customHeight="1">
      <c r="I249" s="21" t="str">
        <f t="shared" si="1"/>
        <v/>
      </c>
    </row>
    <row r="250" ht="16.5" customHeight="1">
      <c r="I250" s="21" t="str">
        <f t="shared" si="1"/>
        <v/>
      </c>
    </row>
    <row r="251" ht="16.5" customHeight="1">
      <c r="I251" s="21" t="str">
        <f t="shared" si="1"/>
        <v/>
      </c>
    </row>
    <row r="252" ht="16.5" customHeight="1">
      <c r="I252" s="21" t="str">
        <f t="shared" si="1"/>
        <v/>
      </c>
    </row>
    <row r="253" ht="16.5" customHeight="1">
      <c r="I253" s="21" t="str">
        <f t="shared" si="1"/>
        <v/>
      </c>
    </row>
    <row r="254" ht="16.5" customHeight="1">
      <c r="I254" s="21" t="str">
        <f t="shared" si="1"/>
        <v/>
      </c>
    </row>
    <row r="255" ht="16.5" customHeight="1">
      <c r="I255" s="21" t="str">
        <f t="shared" si="1"/>
        <v/>
      </c>
    </row>
    <row r="256" ht="16.5" customHeight="1">
      <c r="I256" s="21" t="str">
        <f t="shared" si="1"/>
        <v/>
      </c>
    </row>
    <row r="257" ht="16.5" customHeight="1">
      <c r="I257" s="21" t="str">
        <f t="shared" si="1"/>
        <v/>
      </c>
    </row>
    <row r="258" ht="16.5" customHeight="1">
      <c r="I258" s="21" t="str">
        <f t="shared" si="1"/>
        <v/>
      </c>
    </row>
    <row r="259" ht="16.5" customHeight="1">
      <c r="I259" s="21" t="str">
        <f t="shared" si="1"/>
        <v/>
      </c>
    </row>
    <row r="260" ht="16.5" customHeight="1">
      <c r="I260" s="21" t="str">
        <f t="shared" si="1"/>
        <v/>
      </c>
    </row>
    <row r="261" ht="16.5" customHeight="1">
      <c r="I261" s="21" t="str">
        <f t="shared" si="1"/>
        <v/>
      </c>
    </row>
    <row r="262" ht="16.5" customHeight="1">
      <c r="I262" s="21" t="str">
        <f t="shared" si="1"/>
        <v/>
      </c>
    </row>
    <row r="263" ht="16.5" customHeight="1">
      <c r="I263" s="21" t="str">
        <f t="shared" si="1"/>
        <v/>
      </c>
    </row>
    <row r="264" ht="16.5" customHeight="1">
      <c r="I264" s="21" t="str">
        <f t="shared" si="1"/>
        <v/>
      </c>
    </row>
    <row r="265" ht="16.5" customHeight="1">
      <c r="I265" s="21" t="str">
        <f t="shared" si="1"/>
        <v/>
      </c>
    </row>
    <row r="266" ht="16.5" customHeight="1">
      <c r="I266" s="21" t="str">
        <f t="shared" si="1"/>
        <v/>
      </c>
    </row>
    <row r="267" ht="16.5" customHeight="1">
      <c r="I267" s="21" t="str">
        <f t="shared" si="1"/>
        <v/>
      </c>
    </row>
    <row r="268" ht="16.5" customHeight="1">
      <c r="I268" s="21" t="str">
        <f t="shared" si="1"/>
        <v/>
      </c>
    </row>
    <row r="269" ht="16.5" customHeight="1">
      <c r="I269" s="21" t="str">
        <f t="shared" si="1"/>
        <v/>
      </c>
    </row>
    <row r="270" ht="16.5" customHeight="1">
      <c r="I270" s="21" t="str">
        <f t="shared" si="1"/>
        <v/>
      </c>
    </row>
    <row r="271" ht="16.5" customHeight="1">
      <c r="I271" s="21" t="str">
        <f t="shared" si="1"/>
        <v/>
      </c>
    </row>
    <row r="272" ht="16.5" customHeight="1">
      <c r="I272" s="21" t="str">
        <f t="shared" si="1"/>
        <v/>
      </c>
    </row>
    <row r="273" ht="16.5" customHeight="1">
      <c r="I273" s="21" t="str">
        <f t="shared" si="1"/>
        <v/>
      </c>
    </row>
    <row r="274" ht="16.5" customHeight="1">
      <c r="I274" s="21" t="str">
        <f t="shared" si="1"/>
        <v/>
      </c>
    </row>
    <row r="275" ht="16.5" customHeight="1">
      <c r="I275" s="21" t="str">
        <f t="shared" si="1"/>
        <v/>
      </c>
    </row>
    <row r="276" ht="16.5" customHeight="1">
      <c r="I276" s="21" t="str">
        <f t="shared" si="1"/>
        <v/>
      </c>
    </row>
    <row r="277" ht="16.5" customHeight="1">
      <c r="I277" s="21" t="str">
        <f t="shared" si="1"/>
        <v/>
      </c>
    </row>
    <row r="278" ht="16.5" customHeight="1">
      <c r="I278" s="21" t="str">
        <f t="shared" si="1"/>
        <v/>
      </c>
    </row>
    <row r="279" ht="16.5" customHeight="1">
      <c r="I279" s="21" t="str">
        <f t="shared" si="1"/>
        <v/>
      </c>
    </row>
    <row r="280" ht="16.5" customHeight="1">
      <c r="I280" s="21" t="str">
        <f t="shared" si="1"/>
        <v/>
      </c>
    </row>
    <row r="281" ht="16.5" customHeight="1">
      <c r="I281" s="21" t="str">
        <f t="shared" si="1"/>
        <v/>
      </c>
    </row>
    <row r="282" ht="16.5" customHeight="1">
      <c r="I282" s="21" t="str">
        <f t="shared" si="1"/>
        <v/>
      </c>
    </row>
    <row r="283" ht="16.5" customHeight="1">
      <c r="I283" s="21" t="str">
        <f t="shared" si="1"/>
        <v/>
      </c>
    </row>
    <row r="284" ht="16.5" customHeight="1">
      <c r="I284" s="21" t="str">
        <f t="shared" si="1"/>
        <v/>
      </c>
    </row>
    <row r="285" ht="16.5" customHeight="1">
      <c r="I285" s="21" t="str">
        <f t="shared" si="1"/>
        <v/>
      </c>
    </row>
    <row r="286" ht="16.5" customHeight="1">
      <c r="I286" s="21" t="str">
        <f t="shared" si="1"/>
        <v/>
      </c>
    </row>
    <row r="287" ht="16.5" customHeight="1">
      <c r="I287" s="21" t="str">
        <f t="shared" si="1"/>
        <v/>
      </c>
    </row>
    <row r="288" ht="16.5" customHeight="1">
      <c r="I288" s="21" t="str">
        <f t="shared" si="1"/>
        <v/>
      </c>
    </row>
    <row r="289" ht="16.5" customHeight="1">
      <c r="I289" s="21" t="str">
        <f t="shared" si="1"/>
        <v/>
      </c>
    </row>
    <row r="290" ht="16.5" customHeight="1">
      <c r="I290" s="21" t="str">
        <f t="shared" si="1"/>
        <v/>
      </c>
    </row>
    <row r="291" ht="16.5" customHeight="1">
      <c r="I291" s="21" t="str">
        <f t="shared" si="1"/>
        <v/>
      </c>
    </row>
    <row r="292" ht="16.5" customHeight="1">
      <c r="I292" s="21" t="str">
        <f t="shared" si="1"/>
        <v/>
      </c>
    </row>
    <row r="293" ht="16.5" customHeight="1">
      <c r="I293" s="21" t="str">
        <f t="shared" si="1"/>
        <v/>
      </c>
    </row>
    <row r="294" ht="16.5" customHeight="1">
      <c r="I294" s="21" t="str">
        <f t="shared" si="1"/>
        <v/>
      </c>
    </row>
    <row r="295" ht="16.5" customHeight="1">
      <c r="I295" s="21" t="str">
        <f t="shared" si="1"/>
        <v/>
      </c>
    </row>
    <row r="296" ht="16.5" customHeight="1">
      <c r="I296" s="21" t="str">
        <f t="shared" si="1"/>
        <v/>
      </c>
    </row>
    <row r="297" ht="16.5" customHeight="1">
      <c r="I297" s="21" t="str">
        <f t="shared" si="1"/>
        <v/>
      </c>
    </row>
    <row r="298" ht="16.5" customHeight="1">
      <c r="I298" s="21" t="str">
        <f t="shared" si="1"/>
        <v/>
      </c>
    </row>
    <row r="299" ht="16.5" customHeight="1">
      <c r="I299" s="21" t="str">
        <f t="shared" si="1"/>
        <v/>
      </c>
    </row>
    <row r="300" ht="16.5" customHeight="1">
      <c r="I300" s="21" t="str">
        <f t="shared" si="1"/>
        <v/>
      </c>
    </row>
    <row r="301" ht="16.5" customHeight="1">
      <c r="I301" s="21" t="str">
        <f t="shared" si="1"/>
        <v/>
      </c>
    </row>
    <row r="302" ht="16.5" customHeight="1">
      <c r="I302" s="21" t="str">
        <f t="shared" si="1"/>
        <v/>
      </c>
    </row>
    <row r="303" ht="16.5" customHeight="1">
      <c r="I303" s="21" t="str">
        <f t="shared" si="1"/>
        <v/>
      </c>
    </row>
    <row r="304" ht="16.5" customHeight="1">
      <c r="I304" s="21" t="str">
        <f t="shared" si="1"/>
        <v/>
      </c>
    </row>
    <row r="305" ht="16.5" customHeight="1">
      <c r="I305" s="21" t="str">
        <f t="shared" si="1"/>
        <v/>
      </c>
    </row>
    <row r="306" ht="16.5" customHeight="1">
      <c r="I306" s="21" t="str">
        <f t="shared" si="1"/>
        <v/>
      </c>
    </row>
    <row r="307" ht="16.5" customHeight="1">
      <c r="I307" s="21" t="str">
        <f t="shared" si="1"/>
        <v/>
      </c>
    </row>
    <row r="308" ht="16.5" customHeight="1">
      <c r="I308" s="21" t="str">
        <f t="shared" si="1"/>
        <v/>
      </c>
    </row>
    <row r="309" ht="16.5" customHeight="1">
      <c r="I309" s="21" t="str">
        <f t="shared" si="1"/>
        <v/>
      </c>
    </row>
    <row r="310" ht="16.5" customHeight="1">
      <c r="I310" s="21" t="str">
        <f t="shared" si="1"/>
        <v/>
      </c>
    </row>
    <row r="311" ht="16.5" customHeight="1">
      <c r="I311" s="21" t="str">
        <f t="shared" si="1"/>
        <v/>
      </c>
    </row>
    <row r="312" ht="16.5" customHeight="1">
      <c r="I312" s="21" t="str">
        <f t="shared" si="1"/>
        <v/>
      </c>
    </row>
    <row r="313" ht="16.5" customHeight="1">
      <c r="I313" s="21" t="str">
        <f t="shared" si="1"/>
        <v/>
      </c>
    </row>
    <row r="314" ht="16.5" customHeight="1">
      <c r="I314" s="21" t="str">
        <f t="shared" si="1"/>
        <v/>
      </c>
    </row>
    <row r="315" ht="16.5" customHeight="1">
      <c r="I315" s="21" t="str">
        <f t="shared" si="1"/>
        <v/>
      </c>
    </row>
    <row r="316" ht="16.5" customHeight="1">
      <c r="I316" s="21" t="str">
        <f t="shared" si="1"/>
        <v/>
      </c>
    </row>
    <row r="317" ht="16.5" customHeight="1">
      <c r="I317" s="21" t="str">
        <f t="shared" si="1"/>
        <v/>
      </c>
    </row>
    <row r="318" ht="16.5" customHeight="1">
      <c r="I318" s="21" t="str">
        <f t="shared" si="1"/>
        <v/>
      </c>
    </row>
    <row r="319" ht="16.5" customHeight="1">
      <c r="I319" s="21" t="str">
        <f t="shared" si="1"/>
        <v/>
      </c>
    </row>
    <row r="320" ht="16.5" customHeight="1">
      <c r="I320" s="21" t="str">
        <f t="shared" si="1"/>
        <v/>
      </c>
    </row>
    <row r="321" ht="16.5" customHeight="1">
      <c r="I321" s="21" t="str">
        <f t="shared" si="1"/>
        <v/>
      </c>
    </row>
    <row r="322" ht="16.5" customHeight="1">
      <c r="I322" s="21" t="str">
        <f t="shared" si="1"/>
        <v/>
      </c>
    </row>
    <row r="323" ht="16.5" customHeight="1">
      <c r="I323" s="21" t="str">
        <f t="shared" si="1"/>
        <v/>
      </c>
    </row>
    <row r="324" ht="16.5" customHeight="1">
      <c r="I324" s="21" t="str">
        <f t="shared" si="1"/>
        <v/>
      </c>
    </row>
    <row r="325" ht="16.5" customHeight="1">
      <c r="I325" s="21" t="str">
        <f t="shared" si="1"/>
        <v/>
      </c>
    </row>
    <row r="326" ht="16.5" customHeight="1">
      <c r="I326" s="21" t="str">
        <f t="shared" si="1"/>
        <v/>
      </c>
    </row>
    <row r="327" ht="16.5" customHeight="1">
      <c r="I327" s="21" t="str">
        <f t="shared" si="1"/>
        <v/>
      </c>
    </row>
    <row r="328" ht="16.5" customHeight="1">
      <c r="I328" s="21" t="str">
        <f t="shared" si="1"/>
        <v/>
      </c>
    </row>
    <row r="329" ht="16.5" customHeight="1">
      <c r="I329" s="21" t="str">
        <f t="shared" si="1"/>
        <v/>
      </c>
    </row>
    <row r="330" ht="16.5" customHeight="1">
      <c r="I330" s="21" t="str">
        <f t="shared" si="1"/>
        <v/>
      </c>
    </row>
    <row r="331" ht="16.5" customHeight="1">
      <c r="I331" s="21" t="str">
        <f t="shared" si="1"/>
        <v/>
      </c>
    </row>
    <row r="332" ht="16.5" customHeight="1">
      <c r="I332" s="21" t="str">
        <f t="shared" si="1"/>
        <v/>
      </c>
    </row>
    <row r="333" ht="16.5" customHeight="1">
      <c r="I333" s="21" t="str">
        <f t="shared" si="1"/>
        <v/>
      </c>
    </row>
    <row r="334" ht="16.5" customHeight="1">
      <c r="I334" s="21" t="str">
        <f t="shared" si="1"/>
        <v/>
      </c>
    </row>
    <row r="335" ht="16.5" customHeight="1">
      <c r="I335" s="21" t="str">
        <f t="shared" si="1"/>
        <v/>
      </c>
    </row>
    <row r="336" ht="16.5" customHeight="1">
      <c r="I336" s="21" t="str">
        <f t="shared" si="1"/>
        <v/>
      </c>
    </row>
    <row r="337" ht="16.5" customHeight="1">
      <c r="I337" s="21" t="str">
        <f t="shared" si="1"/>
        <v/>
      </c>
    </row>
    <row r="338" ht="16.5" customHeight="1">
      <c r="I338" s="21" t="str">
        <f t="shared" si="1"/>
        <v/>
      </c>
    </row>
    <row r="339" ht="16.5" customHeight="1">
      <c r="I339" s="21" t="str">
        <f t="shared" si="1"/>
        <v/>
      </c>
    </row>
    <row r="340" ht="16.5" customHeight="1">
      <c r="I340" s="21" t="str">
        <f t="shared" si="1"/>
        <v/>
      </c>
    </row>
    <row r="341" ht="16.5" customHeight="1">
      <c r="I341" s="21" t="str">
        <f t="shared" si="1"/>
        <v/>
      </c>
    </row>
    <row r="342" ht="16.5" customHeight="1">
      <c r="I342" s="21" t="str">
        <f t="shared" si="1"/>
        <v/>
      </c>
    </row>
    <row r="343" ht="16.5" customHeight="1">
      <c r="I343" s="21" t="str">
        <f t="shared" si="1"/>
        <v/>
      </c>
    </row>
    <row r="344" ht="16.5" customHeight="1">
      <c r="I344" s="21" t="str">
        <f t="shared" si="1"/>
        <v/>
      </c>
    </row>
    <row r="345" ht="16.5" customHeight="1">
      <c r="I345" s="21" t="str">
        <f t="shared" si="1"/>
        <v/>
      </c>
    </row>
    <row r="346" ht="16.5" customHeight="1">
      <c r="I346" s="21" t="str">
        <f t="shared" si="1"/>
        <v/>
      </c>
    </row>
    <row r="347" ht="16.5" customHeight="1">
      <c r="I347" s="21" t="str">
        <f t="shared" si="1"/>
        <v/>
      </c>
    </row>
    <row r="348" ht="16.5" customHeight="1">
      <c r="I348" s="21" t="str">
        <f t="shared" si="1"/>
        <v/>
      </c>
    </row>
    <row r="349" ht="16.5" customHeight="1">
      <c r="I349" s="21" t="str">
        <f t="shared" si="1"/>
        <v/>
      </c>
    </row>
    <row r="350" ht="16.5" customHeight="1">
      <c r="I350" s="21" t="str">
        <f t="shared" si="1"/>
        <v/>
      </c>
    </row>
    <row r="351" ht="16.5" customHeight="1">
      <c r="I351" s="21" t="str">
        <f t="shared" si="1"/>
        <v/>
      </c>
    </row>
    <row r="352" ht="16.5" customHeight="1">
      <c r="I352" s="21" t="str">
        <f t="shared" si="1"/>
        <v/>
      </c>
    </row>
    <row r="353" ht="16.5" customHeight="1">
      <c r="I353" s="21" t="str">
        <f t="shared" si="1"/>
        <v/>
      </c>
    </row>
    <row r="354" ht="16.5" customHeight="1">
      <c r="I354" s="21" t="str">
        <f t="shared" si="1"/>
        <v/>
      </c>
    </row>
    <row r="355" ht="16.5" customHeight="1">
      <c r="I355" s="21" t="str">
        <f t="shared" si="1"/>
        <v/>
      </c>
    </row>
    <row r="356" ht="16.5" customHeight="1">
      <c r="I356" s="21" t="str">
        <f t="shared" si="1"/>
        <v/>
      </c>
    </row>
    <row r="357" ht="16.5" customHeight="1">
      <c r="I357" s="21" t="str">
        <f t="shared" si="1"/>
        <v/>
      </c>
    </row>
    <row r="358" ht="16.5" customHeight="1">
      <c r="I358" s="21" t="str">
        <f t="shared" si="1"/>
        <v/>
      </c>
    </row>
    <row r="359" ht="16.5" customHeight="1">
      <c r="I359" s="21" t="str">
        <f t="shared" si="1"/>
        <v/>
      </c>
    </row>
    <row r="360" ht="16.5" customHeight="1">
      <c r="I360" s="21" t="str">
        <f t="shared" si="1"/>
        <v/>
      </c>
    </row>
    <row r="361" ht="16.5" customHeight="1">
      <c r="I361" s="21" t="str">
        <f t="shared" si="1"/>
        <v/>
      </c>
    </row>
    <row r="362" ht="16.5" customHeight="1">
      <c r="I362" s="21" t="str">
        <f t="shared" si="1"/>
        <v/>
      </c>
    </row>
    <row r="363" ht="16.5" customHeight="1">
      <c r="I363" s="21" t="str">
        <f t="shared" si="1"/>
        <v/>
      </c>
    </row>
    <row r="364" ht="16.5" customHeight="1">
      <c r="I364" s="21" t="str">
        <f t="shared" si="1"/>
        <v/>
      </c>
    </row>
    <row r="365" ht="16.5" customHeight="1">
      <c r="I365" s="21" t="str">
        <f t="shared" si="1"/>
        <v/>
      </c>
    </row>
    <row r="366" ht="16.5" customHeight="1">
      <c r="I366" s="21" t="str">
        <f t="shared" si="1"/>
        <v/>
      </c>
    </row>
    <row r="367" ht="16.5" customHeight="1">
      <c r="I367" s="21" t="str">
        <f t="shared" si="1"/>
        <v/>
      </c>
    </row>
    <row r="368" ht="16.5" customHeight="1">
      <c r="I368" s="21" t="str">
        <f t="shared" si="1"/>
        <v/>
      </c>
    </row>
    <row r="369" ht="16.5" customHeight="1">
      <c r="I369" s="21" t="str">
        <f t="shared" si="1"/>
        <v/>
      </c>
    </row>
    <row r="370" ht="16.5" customHeight="1">
      <c r="I370" s="21" t="str">
        <f t="shared" si="1"/>
        <v/>
      </c>
    </row>
    <row r="371" ht="16.5" customHeight="1">
      <c r="I371" s="21" t="str">
        <f t="shared" si="1"/>
        <v/>
      </c>
    </row>
    <row r="372" ht="16.5" customHeight="1">
      <c r="I372" s="21" t="str">
        <f t="shared" si="1"/>
        <v/>
      </c>
    </row>
    <row r="373" ht="16.5" customHeight="1">
      <c r="I373" s="21" t="str">
        <f t="shared" si="1"/>
        <v/>
      </c>
    </row>
    <row r="374" ht="16.5" customHeight="1">
      <c r="I374" s="21" t="str">
        <f t="shared" si="1"/>
        <v/>
      </c>
    </row>
    <row r="375" ht="16.5" customHeight="1">
      <c r="I375" s="21" t="str">
        <f t="shared" si="1"/>
        <v/>
      </c>
    </row>
    <row r="376" ht="16.5" customHeight="1">
      <c r="I376" s="21" t="str">
        <f t="shared" si="1"/>
        <v/>
      </c>
    </row>
    <row r="377" ht="16.5" customHeight="1">
      <c r="I377" s="21" t="str">
        <f t="shared" si="1"/>
        <v/>
      </c>
    </row>
    <row r="378" ht="16.5" customHeight="1">
      <c r="I378" s="21" t="str">
        <f t="shared" si="1"/>
        <v/>
      </c>
    </row>
    <row r="379" ht="16.5" customHeight="1">
      <c r="I379" s="21" t="str">
        <f t="shared" si="1"/>
        <v/>
      </c>
    </row>
    <row r="380" ht="16.5" customHeight="1">
      <c r="I380" s="21" t="str">
        <f t="shared" si="1"/>
        <v/>
      </c>
    </row>
    <row r="381" ht="16.5" customHeight="1">
      <c r="I381" s="21" t="str">
        <f t="shared" si="1"/>
        <v/>
      </c>
    </row>
    <row r="382" ht="16.5" customHeight="1">
      <c r="I382" s="21" t="str">
        <f t="shared" si="1"/>
        <v/>
      </c>
    </row>
    <row r="383" ht="16.5" customHeight="1">
      <c r="I383" s="21" t="str">
        <f t="shared" si="1"/>
        <v/>
      </c>
    </row>
    <row r="384" ht="16.5" customHeight="1">
      <c r="I384" s="21" t="str">
        <f t="shared" si="1"/>
        <v/>
      </c>
    </row>
    <row r="385" ht="16.5" customHeight="1">
      <c r="I385" s="21" t="str">
        <f t="shared" si="1"/>
        <v/>
      </c>
    </row>
    <row r="386" ht="16.5" customHeight="1">
      <c r="I386" s="21" t="str">
        <f t="shared" si="1"/>
        <v/>
      </c>
    </row>
    <row r="387" ht="16.5" customHeight="1">
      <c r="I387" s="21" t="str">
        <f t="shared" si="1"/>
        <v/>
      </c>
    </row>
    <row r="388" ht="16.5" customHeight="1">
      <c r="I388" s="21" t="str">
        <f t="shared" si="1"/>
        <v/>
      </c>
    </row>
    <row r="389" ht="16.5" customHeight="1">
      <c r="I389" s="21" t="str">
        <f t="shared" si="1"/>
        <v/>
      </c>
    </row>
    <row r="390" ht="16.5" customHeight="1">
      <c r="I390" s="21" t="str">
        <f t="shared" si="1"/>
        <v/>
      </c>
    </row>
    <row r="391" ht="16.5" customHeight="1">
      <c r="I391" s="21" t="str">
        <f t="shared" si="1"/>
        <v/>
      </c>
    </row>
    <row r="392" ht="16.5" customHeight="1">
      <c r="I392" s="21" t="str">
        <f t="shared" si="1"/>
        <v/>
      </c>
    </row>
    <row r="393" ht="16.5" customHeight="1">
      <c r="I393" s="21" t="str">
        <f t="shared" si="1"/>
        <v/>
      </c>
    </row>
    <row r="394" ht="16.5" customHeight="1">
      <c r="I394" s="21" t="str">
        <f t="shared" si="1"/>
        <v/>
      </c>
    </row>
    <row r="395" ht="16.5" customHeight="1">
      <c r="I395" s="21" t="str">
        <f t="shared" si="1"/>
        <v/>
      </c>
    </row>
    <row r="396" ht="16.5" customHeight="1">
      <c r="I396" s="21" t="str">
        <f t="shared" si="1"/>
        <v/>
      </c>
    </row>
    <row r="397" ht="16.5" customHeight="1">
      <c r="I397" s="21" t="str">
        <f t="shared" si="1"/>
        <v/>
      </c>
    </row>
    <row r="398" ht="16.5" customHeight="1">
      <c r="I398" s="21" t="str">
        <f t="shared" si="1"/>
        <v/>
      </c>
    </row>
    <row r="399" ht="16.5" customHeight="1">
      <c r="I399" s="21" t="str">
        <f t="shared" si="1"/>
        <v/>
      </c>
    </row>
    <row r="400" ht="16.5" customHeight="1">
      <c r="I400" s="21" t="str">
        <f t="shared" si="1"/>
        <v/>
      </c>
    </row>
    <row r="401" ht="16.5" customHeight="1">
      <c r="I401" s="21" t="str">
        <f t="shared" si="1"/>
        <v/>
      </c>
    </row>
    <row r="402" ht="16.5" customHeight="1">
      <c r="I402" s="21" t="str">
        <f t="shared" si="1"/>
        <v/>
      </c>
    </row>
    <row r="403" ht="16.5" customHeight="1">
      <c r="I403" s="21" t="str">
        <f t="shared" si="1"/>
        <v/>
      </c>
    </row>
    <row r="404" ht="16.5" customHeight="1">
      <c r="I404" s="21" t="str">
        <f t="shared" si="1"/>
        <v/>
      </c>
    </row>
    <row r="405" ht="16.5" customHeight="1">
      <c r="I405" s="21" t="str">
        <f t="shared" si="1"/>
        <v/>
      </c>
    </row>
    <row r="406" ht="16.5" customHeight="1">
      <c r="I406" s="21" t="str">
        <f t="shared" si="1"/>
        <v/>
      </c>
    </row>
    <row r="407" ht="16.5" customHeight="1">
      <c r="I407" s="21" t="str">
        <f t="shared" si="1"/>
        <v/>
      </c>
    </row>
    <row r="408" ht="16.5" customHeight="1">
      <c r="I408" s="21" t="str">
        <f t="shared" si="1"/>
        <v/>
      </c>
    </row>
    <row r="409" ht="16.5" customHeight="1">
      <c r="I409" s="21" t="str">
        <f t="shared" si="1"/>
        <v/>
      </c>
    </row>
    <row r="410" ht="16.5" customHeight="1">
      <c r="I410" s="21" t="str">
        <f t="shared" si="1"/>
        <v/>
      </c>
    </row>
    <row r="411" ht="16.5" customHeight="1">
      <c r="I411" s="21" t="str">
        <f t="shared" si="1"/>
        <v/>
      </c>
    </row>
    <row r="412" ht="16.5" customHeight="1">
      <c r="I412" s="21" t="str">
        <f t="shared" si="1"/>
        <v/>
      </c>
    </row>
    <row r="413" ht="16.5" customHeight="1">
      <c r="I413" s="21" t="str">
        <f t="shared" si="1"/>
        <v/>
      </c>
    </row>
    <row r="414" ht="16.5" customHeight="1">
      <c r="I414" s="21" t="str">
        <f t="shared" si="1"/>
        <v/>
      </c>
    </row>
    <row r="415" ht="16.5" customHeight="1">
      <c r="I415" s="21" t="str">
        <f t="shared" si="1"/>
        <v/>
      </c>
    </row>
    <row r="416" ht="16.5" customHeight="1">
      <c r="I416" s="21" t="str">
        <f t="shared" si="1"/>
        <v/>
      </c>
    </row>
    <row r="417" ht="16.5" customHeight="1">
      <c r="I417" s="21" t="str">
        <f t="shared" si="1"/>
        <v/>
      </c>
    </row>
    <row r="418" ht="16.5" customHeight="1">
      <c r="I418" s="21" t="str">
        <f t="shared" si="1"/>
        <v/>
      </c>
    </row>
    <row r="419" ht="16.5" customHeight="1">
      <c r="I419" s="21" t="str">
        <f t="shared" si="1"/>
        <v/>
      </c>
    </row>
    <row r="420" ht="16.5" customHeight="1">
      <c r="I420" s="21" t="str">
        <f t="shared" si="1"/>
        <v/>
      </c>
    </row>
    <row r="421" ht="16.5" customHeight="1">
      <c r="I421" s="21" t="str">
        <f t="shared" si="1"/>
        <v/>
      </c>
    </row>
    <row r="422" ht="16.5" customHeight="1">
      <c r="I422" s="21" t="str">
        <f t="shared" si="1"/>
        <v/>
      </c>
    </row>
    <row r="423" ht="16.5" customHeight="1">
      <c r="I423" s="21" t="str">
        <f t="shared" si="1"/>
        <v/>
      </c>
    </row>
    <row r="424" ht="16.5" customHeight="1">
      <c r="I424" s="21" t="str">
        <f t="shared" si="1"/>
        <v/>
      </c>
    </row>
    <row r="425" ht="16.5" customHeight="1">
      <c r="I425" s="21" t="str">
        <f t="shared" si="1"/>
        <v/>
      </c>
    </row>
    <row r="426" ht="16.5" customHeight="1">
      <c r="I426" s="21" t="str">
        <f t="shared" si="1"/>
        <v/>
      </c>
    </row>
    <row r="427" ht="16.5" customHeight="1">
      <c r="I427" s="21" t="str">
        <f t="shared" si="1"/>
        <v/>
      </c>
    </row>
    <row r="428" ht="16.5" customHeight="1">
      <c r="I428" s="21" t="str">
        <f t="shared" si="1"/>
        <v/>
      </c>
    </row>
    <row r="429" ht="16.5" customHeight="1">
      <c r="I429" s="21" t="str">
        <f t="shared" si="1"/>
        <v/>
      </c>
    </row>
    <row r="430" ht="16.5" customHeight="1">
      <c r="I430" s="21" t="str">
        <f t="shared" si="1"/>
        <v/>
      </c>
    </row>
    <row r="431" ht="16.5" customHeight="1">
      <c r="I431" s="21" t="str">
        <f t="shared" si="1"/>
        <v/>
      </c>
    </row>
    <row r="432" ht="16.5" customHeight="1">
      <c r="I432" s="21" t="str">
        <f t="shared" si="1"/>
        <v/>
      </c>
    </row>
    <row r="433" ht="16.5" customHeight="1">
      <c r="I433" s="21" t="str">
        <f t="shared" si="1"/>
        <v/>
      </c>
    </row>
    <row r="434" ht="16.5" customHeight="1">
      <c r="I434" s="21" t="str">
        <f t="shared" si="1"/>
        <v/>
      </c>
    </row>
    <row r="435" ht="16.5" customHeight="1">
      <c r="I435" s="21" t="str">
        <f t="shared" si="1"/>
        <v/>
      </c>
    </row>
    <row r="436" ht="16.5" customHeight="1">
      <c r="I436" s="21" t="str">
        <f t="shared" si="1"/>
        <v/>
      </c>
    </row>
    <row r="437" ht="16.5" customHeight="1">
      <c r="I437" s="21" t="str">
        <f t="shared" si="1"/>
        <v/>
      </c>
    </row>
    <row r="438" ht="16.5" customHeight="1">
      <c r="I438" s="21" t="str">
        <f t="shared" si="1"/>
        <v/>
      </c>
    </row>
    <row r="439" ht="16.5" customHeight="1">
      <c r="I439" s="21" t="str">
        <f t="shared" si="1"/>
        <v/>
      </c>
    </row>
    <row r="440" ht="16.5" customHeight="1">
      <c r="I440" s="21" t="str">
        <f t="shared" si="1"/>
        <v/>
      </c>
    </row>
    <row r="441" ht="16.5" customHeight="1">
      <c r="I441" s="21" t="str">
        <f t="shared" si="1"/>
        <v/>
      </c>
    </row>
    <row r="442" ht="16.5" customHeight="1">
      <c r="I442" s="21" t="str">
        <f t="shared" si="1"/>
        <v/>
      </c>
    </row>
    <row r="443" ht="16.5" customHeight="1">
      <c r="I443" s="21" t="str">
        <f t="shared" si="1"/>
        <v/>
      </c>
    </row>
    <row r="444" ht="16.5" customHeight="1">
      <c r="I444" s="21" t="str">
        <f t="shared" si="1"/>
        <v/>
      </c>
    </row>
    <row r="445" ht="16.5" customHeight="1">
      <c r="I445" s="21" t="str">
        <f t="shared" si="1"/>
        <v/>
      </c>
    </row>
    <row r="446" ht="16.5" customHeight="1">
      <c r="I446" s="21" t="str">
        <f t="shared" si="1"/>
        <v/>
      </c>
    </row>
    <row r="447" ht="16.5" customHeight="1">
      <c r="I447" s="21" t="str">
        <f t="shared" si="1"/>
        <v/>
      </c>
    </row>
    <row r="448" ht="16.5" customHeight="1">
      <c r="I448" s="21" t="str">
        <f t="shared" si="1"/>
        <v/>
      </c>
    </row>
    <row r="449" ht="16.5" customHeight="1">
      <c r="I449" s="21" t="str">
        <f t="shared" si="1"/>
        <v/>
      </c>
    </row>
    <row r="450" ht="16.5" customHeight="1">
      <c r="I450" s="21" t="str">
        <f t="shared" si="1"/>
        <v/>
      </c>
    </row>
    <row r="451" ht="16.5" customHeight="1">
      <c r="I451" s="21" t="str">
        <f t="shared" si="1"/>
        <v/>
      </c>
    </row>
    <row r="452" ht="16.5" customHeight="1">
      <c r="I452" s="21" t="str">
        <f t="shared" si="1"/>
        <v/>
      </c>
    </row>
    <row r="453" ht="16.5" customHeight="1">
      <c r="I453" s="21" t="str">
        <f t="shared" si="1"/>
        <v/>
      </c>
    </row>
    <row r="454" ht="16.5" customHeight="1">
      <c r="I454" s="21" t="str">
        <f t="shared" si="1"/>
        <v/>
      </c>
    </row>
    <row r="455" ht="16.5" customHeight="1">
      <c r="I455" s="21" t="str">
        <f t="shared" si="1"/>
        <v/>
      </c>
    </row>
    <row r="456" ht="16.5" customHeight="1">
      <c r="I456" s="21" t="str">
        <f t="shared" si="1"/>
        <v/>
      </c>
    </row>
    <row r="457" ht="16.5" customHeight="1">
      <c r="I457" s="21" t="str">
        <f t="shared" si="1"/>
        <v/>
      </c>
    </row>
    <row r="458" ht="16.5" customHeight="1">
      <c r="I458" s="21" t="str">
        <f t="shared" si="1"/>
        <v/>
      </c>
    </row>
    <row r="459" ht="16.5" customHeight="1">
      <c r="I459" s="21" t="str">
        <f t="shared" si="1"/>
        <v/>
      </c>
    </row>
    <row r="460" ht="16.5" customHeight="1">
      <c r="I460" s="21" t="str">
        <f t="shared" si="1"/>
        <v/>
      </c>
    </row>
    <row r="461" ht="16.5" customHeight="1">
      <c r="I461" s="21" t="str">
        <f t="shared" si="1"/>
        <v/>
      </c>
    </row>
    <row r="462" ht="16.5" customHeight="1">
      <c r="I462" s="21" t="str">
        <f t="shared" si="1"/>
        <v/>
      </c>
    </row>
    <row r="463" ht="16.5" customHeight="1">
      <c r="I463" s="21" t="str">
        <f t="shared" si="1"/>
        <v/>
      </c>
    </row>
    <row r="464" ht="16.5" customHeight="1">
      <c r="I464" s="21" t="str">
        <f t="shared" si="1"/>
        <v/>
      </c>
    </row>
    <row r="465" ht="16.5" customHeight="1">
      <c r="I465" s="21" t="str">
        <f t="shared" si="1"/>
        <v/>
      </c>
    </row>
    <row r="466" ht="16.5" customHeight="1">
      <c r="I466" s="21" t="str">
        <f t="shared" si="1"/>
        <v/>
      </c>
    </row>
    <row r="467" ht="16.5" customHeight="1">
      <c r="I467" s="21" t="str">
        <f t="shared" si="1"/>
        <v/>
      </c>
    </row>
    <row r="468" ht="16.5" customHeight="1">
      <c r="I468" s="21" t="str">
        <f t="shared" si="1"/>
        <v/>
      </c>
    </row>
    <row r="469" ht="16.5" customHeight="1">
      <c r="I469" s="21" t="str">
        <f t="shared" si="1"/>
        <v/>
      </c>
    </row>
    <row r="470" ht="16.5" customHeight="1">
      <c r="I470" s="21" t="str">
        <f t="shared" si="1"/>
        <v/>
      </c>
    </row>
    <row r="471" ht="16.5" customHeight="1">
      <c r="I471" s="21" t="str">
        <f t="shared" si="1"/>
        <v/>
      </c>
    </row>
    <row r="472" ht="16.5" customHeight="1">
      <c r="I472" s="21" t="str">
        <f t="shared" si="1"/>
        <v/>
      </c>
    </row>
    <row r="473" ht="16.5" customHeight="1">
      <c r="I473" s="21" t="str">
        <f t="shared" si="1"/>
        <v/>
      </c>
    </row>
    <row r="474" ht="16.5" customHeight="1">
      <c r="I474" s="21" t="str">
        <f t="shared" si="1"/>
        <v/>
      </c>
    </row>
    <row r="475" ht="16.5" customHeight="1">
      <c r="I475" s="21" t="str">
        <f t="shared" si="1"/>
        <v/>
      </c>
    </row>
    <row r="476" ht="16.5" customHeight="1">
      <c r="I476" s="21" t="str">
        <f t="shared" si="1"/>
        <v/>
      </c>
    </row>
    <row r="477" ht="16.5" customHeight="1">
      <c r="I477" s="21" t="str">
        <f t="shared" si="1"/>
        <v/>
      </c>
    </row>
    <row r="478" ht="16.5" customHeight="1">
      <c r="I478" s="21" t="str">
        <f t="shared" si="1"/>
        <v/>
      </c>
    </row>
    <row r="479" ht="16.5" customHeight="1">
      <c r="I479" s="21" t="str">
        <f t="shared" si="1"/>
        <v/>
      </c>
    </row>
    <row r="480" ht="16.5" customHeight="1">
      <c r="I480" s="21" t="str">
        <f t="shared" si="1"/>
        <v/>
      </c>
    </row>
    <row r="481" ht="16.5" customHeight="1">
      <c r="I481" s="21" t="str">
        <f t="shared" si="1"/>
        <v/>
      </c>
    </row>
    <row r="482" ht="16.5" customHeight="1">
      <c r="I482" s="21" t="str">
        <f t="shared" si="1"/>
        <v/>
      </c>
    </row>
    <row r="483" ht="16.5" customHeight="1">
      <c r="I483" s="21" t="str">
        <f t="shared" si="1"/>
        <v/>
      </c>
    </row>
    <row r="484" ht="16.5" customHeight="1">
      <c r="I484" s="21" t="str">
        <f t="shared" si="1"/>
        <v/>
      </c>
    </row>
    <row r="485" ht="16.5" customHeight="1">
      <c r="I485" s="21" t="str">
        <f t="shared" si="1"/>
        <v/>
      </c>
    </row>
    <row r="486" ht="16.5" customHeight="1">
      <c r="I486" s="21" t="str">
        <f t="shared" si="1"/>
        <v/>
      </c>
    </row>
    <row r="487" ht="16.5" customHeight="1">
      <c r="I487" s="21" t="str">
        <f t="shared" si="1"/>
        <v/>
      </c>
    </row>
    <row r="488" ht="16.5" customHeight="1">
      <c r="I488" s="21" t="str">
        <f t="shared" si="1"/>
        <v/>
      </c>
    </row>
    <row r="489" ht="16.5" customHeight="1">
      <c r="I489" s="21" t="str">
        <f t="shared" si="1"/>
        <v/>
      </c>
    </row>
    <row r="490" ht="16.5" customHeight="1">
      <c r="I490" s="21" t="str">
        <f t="shared" si="1"/>
        <v/>
      </c>
    </row>
    <row r="491" ht="16.5" customHeight="1">
      <c r="I491" s="21" t="str">
        <f t="shared" si="1"/>
        <v/>
      </c>
    </row>
    <row r="492" ht="16.5" customHeight="1">
      <c r="I492" s="21" t="str">
        <f t="shared" si="1"/>
        <v/>
      </c>
    </row>
    <row r="493" ht="16.5" customHeight="1">
      <c r="I493" s="21" t="str">
        <f t="shared" si="1"/>
        <v/>
      </c>
    </row>
    <row r="494" ht="16.5" customHeight="1">
      <c r="I494" s="21" t="str">
        <f t="shared" si="1"/>
        <v/>
      </c>
    </row>
    <row r="495" ht="16.5" customHeight="1">
      <c r="I495" s="21" t="str">
        <f t="shared" si="1"/>
        <v/>
      </c>
    </row>
    <row r="496" ht="16.5" customHeight="1">
      <c r="I496" s="21" t="str">
        <f t="shared" si="1"/>
        <v/>
      </c>
    </row>
    <row r="497" ht="16.5" customHeight="1">
      <c r="I497" s="21" t="str">
        <f t="shared" si="1"/>
        <v/>
      </c>
    </row>
    <row r="498" ht="16.5" customHeight="1">
      <c r="I498" s="21" t="str">
        <f t="shared" si="1"/>
        <v/>
      </c>
    </row>
    <row r="499" ht="16.5" customHeight="1">
      <c r="I499" s="21" t="str">
        <f t="shared" si="1"/>
        <v/>
      </c>
    </row>
    <row r="500" ht="16.5" customHeight="1">
      <c r="I500" s="21" t="str">
        <f t="shared" si="1"/>
        <v/>
      </c>
    </row>
    <row r="501" ht="16.5" customHeight="1">
      <c r="I501" s="21" t="str">
        <f t="shared" si="1"/>
        <v/>
      </c>
    </row>
    <row r="502" ht="16.5" customHeight="1">
      <c r="I502" s="21" t="str">
        <f t="shared" si="1"/>
        <v/>
      </c>
    </row>
    <row r="503" ht="16.5" customHeight="1">
      <c r="I503" s="21" t="str">
        <f t="shared" si="1"/>
        <v/>
      </c>
    </row>
    <row r="504" ht="16.5" customHeight="1">
      <c r="I504" s="21" t="str">
        <f t="shared" si="1"/>
        <v/>
      </c>
    </row>
    <row r="505" ht="16.5" customHeight="1">
      <c r="I505" s="21" t="str">
        <f t="shared" si="1"/>
        <v/>
      </c>
    </row>
    <row r="506" ht="16.5" customHeight="1">
      <c r="I506" s="21" t="str">
        <f t="shared" si="1"/>
        <v/>
      </c>
    </row>
    <row r="507" ht="16.5" customHeight="1">
      <c r="I507" s="21" t="str">
        <f t="shared" si="1"/>
        <v/>
      </c>
    </row>
    <row r="508" ht="16.5" customHeight="1">
      <c r="I508" s="21" t="str">
        <f t="shared" si="1"/>
        <v/>
      </c>
    </row>
    <row r="509" ht="16.5" customHeight="1">
      <c r="I509" s="21" t="str">
        <f t="shared" si="1"/>
        <v/>
      </c>
    </row>
    <row r="510" ht="16.5" customHeight="1">
      <c r="I510" s="21" t="str">
        <f t="shared" si="1"/>
        <v/>
      </c>
    </row>
    <row r="511" ht="16.5" customHeight="1">
      <c r="I511" s="21" t="str">
        <f t="shared" si="1"/>
        <v/>
      </c>
    </row>
    <row r="512" ht="16.5" customHeight="1">
      <c r="I512" s="21" t="str">
        <f t="shared" si="1"/>
        <v/>
      </c>
    </row>
    <row r="513" ht="16.5" customHeight="1">
      <c r="I513" s="21" t="str">
        <f t="shared" si="1"/>
        <v/>
      </c>
    </row>
    <row r="514" ht="16.5" customHeight="1">
      <c r="I514" s="21" t="str">
        <f t="shared" si="1"/>
        <v/>
      </c>
    </row>
    <row r="515" ht="16.5" customHeight="1">
      <c r="I515" s="21" t="str">
        <f t="shared" si="1"/>
        <v/>
      </c>
    </row>
    <row r="516" ht="16.5" customHeight="1">
      <c r="I516" s="21" t="str">
        <f t="shared" si="1"/>
        <v/>
      </c>
    </row>
    <row r="517" ht="16.5" customHeight="1">
      <c r="I517" s="21" t="str">
        <f t="shared" si="1"/>
        <v/>
      </c>
    </row>
    <row r="518" ht="16.5" customHeight="1">
      <c r="I518" s="21" t="str">
        <f t="shared" si="1"/>
        <v/>
      </c>
    </row>
    <row r="519" ht="16.5" customHeight="1">
      <c r="I519" s="21" t="str">
        <f t="shared" si="1"/>
        <v/>
      </c>
    </row>
    <row r="520" ht="16.5" customHeight="1">
      <c r="I520" s="21" t="str">
        <f t="shared" si="1"/>
        <v/>
      </c>
    </row>
    <row r="521" ht="16.5" customHeight="1">
      <c r="I521" s="21" t="str">
        <f t="shared" si="1"/>
        <v/>
      </c>
    </row>
    <row r="522" ht="16.5" customHeight="1">
      <c r="I522" s="21" t="str">
        <f t="shared" si="1"/>
        <v/>
      </c>
    </row>
    <row r="523" ht="16.5" customHeight="1">
      <c r="I523" s="21" t="str">
        <f t="shared" si="1"/>
        <v/>
      </c>
    </row>
    <row r="524" ht="16.5" customHeight="1">
      <c r="I524" s="21" t="str">
        <f t="shared" si="1"/>
        <v/>
      </c>
    </row>
    <row r="525" ht="16.5" customHeight="1">
      <c r="I525" s="21" t="str">
        <f t="shared" si="1"/>
        <v/>
      </c>
    </row>
    <row r="526" ht="16.5" customHeight="1">
      <c r="I526" s="21" t="str">
        <f t="shared" si="1"/>
        <v/>
      </c>
    </row>
    <row r="527" ht="16.5" customHeight="1">
      <c r="I527" s="21" t="str">
        <f t="shared" si="1"/>
        <v/>
      </c>
    </row>
    <row r="528" ht="16.5" customHeight="1">
      <c r="I528" s="21" t="str">
        <f t="shared" si="1"/>
        <v/>
      </c>
    </row>
    <row r="529" ht="16.5" customHeight="1">
      <c r="I529" s="21" t="str">
        <f t="shared" si="1"/>
        <v/>
      </c>
    </row>
    <row r="530" ht="16.5" customHeight="1">
      <c r="I530" s="21" t="str">
        <f t="shared" si="1"/>
        <v/>
      </c>
    </row>
    <row r="531" ht="16.5" customHeight="1">
      <c r="I531" s="21" t="str">
        <f t="shared" si="1"/>
        <v/>
      </c>
    </row>
    <row r="532" ht="16.5" customHeight="1">
      <c r="I532" s="21" t="str">
        <f t="shared" si="1"/>
        <v/>
      </c>
    </row>
    <row r="533" ht="16.5" customHeight="1">
      <c r="I533" s="21" t="str">
        <f t="shared" si="1"/>
        <v/>
      </c>
    </row>
    <row r="534" ht="16.5" customHeight="1">
      <c r="I534" s="21" t="str">
        <f t="shared" si="1"/>
        <v/>
      </c>
    </row>
    <row r="535" ht="16.5" customHeight="1">
      <c r="I535" s="21" t="str">
        <f t="shared" si="1"/>
        <v/>
      </c>
    </row>
    <row r="536" ht="16.5" customHeight="1">
      <c r="I536" s="21" t="str">
        <f t="shared" si="1"/>
        <v/>
      </c>
    </row>
    <row r="537" ht="16.5" customHeight="1">
      <c r="I537" s="21" t="str">
        <f t="shared" si="1"/>
        <v/>
      </c>
    </row>
    <row r="538" ht="16.5" customHeight="1">
      <c r="I538" s="21" t="str">
        <f t="shared" si="1"/>
        <v/>
      </c>
    </row>
    <row r="539" ht="16.5" customHeight="1">
      <c r="I539" s="21" t="str">
        <f t="shared" si="1"/>
        <v/>
      </c>
    </row>
    <row r="540" ht="16.5" customHeight="1">
      <c r="I540" s="21" t="str">
        <f t="shared" si="1"/>
        <v/>
      </c>
    </row>
    <row r="541" ht="16.5" customHeight="1">
      <c r="I541" s="21" t="str">
        <f t="shared" si="1"/>
        <v/>
      </c>
    </row>
    <row r="542" ht="16.5" customHeight="1">
      <c r="I542" s="21" t="str">
        <f t="shared" si="1"/>
        <v/>
      </c>
    </row>
    <row r="543" ht="16.5" customHeight="1">
      <c r="I543" s="21" t="str">
        <f t="shared" si="1"/>
        <v/>
      </c>
    </row>
    <row r="544" ht="16.5" customHeight="1">
      <c r="I544" s="21" t="str">
        <f t="shared" si="1"/>
        <v/>
      </c>
    </row>
    <row r="545" ht="16.5" customHeight="1">
      <c r="I545" s="21" t="str">
        <f t="shared" si="1"/>
        <v/>
      </c>
    </row>
    <row r="546" ht="16.5" customHeight="1">
      <c r="I546" s="21" t="str">
        <f t="shared" si="1"/>
        <v/>
      </c>
    </row>
    <row r="547" ht="16.5" customHeight="1">
      <c r="I547" s="21" t="str">
        <f t="shared" si="1"/>
        <v/>
      </c>
    </row>
    <row r="548" ht="16.5" customHeight="1">
      <c r="I548" s="21" t="str">
        <f t="shared" si="1"/>
        <v/>
      </c>
    </row>
    <row r="549" ht="16.5" customHeight="1">
      <c r="I549" s="21" t="str">
        <f t="shared" si="1"/>
        <v/>
      </c>
    </row>
    <row r="550" ht="16.5" customHeight="1">
      <c r="I550" s="21" t="str">
        <f t="shared" si="1"/>
        <v/>
      </c>
    </row>
    <row r="551" ht="16.5" customHeight="1">
      <c r="I551" s="21" t="str">
        <f t="shared" si="1"/>
        <v/>
      </c>
    </row>
    <row r="552" ht="16.5" customHeight="1">
      <c r="I552" s="21" t="str">
        <f t="shared" si="1"/>
        <v/>
      </c>
    </row>
    <row r="553" ht="16.5" customHeight="1">
      <c r="I553" s="21" t="str">
        <f t="shared" si="1"/>
        <v/>
      </c>
    </row>
    <row r="554" ht="16.5" customHeight="1">
      <c r="I554" s="21" t="str">
        <f t="shared" si="1"/>
        <v/>
      </c>
    </row>
    <row r="555" ht="16.5" customHeight="1">
      <c r="I555" s="21" t="str">
        <f t="shared" si="1"/>
        <v/>
      </c>
    </row>
    <row r="556" ht="16.5" customHeight="1">
      <c r="I556" s="21" t="str">
        <f t="shared" si="1"/>
        <v/>
      </c>
    </row>
    <row r="557" ht="16.5" customHeight="1">
      <c r="I557" s="21" t="str">
        <f t="shared" si="1"/>
        <v/>
      </c>
    </row>
    <row r="558" ht="16.5" customHeight="1">
      <c r="I558" s="21" t="str">
        <f t="shared" si="1"/>
        <v/>
      </c>
    </row>
    <row r="559" ht="16.5" customHeight="1">
      <c r="I559" s="21" t="str">
        <f t="shared" si="1"/>
        <v/>
      </c>
    </row>
    <row r="560" ht="16.5" customHeight="1">
      <c r="I560" s="21" t="str">
        <f t="shared" si="1"/>
        <v/>
      </c>
    </row>
    <row r="561" ht="16.5" customHeight="1">
      <c r="I561" s="21" t="str">
        <f t="shared" si="1"/>
        <v/>
      </c>
    </row>
    <row r="562" ht="16.5" customHeight="1">
      <c r="I562" s="21" t="str">
        <f t="shared" si="1"/>
        <v/>
      </c>
    </row>
    <row r="563" ht="16.5" customHeight="1">
      <c r="I563" s="21" t="str">
        <f t="shared" si="1"/>
        <v/>
      </c>
    </row>
    <row r="564" ht="16.5" customHeight="1">
      <c r="I564" s="21" t="str">
        <f t="shared" si="1"/>
        <v/>
      </c>
    </row>
    <row r="565" ht="16.5" customHeight="1">
      <c r="I565" s="21" t="str">
        <f t="shared" si="1"/>
        <v/>
      </c>
    </row>
    <row r="566" ht="16.5" customHeight="1">
      <c r="I566" s="21" t="str">
        <f t="shared" si="1"/>
        <v/>
      </c>
    </row>
    <row r="567" ht="16.5" customHeight="1">
      <c r="I567" s="21" t="str">
        <f t="shared" si="1"/>
        <v/>
      </c>
    </row>
    <row r="568" ht="16.5" customHeight="1">
      <c r="I568" s="21" t="str">
        <f t="shared" si="1"/>
        <v/>
      </c>
    </row>
    <row r="569" ht="16.5" customHeight="1">
      <c r="I569" s="21" t="str">
        <f t="shared" si="1"/>
        <v/>
      </c>
    </row>
    <row r="570" ht="16.5" customHeight="1">
      <c r="I570" s="21" t="str">
        <f t="shared" si="1"/>
        <v/>
      </c>
    </row>
    <row r="571" ht="16.5" customHeight="1">
      <c r="I571" s="21" t="str">
        <f t="shared" si="1"/>
        <v/>
      </c>
    </row>
    <row r="572" ht="16.5" customHeight="1">
      <c r="I572" s="21" t="str">
        <f t="shared" si="1"/>
        <v/>
      </c>
    </row>
    <row r="573" ht="16.5" customHeight="1">
      <c r="I573" s="21" t="str">
        <f t="shared" si="1"/>
        <v/>
      </c>
    </row>
    <row r="574" ht="16.5" customHeight="1">
      <c r="I574" s="21" t="str">
        <f t="shared" si="1"/>
        <v/>
      </c>
    </row>
    <row r="575" ht="16.5" customHeight="1">
      <c r="I575" s="21" t="str">
        <f t="shared" si="1"/>
        <v/>
      </c>
    </row>
    <row r="576" ht="16.5" customHeight="1">
      <c r="I576" s="21" t="str">
        <f t="shared" si="1"/>
        <v/>
      </c>
    </row>
    <row r="577" ht="16.5" customHeight="1">
      <c r="I577" s="21" t="str">
        <f t="shared" si="1"/>
        <v/>
      </c>
    </row>
    <row r="578" ht="16.5" customHeight="1">
      <c r="I578" s="21" t="str">
        <f t="shared" si="1"/>
        <v/>
      </c>
    </row>
    <row r="579" ht="16.5" customHeight="1">
      <c r="I579" s="21" t="str">
        <f t="shared" si="1"/>
        <v/>
      </c>
    </row>
    <row r="580" ht="16.5" customHeight="1">
      <c r="I580" s="21" t="str">
        <f t="shared" si="1"/>
        <v/>
      </c>
    </row>
    <row r="581" ht="16.5" customHeight="1">
      <c r="I581" s="21" t="str">
        <f t="shared" si="1"/>
        <v/>
      </c>
    </row>
    <row r="582" ht="16.5" customHeight="1">
      <c r="I582" s="21" t="str">
        <f t="shared" si="1"/>
        <v/>
      </c>
    </row>
    <row r="583" ht="16.5" customHeight="1">
      <c r="I583" s="21" t="str">
        <f t="shared" si="1"/>
        <v/>
      </c>
    </row>
    <row r="584" ht="16.5" customHeight="1">
      <c r="I584" s="21" t="str">
        <f t="shared" si="1"/>
        <v/>
      </c>
    </row>
    <row r="585" ht="16.5" customHeight="1">
      <c r="I585" s="21" t="str">
        <f t="shared" si="1"/>
        <v/>
      </c>
    </row>
    <row r="586" ht="16.5" customHeight="1">
      <c r="I586" s="21" t="str">
        <f t="shared" si="1"/>
        <v/>
      </c>
    </row>
    <row r="587" ht="16.5" customHeight="1">
      <c r="I587" s="21" t="str">
        <f t="shared" si="1"/>
        <v/>
      </c>
    </row>
    <row r="588" ht="16.5" customHeight="1">
      <c r="I588" s="21" t="str">
        <f t="shared" si="1"/>
        <v/>
      </c>
    </row>
    <row r="589" ht="16.5" customHeight="1">
      <c r="I589" s="21" t="str">
        <f t="shared" si="1"/>
        <v/>
      </c>
    </row>
    <row r="590" ht="16.5" customHeight="1">
      <c r="I590" s="21" t="str">
        <f t="shared" si="1"/>
        <v/>
      </c>
    </row>
    <row r="591" ht="16.5" customHeight="1">
      <c r="I591" s="21" t="str">
        <f t="shared" si="1"/>
        <v/>
      </c>
    </row>
    <row r="592" ht="16.5" customHeight="1">
      <c r="I592" s="21" t="str">
        <f t="shared" si="1"/>
        <v/>
      </c>
    </row>
    <row r="593" ht="16.5" customHeight="1">
      <c r="I593" s="21" t="str">
        <f t="shared" si="1"/>
        <v/>
      </c>
    </row>
    <row r="594" ht="16.5" customHeight="1">
      <c r="I594" s="21" t="str">
        <f t="shared" si="1"/>
        <v/>
      </c>
    </row>
    <row r="595" ht="16.5" customHeight="1">
      <c r="I595" s="21" t="str">
        <f t="shared" si="1"/>
        <v/>
      </c>
    </row>
    <row r="596" ht="16.5" customHeight="1">
      <c r="I596" s="21" t="str">
        <f t="shared" si="1"/>
        <v/>
      </c>
    </row>
    <row r="597" ht="16.5" customHeight="1">
      <c r="I597" s="21" t="str">
        <f t="shared" si="1"/>
        <v/>
      </c>
    </row>
    <row r="598" ht="16.5" customHeight="1">
      <c r="I598" s="21" t="str">
        <f t="shared" si="1"/>
        <v/>
      </c>
    </row>
    <row r="599" ht="16.5" customHeight="1">
      <c r="I599" s="21" t="str">
        <f t="shared" si="1"/>
        <v/>
      </c>
    </row>
    <row r="600" ht="16.5" customHeight="1">
      <c r="I600" s="21" t="str">
        <f t="shared" si="1"/>
        <v/>
      </c>
    </row>
    <row r="601" ht="16.5" customHeight="1">
      <c r="I601" s="21" t="str">
        <f t="shared" si="1"/>
        <v/>
      </c>
    </row>
    <row r="602" ht="16.5" customHeight="1">
      <c r="I602" s="21" t="str">
        <f t="shared" si="1"/>
        <v/>
      </c>
    </row>
    <row r="603" ht="16.5" customHeight="1">
      <c r="I603" s="21" t="str">
        <f t="shared" si="1"/>
        <v/>
      </c>
    </row>
    <row r="604" ht="16.5" customHeight="1">
      <c r="I604" s="21" t="str">
        <f t="shared" si="1"/>
        <v/>
      </c>
    </row>
    <row r="605" ht="16.5" customHeight="1">
      <c r="I605" s="21" t="str">
        <f t="shared" si="1"/>
        <v/>
      </c>
    </row>
    <row r="606" ht="16.5" customHeight="1">
      <c r="I606" s="21" t="str">
        <f t="shared" si="1"/>
        <v/>
      </c>
    </row>
    <row r="607" ht="16.5" customHeight="1">
      <c r="I607" s="21" t="str">
        <f t="shared" si="1"/>
        <v/>
      </c>
    </row>
    <row r="608" ht="16.5" customHeight="1">
      <c r="I608" s="21" t="str">
        <f t="shared" si="1"/>
        <v/>
      </c>
    </row>
    <row r="609" ht="16.5" customHeight="1">
      <c r="I609" s="21" t="str">
        <f t="shared" si="1"/>
        <v/>
      </c>
    </row>
    <row r="610" ht="16.5" customHeight="1">
      <c r="I610" s="21" t="str">
        <f t="shared" si="1"/>
        <v/>
      </c>
    </row>
    <row r="611" ht="16.5" customHeight="1">
      <c r="I611" s="21" t="str">
        <f t="shared" si="1"/>
        <v/>
      </c>
    </row>
    <row r="612" ht="16.5" customHeight="1">
      <c r="I612" s="21" t="str">
        <f t="shared" si="1"/>
        <v/>
      </c>
    </row>
    <row r="613" ht="16.5" customHeight="1">
      <c r="I613" s="21" t="str">
        <f t="shared" si="1"/>
        <v/>
      </c>
    </row>
    <row r="614" ht="16.5" customHeight="1">
      <c r="I614" s="21" t="str">
        <f t="shared" si="1"/>
        <v/>
      </c>
    </row>
    <row r="615" ht="16.5" customHeight="1">
      <c r="I615" s="21" t="str">
        <f t="shared" si="1"/>
        <v/>
      </c>
    </row>
    <row r="616" ht="16.5" customHeight="1">
      <c r="I616" s="21" t="str">
        <f t="shared" si="1"/>
        <v/>
      </c>
    </row>
    <row r="617" ht="16.5" customHeight="1">
      <c r="I617" s="21" t="str">
        <f t="shared" si="1"/>
        <v/>
      </c>
    </row>
    <row r="618" ht="16.5" customHeight="1">
      <c r="I618" s="21" t="str">
        <f t="shared" si="1"/>
        <v/>
      </c>
    </row>
    <row r="619" ht="16.5" customHeight="1">
      <c r="I619" s="21" t="str">
        <f t="shared" si="1"/>
        <v/>
      </c>
    </row>
    <row r="620" ht="16.5" customHeight="1">
      <c r="I620" s="21" t="str">
        <f t="shared" si="1"/>
        <v/>
      </c>
    </row>
    <row r="621" ht="16.5" customHeight="1">
      <c r="I621" s="21" t="str">
        <f t="shared" si="1"/>
        <v/>
      </c>
    </row>
    <row r="622" ht="16.5" customHeight="1">
      <c r="I622" s="21" t="str">
        <f t="shared" si="1"/>
        <v/>
      </c>
    </row>
    <row r="623" ht="16.5" customHeight="1">
      <c r="I623" s="21" t="str">
        <f t="shared" si="1"/>
        <v/>
      </c>
    </row>
    <row r="624" ht="16.5" customHeight="1">
      <c r="I624" s="21" t="str">
        <f t="shared" si="1"/>
        <v/>
      </c>
    </row>
    <row r="625" ht="16.5" customHeight="1">
      <c r="I625" s="21" t="str">
        <f t="shared" si="1"/>
        <v/>
      </c>
    </row>
    <row r="626" ht="16.5" customHeight="1">
      <c r="I626" s="21" t="str">
        <f t="shared" si="1"/>
        <v/>
      </c>
    </row>
    <row r="627" ht="16.5" customHeight="1">
      <c r="I627" s="21" t="str">
        <f t="shared" si="1"/>
        <v/>
      </c>
    </row>
    <row r="628" ht="16.5" customHeight="1">
      <c r="I628" s="21" t="str">
        <f t="shared" si="1"/>
        <v/>
      </c>
    </row>
    <row r="629" ht="16.5" customHeight="1">
      <c r="I629" s="21" t="str">
        <f t="shared" si="1"/>
        <v/>
      </c>
    </row>
    <row r="630" ht="16.5" customHeight="1">
      <c r="I630" s="21" t="str">
        <f t="shared" si="1"/>
        <v/>
      </c>
    </row>
    <row r="631" ht="16.5" customHeight="1">
      <c r="I631" s="21" t="str">
        <f t="shared" si="1"/>
        <v/>
      </c>
    </row>
    <row r="632" ht="16.5" customHeight="1">
      <c r="I632" s="21" t="str">
        <f t="shared" si="1"/>
        <v/>
      </c>
    </row>
    <row r="633" ht="16.5" customHeight="1">
      <c r="I633" s="21" t="str">
        <f t="shared" si="1"/>
        <v/>
      </c>
    </row>
    <row r="634" ht="16.5" customHeight="1">
      <c r="I634" s="21" t="str">
        <f t="shared" si="1"/>
        <v/>
      </c>
    </row>
    <row r="635" ht="16.5" customHeight="1">
      <c r="I635" s="21" t="str">
        <f t="shared" si="1"/>
        <v/>
      </c>
    </row>
    <row r="636" ht="16.5" customHeight="1">
      <c r="I636" s="21" t="str">
        <f t="shared" si="1"/>
        <v/>
      </c>
    </row>
    <row r="637" ht="16.5" customHeight="1">
      <c r="I637" s="21" t="str">
        <f t="shared" si="1"/>
        <v/>
      </c>
    </row>
    <row r="638" ht="16.5" customHeight="1">
      <c r="I638" s="21" t="str">
        <f t="shared" si="1"/>
        <v/>
      </c>
    </row>
    <row r="639" ht="16.5" customHeight="1">
      <c r="I639" s="21" t="str">
        <f t="shared" si="1"/>
        <v/>
      </c>
    </row>
    <row r="640" ht="16.5" customHeight="1">
      <c r="I640" s="21" t="str">
        <f t="shared" si="1"/>
        <v/>
      </c>
    </row>
    <row r="641" ht="16.5" customHeight="1">
      <c r="I641" s="21" t="str">
        <f t="shared" si="1"/>
        <v/>
      </c>
    </row>
    <row r="642" ht="16.5" customHeight="1">
      <c r="I642" s="21" t="str">
        <f t="shared" si="1"/>
        <v/>
      </c>
    </row>
    <row r="643" ht="16.5" customHeight="1">
      <c r="I643" s="21" t="str">
        <f t="shared" si="1"/>
        <v/>
      </c>
    </row>
    <row r="644" ht="16.5" customHeight="1">
      <c r="I644" s="21" t="str">
        <f t="shared" si="1"/>
        <v/>
      </c>
    </row>
    <row r="645" ht="16.5" customHeight="1">
      <c r="I645" s="21" t="str">
        <f t="shared" si="1"/>
        <v/>
      </c>
    </row>
    <row r="646" ht="16.5" customHeight="1">
      <c r="I646" s="21" t="str">
        <f t="shared" si="1"/>
        <v/>
      </c>
    </row>
    <row r="647" ht="16.5" customHeight="1">
      <c r="I647" s="21" t="str">
        <f t="shared" si="1"/>
        <v/>
      </c>
    </row>
    <row r="648" ht="16.5" customHeight="1">
      <c r="I648" s="21" t="str">
        <f t="shared" si="1"/>
        <v/>
      </c>
    </row>
    <row r="649" ht="16.5" customHeight="1">
      <c r="I649" s="21" t="str">
        <f t="shared" si="1"/>
        <v/>
      </c>
    </row>
    <row r="650" ht="16.5" customHeight="1">
      <c r="I650" s="21" t="str">
        <f t="shared" si="1"/>
        <v/>
      </c>
    </row>
    <row r="651" ht="16.5" customHeight="1">
      <c r="I651" s="21" t="str">
        <f t="shared" si="1"/>
        <v/>
      </c>
    </row>
    <row r="652" ht="16.5" customHeight="1">
      <c r="I652" s="21" t="str">
        <f t="shared" si="1"/>
        <v/>
      </c>
    </row>
    <row r="653" ht="16.5" customHeight="1">
      <c r="I653" s="21" t="str">
        <f t="shared" si="1"/>
        <v/>
      </c>
    </row>
    <row r="654" ht="16.5" customHeight="1">
      <c r="I654" s="21" t="str">
        <f t="shared" si="1"/>
        <v/>
      </c>
    </row>
    <row r="655" ht="16.5" customHeight="1">
      <c r="I655" s="21" t="str">
        <f t="shared" si="1"/>
        <v/>
      </c>
    </row>
    <row r="656" ht="16.5" customHeight="1">
      <c r="I656" s="21" t="str">
        <f t="shared" si="1"/>
        <v/>
      </c>
    </row>
    <row r="657" ht="16.5" customHeight="1">
      <c r="I657" s="21" t="str">
        <f t="shared" si="1"/>
        <v/>
      </c>
    </row>
    <row r="658" ht="16.5" customHeight="1">
      <c r="I658" s="21" t="str">
        <f t="shared" si="1"/>
        <v/>
      </c>
    </row>
    <row r="659" ht="16.5" customHeight="1">
      <c r="I659" s="21" t="str">
        <f t="shared" si="1"/>
        <v/>
      </c>
    </row>
    <row r="660" ht="16.5" customHeight="1">
      <c r="I660" s="21" t="str">
        <f t="shared" si="1"/>
        <v/>
      </c>
    </row>
    <row r="661" ht="16.5" customHeight="1">
      <c r="I661" s="21" t="str">
        <f t="shared" si="1"/>
        <v/>
      </c>
    </row>
    <row r="662" ht="16.5" customHeight="1">
      <c r="I662" s="21" t="str">
        <f t="shared" si="1"/>
        <v/>
      </c>
    </row>
    <row r="663" ht="16.5" customHeight="1">
      <c r="I663" s="21" t="str">
        <f t="shared" si="1"/>
        <v/>
      </c>
    </row>
    <row r="664" ht="16.5" customHeight="1">
      <c r="I664" s="21" t="str">
        <f t="shared" si="1"/>
        <v/>
      </c>
    </row>
    <row r="665" ht="16.5" customHeight="1">
      <c r="I665" s="21" t="str">
        <f t="shared" si="1"/>
        <v/>
      </c>
    </row>
    <row r="666" ht="16.5" customHeight="1">
      <c r="I666" s="21" t="str">
        <f t="shared" si="1"/>
        <v/>
      </c>
    </row>
    <row r="667" ht="16.5" customHeight="1">
      <c r="I667" s="21" t="str">
        <f t="shared" si="1"/>
        <v/>
      </c>
    </row>
    <row r="668" ht="16.5" customHeight="1">
      <c r="I668" s="21" t="str">
        <f t="shared" si="1"/>
        <v/>
      </c>
    </row>
    <row r="669" ht="16.5" customHeight="1">
      <c r="I669" s="21" t="str">
        <f t="shared" si="1"/>
        <v/>
      </c>
    </row>
    <row r="670" ht="16.5" customHeight="1">
      <c r="I670" s="21" t="str">
        <f t="shared" si="1"/>
        <v/>
      </c>
    </row>
    <row r="671" ht="16.5" customHeight="1">
      <c r="I671" s="21" t="str">
        <f t="shared" si="1"/>
        <v/>
      </c>
    </row>
    <row r="672" ht="16.5" customHeight="1">
      <c r="I672" s="21" t="str">
        <f t="shared" si="1"/>
        <v/>
      </c>
    </row>
    <row r="673" ht="16.5" customHeight="1">
      <c r="I673" s="21" t="str">
        <f t="shared" si="1"/>
        <v/>
      </c>
    </row>
    <row r="674" ht="16.5" customHeight="1">
      <c r="I674" s="21" t="str">
        <f t="shared" si="1"/>
        <v/>
      </c>
    </row>
    <row r="675" ht="16.5" customHeight="1">
      <c r="I675" s="21" t="str">
        <f t="shared" si="1"/>
        <v/>
      </c>
    </row>
    <row r="676" ht="16.5" customHeight="1">
      <c r="I676" s="21" t="str">
        <f t="shared" si="1"/>
        <v/>
      </c>
    </row>
    <row r="677" ht="16.5" customHeight="1">
      <c r="I677" s="21" t="str">
        <f t="shared" si="1"/>
        <v/>
      </c>
    </row>
    <row r="678" ht="16.5" customHeight="1">
      <c r="I678" s="21" t="str">
        <f t="shared" si="1"/>
        <v/>
      </c>
    </row>
    <row r="679" ht="16.5" customHeight="1">
      <c r="I679" s="21" t="str">
        <f t="shared" si="1"/>
        <v/>
      </c>
    </row>
    <row r="680" ht="16.5" customHeight="1">
      <c r="I680" s="21" t="str">
        <f t="shared" si="1"/>
        <v/>
      </c>
    </row>
    <row r="681" ht="16.5" customHeight="1">
      <c r="I681" s="21" t="str">
        <f t="shared" si="1"/>
        <v/>
      </c>
    </row>
    <row r="682" ht="16.5" customHeight="1">
      <c r="I682" s="21" t="str">
        <f t="shared" si="1"/>
        <v/>
      </c>
    </row>
    <row r="683" ht="16.5" customHeight="1">
      <c r="I683" s="21" t="str">
        <f t="shared" si="1"/>
        <v/>
      </c>
    </row>
    <row r="684" ht="16.5" customHeight="1">
      <c r="I684" s="21" t="str">
        <f t="shared" si="1"/>
        <v/>
      </c>
    </row>
    <row r="685" ht="16.5" customHeight="1">
      <c r="I685" s="21" t="str">
        <f t="shared" si="1"/>
        <v/>
      </c>
    </row>
    <row r="686" ht="16.5" customHeight="1">
      <c r="I686" s="21" t="str">
        <f t="shared" si="1"/>
        <v/>
      </c>
    </row>
    <row r="687" ht="16.5" customHeight="1">
      <c r="I687" s="21" t="str">
        <f t="shared" si="1"/>
        <v/>
      </c>
    </row>
    <row r="688" ht="16.5" customHeight="1">
      <c r="I688" s="21" t="str">
        <f t="shared" si="1"/>
        <v/>
      </c>
    </row>
    <row r="689" ht="16.5" customHeight="1">
      <c r="I689" s="21" t="str">
        <f t="shared" si="1"/>
        <v/>
      </c>
    </row>
    <row r="690" ht="16.5" customHeight="1">
      <c r="I690" s="21" t="str">
        <f t="shared" si="1"/>
        <v/>
      </c>
    </row>
    <row r="691" ht="16.5" customHeight="1">
      <c r="I691" s="21" t="str">
        <f t="shared" si="1"/>
        <v/>
      </c>
    </row>
    <row r="692" ht="16.5" customHeight="1">
      <c r="I692" s="21" t="str">
        <f t="shared" si="1"/>
        <v/>
      </c>
    </row>
    <row r="693" ht="16.5" customHeight="1">
      <c r="I693" s="21" t="str">
        <f t="shared" si="1"/>
        <v/>
      </c>
    </row>
    <row r="694" ht="16.5" customHeight="1">
      <c r="I694" s="21" t="str">
        <f t="shared" si="1"/>
        <v/>
      </c>
    </row>
    <row r="695" ht="16.5" customHeight="1">
      <c r="I695" s="21" t="str">
        <f t="shared" si="1"/>
        <v/>
      </c>
    </row>
    <row r="696" ht="16.5" customHeight="1">
      <c r="I696" s="21" t="str">
        <f t="shared" si="1"/>
        <v/>
      </c>
    </row>
    <row r="697" ht="16.5" customHeight="1">
      <c r="I697" s="21" t="str">
        <f t="shared" si="1"/>
        <v/>
      </c>
    </row>
    <row r="698" ht="16.5" customHeight="1">
      <c r="I698" s="21" t="str">
        <f t="shared" si="1"/>
        <v/>
      </c>
    </row>
    <row r="699" ht="16.5" customHeight="1">
      <c r="I699" s="21" t="str">
        <f t="shared" si="1"/>
        <v/>
      </c>
    </row>
    <row r="700" ht="16.5" customHeight="1">
      <c r="I700" s="21" t="str">
        <f t="shared" si="1"/>
        <v/>
      </c>
    </row>
    <row r="701" ht="16.5" customHeight="1">
      <c r="I701" s="21" t="str">
        <f t="shared" si="1"/>
        <v/>
      </c>
    </row>
    <row r="702" ht="16.5" customHeight="1">
      <c r="I702" s="21" t="str">
        <f t="shared" si="1"/>
        <v/>
      </c>
    </row>
    <row r="703" ht="16.5" customHeight="1">
      <c r="I703" s="21" t="str">
        <f t="shared" si="1"/>
        <v/>
      </c>
    </row>
    <row r="704" ht="16.5" customHeight="1">
      <c r="I704" s="21" t="str">
        <f t="shared" si="1"/>
        <v/>
      </c>
    </row>
    <row r="705" ht="16.5" customHeight="1">
      <c r="I705" s="21" t="str">
        <f t="shared" si="1"/>
        <v/>
      </c>
    </row>
    <row r="706" ht="16.5" customHeight="1">
      <c r="I706" s="21" t="str">
        <f t="shared" si="1"/>
        <v/>
      </c>
    </row>
    <row r="707" ht="16.5" customHeight="1">
      <c r="I707" s="21" t="str">
        <f t="shared" si="1"/>
        <v/>
      </c>
    </row>
    <row r="708" ht="16.5" customHeight="1">
      <c r="I708" s="21" t="str">
        <f t="shared" si="1"/>
        <v/>
      </c>
    </row>
    <row r="709" ht="16.5" customHeight="1">
      <c r="I709" s="21" t="str">
        <f t="shared" si="1"/>
        <v/>
      </c>
    </row>
    <row r="710" ht="16.5" customHeight="1">
      <c r="I710" s="21" t="str">
        <f t="shared" si="1"/>
        <v/>
      </c>
    </row>
    <row r="711" ht="16.5" customHeight="1">
      <c r="I711" s="21" t="str">
        <f t="shared" si="1"/>
        <v/>
      </c>
    </row>
    <row r="712" ht="16.5" customHeight="1">
      <c r="I712" s="21" t="str">
        <f t="shared" si="1"/>
        <v/>
      </c>
    </row>
    <row r="713" ht="16.5" customHeight="1">
      <c r="I713" s="21" t="str">
        <f t="shared" si="1"/>
        <v/>
      </c>
    </row>
    <row r="714" ht="16.5" customHeight="1">
      <c r="I714" s="21" t="str">
        <f t="shared" si="1"/>
        <v/>
      </c>
    </row>
    <row r="715" ht="16.5" customHeight="1">
      <c r="I715" s="21" t="str">
        <f t="shared" si="1"/>
        <v/>
      </c>
    </row>
    <row r="716" ht="16.5" customHeight="1">
      <c r="I716" s="21" t="str">
        <f t="shared" si="1"/>
        <v/>
      </c>
    </row>
    <row r="717" ht="16.5" customHeight="1">
      <c r="I717" s="21" t="str">
        <f t="shared" si="1"/>
        <v/>
      </c>
    </row>
    <row r="718" ht="16.5" customHeight="1">
      <c r="I718" s="21" t="str">
        <f t="shared" si="1"/>
        <v/>
      </c>
    </row>
    <row r="719" ht="16.5" customHeight="1">
      <c r="I719" s="21" t="str">
        <f t="shared" si="1"/>
        <v/>
      </c>
    </row>
    <row r="720" ht="16.5" customHeight="1">
      <c r="I720" s="21" t="str">
        <f t="shared" si="1"/>
        <v/>
      </c>
    </row>
    <row r="721" ht="16.5" customHeight="1">
      <c r="I721" s="21" t="str">
        <f t="shared" si="1"/>
        <v/>
      </c>
    </row>
    <row r="722" ht="16.5" customHeight="1">
      <c r="I722" s="21" t="str">
        <f t="shared" si="1"/>
        <v/>
      </c>
    </row>
    <row r="723" ht="16.5" customHeight="1">
      <c r="I723" s="21" t="str">
        <f t="shared" si="1"/>
        <v/>
      </c>
    </row>
    <row r="724" ht="16.5" customHeight="1">
      <c r="I724" s="21" t="str">
        <f t="shared" si="1"/>
        <v/>
      </c>
    </row>
    <row r="725" ht="16.5" customHeight="1">
      <c r="I725" s="21" t="str">
        <f t="shared" si="1"/>
        <v/>
      </c>
    </row>
    <row r="726" ht="16.5" customHeight="1">
      <c r="I726" s="21" t="str">
        <f t="shared" si="1"/>
        <v/>
      </c>
    </row>
    <row r="727" ht="16.5" customHeight="1">
      <c r="I727" s="21" t="str">
        <f t="shared" si="1"/>
        <v/>
      </c>
    </row>
    <row r="728" ht="16.5" customHeight="1">
      <c r="I728" s="21" t="str">
        <f t="shared" si="1"/>
        <v/>
      </c>
    </row>
    <row r="729" ht="16.5" customHeight="1">
      <c r="I729" s="21" t="str">
        <f t="shared" si="1"/>
        <v/>
      </c>
    </row>
    <row r="730" ht="16.5" customHeight="1">
      <c r="I730" s="21" t="str">
        <f t="shared" si="1"/>
        <v/>
      </c>
    </row>
    <row r="731" ht="16.5" customHeight="1">
      <c r="I731" s="21" t="str">
        <f t="shared" si="1"/>
        <v/>
      </c>
    </row>
    <row r="732" ht="16.5" customHeight="1">
      <c r="I732" s="21" t="str">
        <f t="shared" si="1"/>
        <v/>
      </c>
    </row>
    <row r="733" ht="16.5" customHeight="1">
      <c r="I733" s="21" t="str">
        <f t="shared" si="1"/>
        <v/>
      </c>
    </row>
    <row r="734" ht="16.5" customHeight="1">
      <c r="I734" s="21" t="str">
        <f t="shared" si="1"/>
        <v/>
      </c>
    </row>
    <row r="735" ht="16.5" customHeight="1">
      <c r="I735" s="21" t="str">
        <f t="shared" si="1"/>
        <v/>
      </c>
    </row>
    <row r="736" ht="16.5" customHeight="1">
      <c r="I736" s="21" t="str">
        <f t="shared" si="1"/>
        <v/>
      </c>
    </row>
    <row r="737" ht="16.5" customHeight="1">
      <c r="I737" s="21" t="str">
        <f t="shared" si="1"/>
        <v/>
      </c>
    </row>
    <row r="738" ht="16.5" customHeight="1">
      <c r="I738" s="21" t="str">
        <f t="shared" si="1"/>
        <v/>
      </c>
    </row>
    <row r="739" ht="16.5" customHeight="1">
      <c r="I739" s="21" t="str">
        <f t="shared" si="1"/>
        <v/>
      </c>
    </row>
    <row r="740" ht="16.5" customHeight="1">
      <c r="I740" s="21" t="str">
        <f t="shared" si="1"/>
        <v/>
      </c>
    </row>
    <row r="741" ht="16.5" customHeight="1">
      <c r="I741" s="21" t="str">
        <f t="shared" si="1"/>
        <v/>
      </c>
    </row>
    <row r="742" ht="16.5" customHeight="1">
      <c r="I742" s="21" t="str">
        <f t="shared" si="1"/>
        <v/>
      </c>
    </row>
    <row r="743" ht="16.5" customHeight="1">
      <c r="I743" s="21" t="str">
        <f t="shared" si="1"/>
        <v/>
      </c>
    </row>
    <row r="744" ht="16.5" customHeight="1">
      <c r="I744" s="21" t="str">
        <f t="shared" si="1"/>
        <v/>
      </c>
    </row>
    <row r="745" ht="16.5" customHeight="1">
      <c r="I745" s="21" t="str">
        <f t="shared" si="1"/>
        <v/>
      </c>
    </row>
    <row r="746" ht="16.5" customHeight="1">
      <c r="I746" s="21" t="str">
        <f t="shared" si="1"/>
        <v/>
      </c>
    </row>
    <row r="747" ht="16.5" customHeight="1">
      <c r="I747" s="21" t="str">
        <f t="shared" si="1"/>
        <v/>
      </c>
    </row>
    <row r="748" ht="16.5" customHeight="1">
      <c r="I748" s="21" t="str">
        <f t="shared" si="1"/>
        <v/>
      </c>
    </row>
    <row r="749" ht="16.5" customHeight="1">
      <c r="I749" s="21" t="str">
        <f t="shared" si="1"/>
        <v/>
      </c>
    </row>
    <row r="750" ht="16.5" customHeight="1">
      <c r="I750" s="21" t="str">
        <f t="shared" si="1"/>
        <v/>
      </c>
    </row>
    <row r="751" ht="16.5" customHeight="1">
      <c r="I751" s="21" t="str">
        <f t="shared" si="1"/>
        <v/>
      </c>
    </row>
    <row r="752" ht="16.5" customHeight="1">
      <c r="I752" s="21" t="str">
        <f t="shared" si="1"/>
        <v/>
      </c>
    </row>
    <row r="753" ht="16.5" customHeight="1">
      <c r="I753" s="21" t="str">
        <f t="shared" si="1"/>
        <v/>
      </c>
    </row>
    <row r="754" ht="16.5" customHeight="1">
      <c r="I754" s="21" t="str">
        <f t="shared" si="1"/>
        <v/>
      </c>
    </row>
    <row r="755" ht="16.5" customHeight="1">
      <c r="I755" s="21" t="str">
        <f t="shared" si="1"/>
        <v/>
      </c>
    </row>
    <row r="756" ht="16.5" customHeight="1">
      <c r="I756" s="21" t="str">
        <f t="shared" si="1"/>
        <v/>
      </c>
    </row>
    <row r="757" ht="16.5" customHeight="1">
      <c r="I757" s="21" t="str">
        <f t="shared" si="1"/>
        <v/>
      </c>
    </row>
    <row r="758" ht="16.5" customHeight="1">
      <c r="I758" s="21" t="str">
        <f t="shared" si="1"/>
        <v/>
      </c>
    </row>
    <row r="759" ht="16.5" customHeight="1">
      <c r="I759" s="21" t="str">
        <f t="shared" si="1"/>
        <v/>
      </c>
    </row>
    <row r="760" ht="16.5" customHeight="1">
      <c r="I760" s="21" t="str">
        <f t="shared" si="1"/>
        <v/>
      </c>
    </row>
    <row r="761" ht="16.5" customHeight="1">
      <c r="I761" s="21" t="str">
        <f t="shared" si="1"/>
        <v/>
      </c>
    </row>
    <row r="762" ht="16.5" customHeight="1">
      <c r="I762" s="21" t="str">
        <f t="shared" si="1"/>
        <v/>
      </c>
    </row>
    <row r="763" ht="16.5" customHeight="1">
      <c r="I763" s="21" t="str">
        <f t="shared" si="1"/>
        <v/>
      </c>
    </row>
    <row r="764" ht="16.5" customHeight="1">
      <c r="I764" s="21" t="str">
        <f t="shared" si="1"/>
        <v/>
      </c>
    </row>
    <row r="765" ht="16.5" customHeight="1">
      <c r="I765" s="21" t="str">
        <f t="shared" si="1"/>
        <v/>
      </c>
    </row>
    <row r="766" ht="16.5" customHeight="1">
      <c r="I766" s="21" t="str">
        <f t="shared" si="1"/>
        <v/>
      </c>
    </row>
    <row r="767" ht="16.5" customHeight="1">
      <c r="I767" s="21" t="str">
        <f t="shared" si="1"/>
        <v/>
      </c>
    </row>
    <row r="768" ht="16.5" customHeight="1">
      <c r="I768" s="21" t="str">
        <f t="shared" si="1"/>
        <v/>
      </c>
    </row>
    <row r="769" ht="16.5" customHeight="1">
      <c r="I769" s="21" t="str">
        <f t="shared" si="1"/>
        <v/>
      </c>
    </row>
    <row r="770" ht="16.5" customHeight="1">
      <c r="I770" s="21" t="str">
        <f t="shared" si="1"/>
        <v/>
      </c>
    </row>
    <row r="771" ht="16.5" customHeight="1">
      <c r="I771" s="21" t="str">
        <f t="shared" si="1"/>
        <v/>
      </c>
    </row>
    <row r="772" ht="16.5" customHeight="1">
      <c r="I772" s="21" t="str">
        <f t="shared" si="1"/>
        <v/>
      </c>
    </row>
    <row r="773" ht="16.5" customHeight="1">
      <c r="I773" s="21" t="str">
        <f t="shared" si="1"/>
        <v/>
      </c>
    </row>
    <row r="774" ht="16.5" customHeight="1">
      <c r="I774" s="21" t="str">
        <f t="shared" si="1"/>
        <v/>
      </c>
    </row>
    <row r="775" ht="16.5" customHeight="1">
      <c r="I775" s="21" t="str">
        <f t="shared" si="1"/>
        <v/>
      </c>
    </row>
    <row r="776" ht="16.5" customHeight="1">
      <c r="I776" s="21" t="str">
        <f t="shared" si="1"/>
        <v/>
      </c>
    </row>
    <row r="777" ht="16.5" customHeight="1">
      <c r="I777" s="21" t="str">
        <f t="shared" si="1"/>
        <v/>
      </c>
    </row>
    <row r="778" ht="16.5" customHeight="1">
      <c r="I778" s="21" t="str">
        <f t="shared" si="1"/>
        <v/>
      </c>
    </row>
    <row r="779" ht="16.5" customHeight="1">
      <c r="I779" s="21" t="str">
        <f t="shared" si="1"/>
        <v/>
      </c>
    </row>
    <row r="780" ht="16.5" customHeight="1">
      <c r="I780" s="21" t="str">
        <f t="shared" si="1"/>
        <v/>
      </c>
    </row>
    <row r="781" ht="16.5" customHeight="1">
      <c r="I781" s="21" t="str">
        <f t="shared" si="1"/>
        <v/>
      </c>
    </row>
    <row r="782" ht="16.5" customHeight="1">
      <c r="I782" s="21" t="str">
        <f t="shared" si="1"/>
        <v/>
      </c>
    </row>
    <row r="783" ht="16.5" customHeight="1">
      <c r="I783" s="21" t="str">
        <f t="shared" si="1"/>
        <v/>
      </c>
    </row>
    <row r="784" ht="16.5" customHeight="1">
      <c r="I784" s="21" t="str">
        <f t="shared" si="1"/>
        <v/>
      </c>
    </row>
    <row r="785" ht="16.5" customHeight="1">
      <c r="I785" s="21" t="str">
        <f t="shared" si="1"/>
        <v/>
      </c>
    </row>
    <row r="786" ht="16.5" customHeight="1">
      <c r="I786" s="21" t="str">
        <f t="shared" si="1"/>
        <v/>
      </c>
    </row>
    <row r="787" ht="16.5" customHeight="1">
      <c r="I787" s="21" t="str">
        <f t="shared" si="1"/>
        <v/>
      </c>
    </row>
    <row r="788" ht="16.5" customHeight="1">
      <c r="I788" s="21" t="str">
        <f t="shared" si="1"/>
        <v/>
      </c>
    </row>
    <row r="789" ht="16.5" customHeight="1">
      <c r="I789" s="21" t="str">
        <f t="shared" si="1"/>
        <v/>
      </c>
    </row>
    <row r="790" ht="16.5" customHeight="1">
      <c r="I790" s="21" t="str">
        <f t="shared" si="1"/>
        <v/>
      </c>
    </row>
    <row r="791" ht="16.5" customHeight="1">
      <c r="I791" s="21" t="str">
        <f t="shared" si="1"/>
        <v/>
      </c>
    </row>
    <row r="792" ht="16.5" customHeight="1">
      <c r="I792" s="21" t="str">
        <f t="shared" si="1"/>
        <v/>
      </c>
    </row>
    <row r="793" ht="16.5" customHeight="1">
      <c r="I793" s="21" t="str">
        <f t="shared" si="1"/>
        <v/>
      </c>
    </row>
    <row r="794" ht="16.5" customHeight="1">
      <c r="I794" s="21" t="str">
        <f t="shared" si="1"/>
        <v/>
      </c>
    </row>
    <row r="795" ht="16.5" customHeight="1">
      <c r="I795" s="21" t="str">
        <f t="shared" si="1"/>
        <v/>
      </c>
    </row>
    <row r="796" ht="16.5" customHeight="1">
      <c r="I796" s="21" t="str">
        <f t="shared" si="1"/>
        <v/>
      </c>
    </row>
    <row r="797">
      <c r="I797" s="21" t="str">
        <f t="shared" si="1"/>
        <v/>
      </c>
    </row>
    <row r="798">
      <c r="I798" s="21" t="str">
        <f t="shared" si="1"/>
        <v/>
      </c>
    </row>
    <row r="799">
      <c r="I799" s="21" t="str">
        <f t="shared" si="1"/>
        <v/>
      </c>
    </row>
    <row r="800">
      <c r="I800" s="21" t="str">
        <f t="shared" si="1"/>
        <v/>
      </c>
    </row>
    <row r="801">
      <c r="I801" s="21" t="str">
        <f t="shared" si="1"/>
        <v/>
      </c>
    </row>
    <row r="802">
      <c r="I802" s="21" t="str">
        <f t="shared" si="1"/>
        <v/>
      </c>
    </row>
    <row r="803">
      <c r="I803" s="21" t="str">
        <f t="shared" si="1"/>
        <v/>
      </c>
    </row>
    <row r="804">
      <c r="I804" s="21" t="str">
        <f t="shared" si="1"/>
        <v/>
      </c>
    </row>
    <row r="805">
      <c r="I805" s="21" t="str">
        <f t="shared" si="1"/>
        <v/>
      </c>
    </row>
    <row r="806">
      <c r="I806" s="21" t="str">
        <f t="shared" si="1"/>
        <v/>
      </c>
    </row>
    <row r="807">
      <c r="I807" s="21" t="str">
        <f t="shared" si="1"/>
        <v/>
      </c>
    </row>
    <row r="808">
      <c r="I808" s="21" t="str">
        <f t="shared" si="1"/>
        <v/>
      </c>
    </row>
    <row r="809">
      <c r="I809" s="21" t="str">
        <f t="shared" si="1"/>
        <v/>
      </c>
    </row>
    <row r="810">
      <c r="I810" s="21" t="str">
        <f t="shared" si="1"/>
        <v/>
      </c>
    </row>
    <row r="811">
      <c r="I811" s="21" t="str">
        <f t="shared" si="1"/>
        <v/>
      </c>
    </row>
    <row r="812">
      <c r="I812" s="21" t="str">
        <f t="shared" si="1"/>
        <v/>
      </c>
    </row>
    <row r="813">
      <c r="I813" s="21" t="str">
        <f t="shared" si="1"/>
        <v/>
      </c>
    </row>
    <row r="814">
      <c r="I814" s="21" t="str">
        <f t="shared" si="1"/>
        <v/>
      </c>
    </row>
    <row r="815">
      <c r="I815" s="21" t="str">
        <f t="shared" si="1"/>
        <v/>
      </c>
    </row>
    <row r="816">
      <c r="I816" s="21" t="str">
        <f t="shared" si="1"/>
        <v/>
      </c>
    </row>
    <row r="817">
      <c r="I817" s="21" t="str">
        <f t="shared" si="1"/>
        <v/>
      </c>
    </row>
    <row r="818">
      <c r="I818" s="21" t="str">
        <f t="shared" si="1"/>
        <v/>
      </c>
    </row>
    <row r="819">
      <c r="I819" s="21" t="str">
        <f t="shared" si="1"/>
        <v/>
      </c>
    </row>
    <row r="820">
      <c r="I820" s="21" t="str">
        <f t="shared" si="1"/>
        <v/>
      </c>
    </row>
    <row r="821">
      <c r="I821" s="21" t="str">
        <f t="shared" si="1"/>
        <v/>
      </c>
    </row>
    <row r="822">
      <c r="I822" s="21" t="str">
        <f t="shared" si="1"/>
        <v/>
      </c>
    </row>
    <row r="823">
      <c r="I823" s="21" t="str">
        <f t="shared" si="1"/>
        <v/>
      </c>
    </row>
    <row r="824">
      <c r="I824" s="21" t="str">
        <f t="shared" si="1"/>
        <v/>
      </c>
    </row>
    <row r="825">
      <c r="I825" s="21" t="str">
        <f t="shared" si="1"/>
        <v/>
      </c>
    </row>
    <row r="826">
      <c r="I826" s="21" t="str">
        <f t="shared" si="1"/>
        <v/>
      </c>
    </row>
    <row r="827">
      <c r="I827" s="21" t="str">
        <f t="shared" si="1"/>
        <v/>
      </c>
    </row>
    <row r="828">
      <c r="I828" s="21" t="str">
        <f t="shared" si="1"/>
        <v/>
      </c>
    </row>
    <row r="829">
      <c r="I829" s="21" t="str">
        <f t="shared" si="1"/>
        <v/>
      </c>
    </row>
    <row r="830">
      <c r="I830" s="21" t="str">
        <f t="shared" si="1"/>
        <v/>
      </c>
    </row>
    <row r="831">
      <c r="I831" s="21" t="str">
        <f t="shared" si="1"/>
        <v/>
      </c>
    </row>
    <row r="832">
      <c r="I832" s="21" t="str">
        <f t="shared" si="1"/>
        <v/>
      </c>
    </row>
    <row r="833">
      <c r="I833" s="21" t="str">
        <f t="shared" si="1"/>
        <v/>
      </c>
    </row>
    <row r="834">
      <c r="I834" s="21" t="str">
        <f t="shared" si="1"/>
        <v/>
      </c>
    </row>
    <row r="835">
      <c r="I835" s="21" t="str">
        <f t="shared" si="1"/>
        <v/>
      </c>
    </row>
    <row r="836">
      <c r="I836" s="21" t="str">
        <f t="shared" si="1"/>
        <v/>
      </c>
    </row>
    <row r="837">
      <c r="I837" s="21" t="str">
        <f t="shared" si="1"/>
        <v/>
      </c>
    </row>
    <row r="838">
      <c r="I838" s="21" t="str">
        <f t="shared" si="1"/>
        <v/>
      </c>
    </row>
    <row r="839">
      <c r="I839" s="21" t="str">
        <f t="shared" si="1"/>
        <v/>
      </c>
    </row>
    <row r="840">
      <c r="I840" s="21" t="str">
        <f t="shared" si="1"/>
        <v/>
      </c>
    </row>
    <row r="841">
      <c r="I841" s="21" t="str">
        <f t="shared" si="1"/>
        <v/>
      </c>
    </row>
    <row r="842">
      <c r="I842" s="21" t="str">
        <f t="shared" si="1"/>
        <v/>
      </c>
    </row>
    <row r="843">
      <c r="I843" s="21" t="str">
        <f t="shared" si="1"/>
        <v/>
      </c>
    </row>
    <row r="844">
      <c r="I844" s="21" t="str">
        <f t="shared" si="1"/>
        <v/>
      </c>
    </row>
    <row r="845">
      <c r="I845" s="21" t="str">
        <f t="shared" si="1"/>
        <v/>
      </c>
    </row>
    <row r="846">
      <c r="I846" s="21" t="str">
        <f t="shared" si="1"/>
        <v/>
      </c>
    </row>
    <row r="847">
      <c r="I847" s="21" t="str">
        <f t="shared" si="1"/>
        <v/>
      </c>
    </row>
    <row r="848">
      <c r="I848" s="21" t="str">
        <f t="shared" si="1"/>
        <v/>
      </c>
    </row>
    <row r="849">
      <c r="I849" s="21" t="str">
        <f t="shared" si="1"/>
        <v/>
      </c>
    </row>
    <row r="850">
      <c r="I850" s="21" t="str">
        <f t="shared" si="1"/>
        <v/>
      </c>
    </row>
    <row r="851">
      <c r="I851" s="21" t="str">
        <f t="shared" si="1"/>
        <v/>
      </c>
    </row>
    <row r="852">
      <c r="I852" s="21" t="str">
        <f t="shared" si="1"/>
        <v/>
      </c>
    </row>
    <row r="853">
      <c r="I853" s="21" t="str">
        <f t="shared" si="1"/>
        <v/>
      </c>
    </row>
    <row r="854">
      <c r="I854" s="21" t="str">
        <f t="shared" si="1"/>
        <v/>
      </c>
    </row>
    <row r="855">
      <c r="I855" s="21" t="str">
        <f t="shared" si="1"/>
        <v/>
      </c>
    </row>
    <row r="856">
      <c r="I856" s="21" t="str">
        <f t="shared" si="1"/>
        <v/>
      </c>
    </row>
    <row r="857">
      <c r="I857" s="21" t="str">
        <f t="shared" si="1"/>
        <v/>
      </c>
    </row>
    <row r="858">
      <c r="I858" s="21" t="str">
        <f t="shared" si="1"/>
        <v/>
      </c>
    </row>
    <row r="859">
      <c r="I859" s="21" t="str">
        <f t="shared" si="1"/>
        <v/>
      </c>
    </row>
    <row r="860">
      <c r="I860" s="21" t="str">
        <f t="shared" si="1"/>
        <v/>
      </c>
    </row>
    <row r="861">
      <c r="I861" s="21" t="str">
        <f t="shared" si="1"/>
        <v/>
      </c>
    </row>
    <row r="862">
      <c r="I862" s="21" t="str">
        <f t="shared" si="1"/>
        <v/>
      </c>
    </row>
    <row r="863">
      <c r="I863" s="21" t="str">
        <f t="shared" si="1"/>
        <v/>
      </c>
    </row>
    <row r="864">
      <c r="I864" s="21" t="str">
        <f t="shared" si="1"/>
        <v/>
      </c>
    </row>
    <row r="865">
      <c r="I865" s="21" t="str">
        <f t="shared" si="1"/>
        <v/>
      </c>
    </row>
    <row r="866">
      <c r="I866" s="21" t="str">
        <f t="shared" si="1"/>
        <v/>
      </c>
    </row>
    <row r="867">
      <c r="I867" s="21" t="str">
        <f t="shared" si="1"/>
        <v/>
      </c>
    </row>
    <row r="868">
      <c r="I868" s="21" t="str">
        <f t="shared" si="1"/>
        <v/>
      </c>
    </row>
    <row r="869">
      <c r="I869" s="21" t="str">
        <f t="shared" si="1"/>
        <v/>
      </c>
    </row>
    <row r="870">
      <c r="I870" s="21" t="str">
        <f t="shared" si="1"/>
        <v/>
      </c>
    </row>
    <row r="871">
      <c r="I871" s="21" t="str">
        <f t="shared" si="1"/>
        <v/>
      </c>
    </row>
    <row r="872">
      <c r="I872" s="21" t="str">
        <f t="shared" si="1"/>
        <v/>
      </c>
    </row>
    <row r="873">
      <c r="I873" s="21" t="str">
        <f t="shared" si="1"/>
        <v/>
      </c>
    </row>
    <row r="874">
      <c r="I874" s="21" t="str">
        <f t="shared" si="1"/>
        <v/>
      </c>
    </row>
    <row r="875">
      <c r="I875" s="21" t="str">
        <f t="shared" si="1"/>
        <v/>
      </c>
    </row>
    <row r="876">
      <c r="I876" s="21" t="str">
        <f t="shared" si="1"/>
        <v/>
      </c>
    </row>
    <row r="877">
      <c r="I877" s="21" t="str">
        <f t="shared" si="1"/>
        <v/>
      </c>
    </row>
    <row r="878">
      <c r="I878" s="21" t="str">
        <f t="shared" si="1"/>
        <v/>
      </c>
    </row>
    <row r="879">
      <c r="I879" s="21" t="str">
        <f t="shared" si="1"/>
        <v/>
      </c>
    </row>
    <row r="880">
      <c r="I880" s="21" t="str">
        <f t="shared" si="1"/>
        <v/>
      </c>
    </row>
    <row r="881">
      <c r="I881" s="21" t="str">
        <f t="shared" si="1"/>
        <v/>
      </c>
    </row>
    <row r="882">
      <c r="I882" s="21" t="str">
        <f t="shared" si="1"/>
        <v/>
      </c>
    </row>
    <row r="883">
      <c r="I883" s="21" t="str">
        <f t="shared" si="1"/>
        <v/>
      </c>
    </row>
    <row r="884">
      <c r="I884" s="21" t="str">
        <f t="shared" si="1"/>
        <v/>
      </c>
    </row>
    <row r="885">
      <c r="I885" s="21" t="str">
        <f t="shared" si="1"/>
        <v/>
      </c>
    </row>
    <row r="886">
      <c r="I886" s="21" t="str">
        <f t="shared" si="1"/>
        <v/>
      </c>
    </row>
    <row r="887">
      <c r="I887" s="21" t="str">
        <f t="shared" si="1"/>
        <v/>
      </c>
    </row>
    <row r="888">
      <c r="I888" s="21" t="str">
        <f t="shared" si="1"/>
        <v/>
      </c>
    </row>
    <row r="889">
      <c r="I889" s="21" t="str">
        <f t="shared" si="1"/>
        <v/>
      </c>
    </row>
    <row r="890">
      <c r="I890" s="21" t="str">
        <f t="shared" si="1"/>
        <v/>
      </c>
    </row>
    <row r="891">
      <c r="I891" s="21" t="str">
        <f t="shared" si="1"/>
        <v/>
      </c>
    </row>
    <row r="892">
      <c r="I892" s="21" t="str">
        <f t="shared" si="1"/>
        <v/>
      </c>
    </row>
    <row r="893">
      <c r="I893" s="21" t="str">
        <f t="shared" si="1"/>
        <v/>
      </c>
    </row>
    <row r="894">
      <c r="I894" s="21" t="str">
        <f t="shared" si="1"/>
        <v/>
      </c>
    </row>
    <row r="895">
      <c r="I895" s="21" t="str">
        <f t="shared" si="1"/>
        <v/>
      </c>
    </row>
    <row r="896">
      <c r="I896" s="21" t="str">
        <f t="shared" si="1"/>
        <v/>
      </c>
    </row>
    <row r="897">
      <c r="I897" s="21" t="str">
        <f t="shared" si="1"/>
        <v/>
      </c>
    </row>
    <row r="898">
      <c r="I898" s="21" t="str">
        <f t="shared" si="1"/>
        <v/>
      </c>
    </row>
    <row r="899">
      <c r="I899" s="21" t="str">
        <f t="shared" si="1"/>
        <v/>
      </c>
    </row>
    <row r="900">
      <c r="I900" s="21" t="str">
        <f t="shared" si="1"/>
        <v/>
      </c>
    </row>
    <row r="901">
      <c r="I901" s="21" t="str">
        <f t="shared" si="1"/>
        <v/>
      </c>
    </row>
    <row r="902">
      <c r="I902" s="21" t="str">
        <f t="shared" si="1"/>
        <v/>
      </c>
    </row>
    <row r="903">
      <c r="I903" s="21" t="str">
        <f t="shared" si="1"/>
        <v/>
      </c>
    </row>
    <row r="904">
      <c r="I904" s="21" t="str">
        <f t="shared" si="1"/>
        <v/>
      </c>
    </row>
    <row r="905">
      <c r="I905" s="21" t="str">
        <f t="shared" si="1"/>
        <v/>
      </c>
    </row>
    <row r="906">
      <c r="I906" s="21" t="str">
        <f t="shared" si="1"/>
        <v/>
      </c>
    </row>
    <row r="907">
      <c r="I907" s="21" t="str">
        <f t="shared" si="1"/>
        <v/>
      </c>
    </row>
    <row r="908">
      <c r="I908" s="21" t="str">
        <f t="shared" si="1"/>
        <v/>
      </c>
    </row>
    <row r="909">
      <c r="I909" s="21" t="str">
        <f t="shared" si="1"/>
        <v/>
      </c>
    </row>
    <row r="910">
      <c r="I910" s="21" t="str">
        <f t="shared" si="1"/>
        <v/>
      </c>
    </row>
    <row r="911">
      <c r="I911" s="21" t="str">
        <f t="shared" si="1"/>
        <v/>
      </c>
    </row>
    <row r="912">
      <c r="I912" s="21" t="str">
        <f t="shared" si="1"/>
        <v/>
      </c>
    </row>
    <row r="913">
      <c r="I913" s="21" t="str">
        <f t="shared" si="1"/>
        <v/>
      </c>
    </row>
    <row r="914">
      <c r="I914" s="21" t="str">
        <f t="shared" si="1"/>
        <v/>
      </c>
    </row>
    <row r="915">
      <c r="I915" s="21" t="str">
        <f t="shared" si="1"/>
        <v/>
      </c>
    </row>
    <row r="916">
      <c r="I916" s="21" t="str">
        <f t="shared" si="1"/>
        <v/>
      </c>
    </row>
    <row r="917">
      <c r="I917" s="21" t="str">
        <f t="shared" si="1"/>
        <v/>
      </c>
    </row>
    <row r="918">
      <c r="I918" s="21" t="str">
        <f t="shared" si="1"/>
        <v/>
      </c>
    </row>
    <row r="919">
      <c r="I919" s="21" t="str">
        <f t="shared" si="1"/>
        <v/>
      </c>
    </row>
    <row r="920">
      <c r="I920" s="21" t="str">
        <f t="shared" si="1"/>
        <v/>
      </c>
    </row>
    <row r="921">
      <c r="I921" s="21" t="str">
        <f t="shared" si="1"/>
        <v/>
      </c>
    </row>
    <row r="922">
      <c r="I922" s="21" t="str">
        <f t="shared" si="1"/>
        <v/>
      </c>
    </row>
    <row r="923">
      <c r="I923" s="21" t="str">
        <f t="shared" si="1"/>
        <v/>
      </c>
    </row>
    <row r="924">
      <c r="I924" s="21" t="str">
        <f t="shared" si="1"/>
        <v/>
      </c>
    </row>
    <row r="925">
      <c r="I925" s="21" t="str">
        <f t="shared" si="1"/>
        <v/>
      </c>
    </row>
    <row r="926">
      <c r="I926" s="21" t="str">
        <f t="shared" si="1"/>
        <v/>
      </c>
    </row>
    <row r="927">
      <c r="I927" s="21" t="str">
        <f t="shared" si="1"/>
        <v/>
      </c>
    </row>
    <row r="928">
      <c r="I928" s="21" t="str">
        <f t="shared" si="1"/>
        <v/>
      </c>
    </row>
    <row r="929">
      <c r="I929" s="21" t="str">
        <f t="shared" si="1"/>
        <v/>
      </c>
    </row>
    <row r="930">
      <c r="I930" s="21" t="str">
        <f t="shared" si="1"/>
        <v/>
      </c>
    </row>
    <row r="931">
      <c r="I931" s="21" t="str">
        <f t="shared" si="1"/>
        <v/>
      </c>
    </row>
    <row r="932">
      <c r="I932" s="21" t="str">
        <f t="shared" si="1"/>
        <v/>
      </c>
    </row>
    <row r="933">
      <c r="I933" s="21" t="str">
        <f t="shared" si="1"/>
        <v/>
      </c>
    </row>
    <row r="934">
      <c r="I934" s="21" t="str">
        <f t="shared" si="1"/>
        <v/>
      </c>
    </row>
    <row r="935">
      <c r="I935" s="21" t="str">
        <f t="shared" si="1"/>
        <v/>
      </c>
    </row>
    <row r="936">
      <c r="I936" s="21" t="str">
        <f t="shared" si="1"/>
        <v/>
      </c>
    </row>
    <row r="937">
      <c r="I937" s="21" t="str">
        <f t="shared" si="1"/>
        <v/>
      </c>
    </row>
    <row r="938">
      <c r="I938" s="21" t="str">
        <f t="shared" si="1"/>
        <v/>
      </c>
    </row>
    <row r="939">
      <c r="I939" s="21" t="str">
        <f t="shared" si="1"/>
        <v/>
      </c>
    </row>
    <row r="940">
      <c r="I940" s="21" t="str">
        <f t="shared" si="1"/>
        <v/>
      </c>
    </row>
    <row r="941">
      <c r="I941" s="21" t="str">
        <f t="shared" si="1"/>
        <v/>
      </c>
    </row>
    <row r="942">
      <c r="I942" s="21" t="str">
        <f t="shared" si="1"/>
        <v/>
      </c>
    </row>
    <row r="943">
      <c r="I943" s="21" t="str">
        <f t="shared" si="1"/>
        <v/>
      </c>
    </row>
    <row r="944">
      <c r="I944" s="21" t="str">
        <f t="shared" si="1"/>
        <v/>
      </c>
    </row>
    <row r="945">
      <c r="I945" s="21" t="str">
        <f t="shared" si="1"/>
        <v/>
      </c>
    </row>
    <row r="946">
      <c r="I946" s="21" t="str">
        <f t="shared" si="1"/>
        <v/>
      </c>
    </row>
    <row r="947">
      <c r="I947" s="21" t="str">
        <f t="shared" si="1"/>
        <v/>
      </c>
    </row>
    <row r="948">
      <c r="I948" s="21" t="str">
        <f t="shared" si="1"/>
        <v/>
      </c>
    </row>
    <row r="949">
      <c r="I949" s="21" t="str">
        <f t="shared" si="1"/>
        <v/>
      </c>
    </row>
    <row r="950">
      <c r="I950" s="21" t="str">
        <f t="shared" si="1"/>
        <v/>
      </c>
    </row>
    <row r="951">
      <c r="I951" s="21" t="str">
        <f t="shared" si="1"/>
        <v/>
      </c>
    </row>
    <row r="952">
      <c r="I952" s="21" t="str">
        <f t="shared" si="1"/>
        <v/>
      </c>
    </row>
    <row r="953">
      <c r="I953" s="21" t="str">
        <f t="shared" si="1"/>
        <v/>
      </c>
    </row>
    <row r="954">
      <c r="I954" s="21" t="str">
        <f t="shared" si="1"/>
        <v/>
      </c>
    </row>
    <row r="955">
      <c r="I955" s="21" t="str">
        <f t="shared" si="1"/>
        <v/>
      </c>
    </row>
    <row r="956">
      <c r="I956" s="21" t="str">
        <f t="shared" si="1"/>
        <v/>
      </c>
    </row>
    <row r="957">
      <c r="I957" s="21" t="str">
        <f t="shared" si="1"/>
        <v/>
      </c>
    </row>
    <row r="958">
      <c r="I958" s="21" t="str">
        <f t="shared" si="1"/>
        <v/>
      </c>
    </row>
    <row r="959">
      <c r="I959" s="21" t="str">
        <f t="shared" si="1"/>
        <v/>
      </c>
    </row>
    <row r="960">
      <c r="I960" s="21" t="str">
        <f t="shared" si="1"/>
        <v/>
      </c>
    </row>
    <row r="961">
      <c r="I961" s="21" t="str">
        <f t="shared" si="1"/>
        <v/>
      </c>
    </row>
    <row r="962">
      <c r="I962" s="21" t="str">
        <f t="shared" si="1"/>
        <v/>
      </c>
    </row>
    <row r="963">
      <c r="I963" s="21" t="str">
        <f t="shared" si="1"/>
        <v/>
      </c>
    </row>
    <row r="964">
      <c r="I964" s="21" t="str">
        <f t="shared" si="1"/>
        <v/>
      </c>
    </row>
    <row r="965">
      <c r="I965" s="21" t="str">
        <f t="shared" si="1"/>
        <v/>
      </c>
    </row>
    <row r="966">
      <c r="I966" s="21" t="str">
        <f t="shared" si="1"/>
        <v/>
      </c>
    </row>
    <row r="967">
      <c r="I967" s="21" t="str">
        <f t="shared" si="1"/>
        <v/>
      </c>
    </row>
    <row r="968">
      <c r="I968" s="21" t="str">
        <f t="shared" si="1"/>
        <v/>
      </c>
    </row>
    <row r="969">
      <c r="I969" s="21" t="str">
        <f t="shared" si="1"/>
        <v/>
      </c>
    </row>
    <row r="970">
      <c r="I970" s="21" t="str">
        <f t="shared" si="1"/>
        <v/>
      </c>
    </row>
    <row r="971">
      <c r="I971" s="21" t="str">
        <f t="shared" si="1"/>
        <v/>
      </c>
    </row>
    <row r="972">
      <c r="I972" s="21" t="str">
        <f t="shared" si="1"/>
        <v/>
      </c>
    </row>
    <row r="973">
      <c r="I973" s="21" t="str">
        <f t="shared" si="1"/>
        <v/>
      </c>
    </row>
    <row r="974">
      <c r="I974" s="21" t="str">
        <f t="shared" si="1"/>
        <v/>
      </c>
    </row>
    <row r="975">
      <c r="I975" s="21" t="str">
        <f t="shared" si="1"/>
        <v/>
      </c>
    </row>
    <row r="976">
      <c r="I976" s="21" t="str">
        <f t="shared" si="1"/>
        <v/>
      </c>
    </row>
    <row r="977">
      <c r="I977" s="21" t="str">
        <f t="shared" si="1"/>
        <v/>
      </c>
    </row>
    <row r="978">
      <c r="I978" s="21" t="str">
        <f t="shared" si="1"/>
        <v/>
      </c>
    </row>
    <row r="979">
      <c r="I979" s="21" t="str">
        <f t="shared" si="1"/>
        <v/>
      </c>
    </row>
    <row r="980">
      <c r="I980" s="21" t="str">
        <f t="shared" si="1"/>
        <v/>
      </c>
    </row>
    <row r="981">
      <c r="I981" s="21" t="str">
        <f t="shared" si="1"/>
        <v/>
      </c>
    </row>
    <row r="982">
      <c r="I982" s="21" t="str">
        <f t="shared" si="1"/>
        <v/>
      </c>
    </row>
    <row r="983">
      <c r="I983" s="21" t="str">
        <f t="shared" si="1"/>
        <v/>
      </c>
    </row>
    <row r="984">
      <c r="I984" s="21" t="str">
        <f t="shared" si="1"/>
        <v/>
      </c>
    </row>
    <row r="985">
      <c r="I985" s="21" t="str">
        <f t="shared" si="1"/>
        <v/>
      </c>
    </row>
    <row r="986">
      <c r="I986" s="21" t="str">
        <f t="shared" si="1"/>
        <v/>
      </c>
    </row>
    <row r="987">
      <c r="I987" s="21" t="str">
        <f t="shared" si="1"/>
        <v/>
      </c>
    </row>
    <row r="988">
      <c r="I988" s="21" t="str">
        <f t="shared" si="1"/>
        <v/>
      </c>
    </row>
    <row r="989">
      <c r="I989" s="21" t="str">
        <f t="shared" si="1"/>
        <v/>
      </c>
    </row>
    <row r="990">
      <c r="I990" s="21" t="str">
        <f t="shared" si="1"/>
        <v/>
      </c>
    </row>
    <row r="991">
      <c r="I991" s="21" t="str">
        <f t="shared" si="1"/>
        <v/>
      </c>
    </row>
    <row r="992">
      <c r="I992" s="21" t="str">
        <f t="shared" si="1"/>
        <v/>
      </c>
    </row>
    <row r="993">
      <c r="I993" s="21" t="str">
        <f t="shared" si="1"/>
        <v/>
      </c>
    </row>
    <row r="994">
      <c r="I994" s="21" t="str">
        <f t="shared" si="1"/>
        <v/>
      </c>
    </row>
    <row r="995">
      <c r="I995" s="21" t="str">
        <f t="shared" si="1"/>
        <v/>
      </c>
    </row>
    <row r="996">
      <c r="I996" s="21" t="str">
        <f t="shared" si="1"/>
        <v/>
      </c>
    </row>
    <row r="997">
      <c r="I997" s="21" t="str">
        <f t="shared" si="1"/>
        <v/>
      </c>
    </row>
    <row r="998">
      <c r="I998" s="21" t="str">
        <f t="shared" si="1"/>
        <v/>
      </c>
    </row>
    <row r="999">
      <c r="I999" s="21" t="str">
        <f t="shared" si="1"/>
        <v/>
      </c>
    </row>
    <row r="1000">
      <c r="I1000" s="21" t="str">
        <f t="shared" si="1"/>
        <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0"/>
  <cols>
    <col customWidth="1" min="1" max="1" width="20.75"/>
    <col customWidth="1" min="2" max="2" width="13.88"/>
    <col customWidth="1" min="3" max="5" width="30.75"/>
    <col customWidth="1" min="6" max="6" width="32.75"/>
    <col customWidth="1" min="7" max="7" width="29.5"/>
    <col customWidth="1" min="8" max="8" width="25.88"/>
    <col customWidth="1" hidden="1" min="9" max="9" width="38.38"/>
    <col customWidth="1" hidden="1" min="10" max="10" width="38.25"/>
    <col customWidth="1" min="11" max="11" width="22.63"/>
    <col customWidth="1" min="12" max="21" width="7.88"/>
    <col customWidth="1" hidden="1" min="22" max="31" width="7.88"/>
    <col customWidth="1" hidden="1" min="32" max="32" width="40.75"/>
    <col customWidth="1" hidden="1" min="33" max="41" width="7.88"/>
    <col customWidth="1" min="42" max="42" width="78.25"/>
    <col customWidth="1" min="43" max="45" width="7.88"/>
  </cols>
  <sheetData>
    <row r="1">
      <c r="A1" s="30"/>
      <c r="B1" s="30"/>
      <c r="C1" s="30"/>
      <c r="D1" s="30"/>
      <c r="E1" s="31"/>
      <c r="F1" s="31"/>
      <c r="G1" s="31"/>
      <c r="H1" s="31"/>
      <c r="I1" s="31"/>
      <c r="J1" s="31"/>
      <c r="K1" s="13"/>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7"/>
      <c r="AQ1" s="15"/>
      <c r="AR1" s="15"/>
      <c r="AS1" s="15"/>
    </row>
    <row r="2">
      <c r="A2" s="8" t="s">
        <v>2</v>
      </c>
      <c r="B2" s="8" t="s">
        <v>3</v>
      </c>
      <c r="C2" s="8" t="s">
        <v>0</v>
      </c>
      <c r="D2" s="8" t="s">
        <v>1</v>
      </c>
      <c r="E2" s="9" t="s">
        <v>13</v>
      </c>
      <c r="F2" s="9" t="s">
        <v>8</v>
      </c>
      <c r="G2" s="9" t="s">
        <v>6</v>
      </c>
      <c r="H2" s="9" t="s">
        <v>7</v>
      </c>
      <c r="I2" s="9" t="s">
        <v>16</v>
      </c>
      <c r="J2" s="9" t="s">
        <v>17</v>
      </c>
      <c r="K2" s="13"/>
      <c r="L2" s="14">
        <v>1.0</v>
      </c>
      <c r="M2" s="15">
        <v>2.0</v>
      </c>
      <c r="N2" s="15">
        <v>3.0</v>
      </c>
      <c r="O2" s="15">
        <v>4.0</v>
      </c>
      <c r="P2" s="15">
        <v>5.0</v>
      </c>
      <c r="Q2" s="15">
        <v>6.0</v>
      </c>
      <c r="R2" s="15">
        <v>7.0</v>
      </c>
      <c r="S2" s="15">
        <v>8.0</v>
      </c>
      <c r="T2" s="15">
        <v>9.0</v>
      </c>
      <c r="U2" s="16">
        <v>10.0</v>
      </c>
      <c r="V2" s="15">
        <v>1.0</v>
      </c>
      <c r="W2" s="15">
        <v>2.0</v>
      </c>
      <c r="X2" s="15">
        <v>3.0</v>
      </c>
      <c r="Y2" s="15">
        <v>4.0</v>
      </c>
      <c r="Z2" s="15">
        <v>5.0</v>
      </c>
      <c r="AA2" s="15">
        <v>6.0</v>
      </c>
      <c r="AB2" s="15">
        <v>7.0</v>
      </c>
      <c r="AC2" s="15">
        <v>8.0</v>
      </c>
      <c r="AD2" s="15">
        <v>9.0</v>
      </c>
      <c r="AE2" s="15">
        <v>10.0</v>
      </c>
      <c r="AF2" s="15"/>
      <c r="AG2" s="15"/>
      <c r="AH2" s="15"/>
      <c r="AI2" s="15"/>
      <c r="AJ2" s="15"/>
      <c r="AK2" s="15"/>
      <c r="AL2" s="15"/>
      <c r="AM2" s="15"/>
      <c r="AN2" s="15"/>
      <c r="AO2" s="15"/>
      <c r="AP2" s="17"/>
      <c r="AQ2" s="15"/>
      <c r="AR2" s="15"/>
      <c r="AS2" s="15"/>
    </row>
    <row r="3">
      <c r="A3" s="8" t="s">
        <v>2</v>
      </c>
      <c r="B3" s="8" t="s">
        <v>3</v>
      </c>
      <c r="C3" s="8" t="s">
        <v>0</v>
      </c>
      <c r="D3" s="8" t="s">
        <v>1</v>
      </c>
      <c r="E3" s="9" t="s">
        <v>13</v>
      </c>
      <c r="F3" s="9" t="s">
        <v>8</v>
      </c>
      <c r="G3" s="9" t="s">
        <v>6</v>
      </c>
      <c r="H3" s="9" t="s">
        <v>7</v>
      </c>
      <c r="I3" s="9" t="s">
        <v>16</v>
      </c>
      <c r="J3" s="9" t="s">
        <v>17</v>
      </c>
      <c r="K3" s="13"/>
      <c r="L3" s="14">
        <v>1.0</v>
      </c>
      <c r="M3" s="15">
        <v>2.0</v>
      </c>
      <c r="N3" s="15">
        <v>3.0</v>
      </c>
      <c r="O3" s="15">
        <v>4.0</v>
      </c>
      <c r="P3" s="15">
        <v>5.0</v>
      </c>
      <c r="Q3" s="15">
        <v>6.0</v>
      </c>
      <c r="R3" s="15">
        <v>7.0</v>
      </c>
      <c r="S3" s="15">
        <v>8.0</v>
      </c>
      <c r="T3" s="15">
        <v>9.0</v>
      </c>
      <c r="U3" s="16">
        <v>10.0</v>
      </c>
      <c r="V3" s="15">
        <v>1.0</v>
      </c>
      <c r="W3" s="15">
        <v>2.0</v>
      </c>
      <c r="X3" s="15">
        <v>3.0</v>
      </c>
      <c r="Y3" s="15">
        <v>4.0</v>
      </c>
      <c r="Z3" s="15">
        <v>5.0</v>
      </c>
      <c r="AA3" s="15">
        <v>6.0</v>
      </c>
      <c r="AB3" s="15">
        <v>7.0</v>
      </c>
      <c r="AC3" s="15">
        <v>8.0</v>
      </c>
      <c r="AD3" s="15">
        <v>9.0</v>
      </c>
      <c r="AE3" s="15">
        <v>10.0</v>
      </c>
      <c r="AF3" s="15"/>
      <c r="AG3" s="15"/>
      <c r="AH3" s="15"/>
      <c r="AI3" s="15"/>
      <c r="AJ3" s="15"/>
      <c r="AK3" s="15"/>
      <c r="AL3" s="15"/>
      <c r="AM3" s="15"/>
      <c r="AN3" s="15"/>
      <c r="AO3" s="15"/>
      <c r="AP3" s="17" t="s">
        <v>2131</v>
      </c>
      <c r="AQ3" s="15"/>
      <c r="AR3" s="15"/>
      <c r="AS3" s="15"/>
    </row>
    <row r="4" ht="16.5" customHeight="1">
      <c r="A4" s="32" t="s">
        <v>2205</v>
      </c>
      <c r="B4" s="32" t="s">
        <v>2206</v>
      </c>
      <c r="C4" s="32" t="s">
        <v>2207</v>
      </c>
      <c r="D4" s="32" t="s">
        <v>2208</v>
      </c>
      <c r="E4" s="32" t="s">
        <v>2209</v>
      </c>
      <c r="F4" s="4" t="s">
        <v>2210</v>
      </c>
      <c r="G4" s="4" t="s">
        <v>2211</v>
      </c>
      <c r="H4" s="4"/>
      <c r="K4" s="18"/>
      <c r="L4" s="33"/>
      <c r="M4" s="20"/>
      <c r="N4" s="20"/>
      <c r="O4" s="20"/>
      <c r="P4" s="20"/>
      <c r="Q4" s="20"/>
      <c r="R4" s="20"/>
      <c r="S4" s="20"/>
      <c r="T4" s="20"/>
      <c r="U4" s="34"/>
      <c r="AF4" s="11" t="str">
        <f t="shared" ref="AF4:AF33" si="2">if(not(isblank(L4)),L4,"")</f>
        <v/>
      </c>
      <c r="AG4" s="11" t="str">
        <f t="shared" ref="AG4:AO4" si="1">if(not(isblank(M4)),", "&amp;M4,"")</f>
        <v/>
      </c>
      <c r="AH4" s="11" t="str">
        <f t="shared" si="1"/>
        <v/>
      </c>
      <c r="AI4" s="11" t="str">
        <f t="shared" si="1"/>
        <v/>
      </c>
      <c r="AJ4" s="11" t="str">
        <f t="shared" si="1"/>
        <v/>
      </c>
      <c r="AK4" s="11" t="str">
        <f t="shared" si="1"/>
        <v/>
      </c>
      <c r="AL4" s="11" t="str">
        <f t="shared" si="1"/>
        <v/>
      </c>
      <c r="AM4" s="11" t="str">
        <f t="shared" si="1"/>
        <v/>
      </c>
      <c r="AN4" s="11" t="str">
        <f t="shared" si="1"/>
        <v/>
      </c>
      <c r="AO4" s="11" t="str">
        <f t="shared" si="1"/>
        <v/>
      </c>
      <c r="AP4" s="21" t="str">
        <f t="shared" ref="AP4:AP33" si="4">if(isblank(L4),G4,AF4&amp;AG4&amp;AH4&amp;AI4&amp;AJ4&amp;AK4&amp;AL4&amp;AM4&amp;AN4&amp;AO4)</f>
        <v>houndstooth-jq-crew-navy</v>
      </c>
    </row>
    <row r="5" ht="16.5" customHeight="1">
      <c r="A5" s="32" t="s">
        <v>2205</v>
      </c>
      <c r="B5" s="32" t="s">
        <v>2206</v>
      </c>
      <c r="C5" s="32" t="s">
        <v>2211</v>
      </c>
      <c r="D5" s="32" t="s">
        <v>2212</v>
      </c>
      <c r="E5" s="32" t="s">
        <v>2209</v>
      </c>
      <c r="F5" s="4" t="s">
        <v>2213</v>
      </c>
      <c r="G5" s="4" t="s">
        <v>2207</v>
      </c>
      <c r="H5" s="4"/>
      <c r="K5" s="18"/>
      <c r="L5" s="33"/>
      <c r="M5" s="20"/>
      <c r="N5" s="20"/>
      <c r="O5" s="20"/>
      <c r="P5" s="20"/>
      <c r="Q5" s="20"/>
      <c r="R5" s="20"/>
      <c r="S5" s="20"/>
      <c r="T5" s="20"/>
      <c r="U5" s="34"/>
      <c r="AF5" s="11" t="str">
        <f t="shared" si="2"/>
        <v/>
      </c>
      <c r="AG5" s="11" t="str">
        <f t="shared" ref="AG5:AO5" si="3">if(not(isblank(M5)),", "&amp;M5,"")</f>
        <v/>
      </c>
      <c r="AH5" s="11" t="str">
        <f t="shared" si="3"/>
        <v/>
      </c>
      <c r="AI5" s="11" t="str">
        <f t="shared" si="3"/>
        <v/>
      </c>
      <c r="AJ5" s="11" t="str">
        <f t="shared" si="3"/>
        <v/>
      </c>
      <c r="AK5" s="11" t="str">
        <f t="shared" si="3"/>
        <v/>
      </c>
      <c r="AL5" s="11" t="str">
        <f t="shared" si="3"/>
        <v/>
      </c>
      <c r="AM5" s="11" t="str">
        <f t="shared" si="3"/>
        <v/>
      </c>
      <c r="AN5" s="11" t="str">
        <f t="shared" si="3"/>
        <v/>
      </c>
      <c r="AO5" s="11" t="str">
        <f t="shared" si="3"/>
        <v/>
      </c>
      <c r="AP5" s="21" t="str">
        <f t="shared" si="4"/>
        <v>houndstooth-jq-crew-grey</v>
      </c>
    </row>
    <row r="6" ht="16.5" customHeight="1">
      <c r="A6" s="32" t="s">
        <v>2205</v>
      </c>
      <c r="B6" s="32" t="s">
        <v>2206</v>
      </c>
      <c r="C6" s="32" t="s">
        <v>2214</v>
      </c>
      <c r="D6" s="32" t="s">
        <v>2215</v>
      </c>
      <c r="E6" s="32" t="s">
        <v>2216</v>
      </c>
      <c r="F6" s="4" t="s">
        <v>2217</v>
      </c>
      <c r="G6" s="4"/>
      <c r="H6" s="4"/>
      <c r="K6" s="18"/>
      <c r="L6" s="33"/>
      <c r="M6" s="20"/>
      <c r="N6" s="20"/>
      <c r="O6" s="20"/>
      <c r="P6" s="20"/>
      <c r="Q6" s="20"/>
      <c r="R6" s="20"/>
      <c r="S6" s="20"/>
      <c r="T6" s="20"/>
      <c r="U6" s="34"/>
      <c r="AF6" s="11" t="str">
        <f t="shared" si="2"/>
        <v/>
      </c>
      <c r="AG6" s="11" t="str">
        <f t="shared" ref="AG6:AO6" si="5">if(not(isblank(M6)),", "&amp;M6,"")</f>
        <v/>
      </c>
      <c r="AH6" s="11" t="str">
        <f t="shared" si="5"/>
        <v/>
      </c>
      <c r="AI6" s="11" t="str">
        <f t="shared" si="5"/>
        <v/>
      </c>
      <c r="AJ6" s="11" t="str">
        <f t="shared" si="5"/>
        <v/>
      </c>
      <c r="AK6" s="11" t="str">
        <f t="shared" si="5"/>
        <v/>
      </c>
      <c r="AL6" s="11" t="str">
        <f t="shared" si="5"/>
        <v/>
      </c>
      <c r="AM6" s="11" t="str">
        <f t="shared" si="5"/>
        <v/>
      </c>
      <c r="AN6" s="11" t="str">
        <f t="shared" si="5"/>
        <v/>
      </c>
      <c r="AO6" s="11" t="str">
        <f t="shared" si="5"/>
        <v/>
      </c>
      <c r="AP6" s="21" t="str">
        <f t="shared" si="4"/>
        <v/>
      </c>
    </row>
    <row r="7" ht="16.5" customHeight="1">
      <c r="A7" s="32" t="s">
        <v>2205</v>
      </c>
      <c r="B7" s="32" t="s">
        <v>2206</v>
      </c>
      <c r="C7" s="32" t="s">
        <v>2218</v>
      </c>
      <c r="D7" s="32" t="s">
        <v>2219</v>
      </c>
      <c r="E7" s="32" t="s">
        <v>2220</v>
      </c>
      <c r="F7" s="4" t="s">
        <v>2221</v>
      </c>
      <c r="G7" s="4" t="s">
        <v>2222</v>
      </c>
      <c r="K7" s="18"/>
      <c r="L7" s="33"/>
      <c r="M7" s="20"/>
      <c r="N7" s="20"/>
      <c r="O7" s="20"/>
      <c r="P7" s="20"/>
      <c r="Q7" s="20"/>
      <c r="R7" s="20"/>
      <c r="S7" s="20"/>
      <c r="T7" s="20"/>
      <c r="U7" s="34"/>
      <c r="AF7" s="11" t="str">
        <f t="shared" si="2"/>
        <v/>
      </c>
      <c r="AG7" s="11" t="str">
        <f t="shared" ref="AG7:AO7" si="6">if(not(isblank(M7)),", "&amp;M7,"")</f>
        <v/>
      </c>
      <c r="AH7" s="11" t="str">
        <f t="shared" si="6"/>
        <v/>
      </c>
      <c r="AI7" s="11" t="str">
        <f t="shared" si="6"/>
        <v/>
      </c>
      <c r="AJ7" s="11" t="str">
        <f t="shared" si="6"/>
        <v/>
      </c>
      <c r="AK7" s="11" t="str">
        <f t="shared" si="6"/>
        <v/>
      </c>
      <c r="AL7" s="11" t="str">
        <f t="shared" si="6"/>
        <v/>
      </c>
      <c r="AM7" s="11" t="str">
        <f t="shared" si="6"/>
        <v/>
      </c>
      <c r="AN7" s="11" t="str">
        <f t="shared" si="6"/>
        <v/>
      </c>
      <c r="AO7" s="11" t="str">
        <f t="shared" si="6"/>
        <v/>
      </c>
      <c r="AP7" s="21" t="str">
        <f t="shared" si="4"/>
        <v>napping-jq-crew-moss, napping-jq-crew-navy-violet</v>
      </c>
    </row>
    <row r="8" ht="16.5" customHeight="1">
      <c r="A8" s="32" t="s">
        <v>2205</v>
      </c>
      <c r="B8" s="32" t="s">
        <v>2206</v>
      </c>
      <c r="C8" s="32" t="s">
        <v>2223</v>
      </c>
      <c r="D8" s="32" t="s">
        <v>2224</v>
      </c>
      <c r="E8" s="32" t="s">
        <v>2220</v>
      </c>
      <c r="F8" s="4" t="s">
        <v>2225</v>
      </c>
      <c r="G8" s="4" t="s">
        <v>2226</v>
      </c>
      <c r="K8" s="18"/>
      <c r="L8" s="33"/>
      <c r="M8" s="20"/>
      <c r="N8" s="20"/>
      <c r="O8" s="20"/>
      <c r="P8" s="20"/>
      <c r="Q8" s="20"/>
      <c r="R8" s="20"/>
      <c r="S8" s="20"/>
      <c r="T8" s="20"/>
      <c r="U8" s="34"/>
      <c r="AF8" s="11" t="str">
        <f t="shared" si="2"/>
        <v/>
      </c>
      <c r="AG8" s="11" t="str">
        <f t="shared" ref="AG8:AO8" si="7">if(not(isblank(M8)),", "&amp;M8,"")</f>
        <v/>
      </c>
      <c r="AH8" s="11" t="str">
        <f t="shared" si="7"/>
        <v/>
      </c>
      <c r="AI8" s="11" t="str">
        <f t="shared" si="7"/>
        <v/>
      </c>
      <c r="AJ8" s="11" t="str">
        <f t="shared" si="7"/>
        <v/>
      </c>
      <c r="AK8" s="11" t="str">
        <f t="shared" si="7"/>
        <v/>
      </c>
      <c r="AL8" s="11" t="str">
        <f t="shared" si="7"/>
        <v/>
      </c>
      <c r="AM8" s="11" t="str">
        <f t="shared" si="7"/>
        <v/>
      </c>
      <c r="AN8" s="11" t="str">
        <f t="shared" si="7"/>
        <v/>
      </c>
      <c r="AO8" s="11" t="str">
        <f t="shared" si="7"/>
        <v/>
      </c>
      <c r="AP8" s="21" t="str">
        <f t="shared" si="4"/>
        <v>napping-jq-crew-ivory, napping-jq-crew-navy-violet</v>
      </c>
    </row>
    <row r="9" ht="16.5" customHeight="1">
      <c r="A9" s="32" t="s">
        <v>2205</v>
      </c>
      <c r="B9" s="32" t="s">
        <v>2206</v>
      </c>
      <c r="C9" s="32" t="s">
        <v>2227</v>
      </c>
      <c r="D9" s="32" t="s">
        <v>2228</v>
      </c>
      <c r="E9" s="32" t="s">
        <v>2220</v>
      </c>
      <c r="F9" s="4" t="s">
        <v>2229</v>
      </c>
      <c r="G9" s="4" t="s">
        <v>2230</v>
      </c>
      <c r="K9" s="18"/>
      <c r="L9" s="33"/>
      <c r="M9" s="20"/>
      <c r="N9" s="20"/>
      <c r="O9" s="20"/>
      <c r="P9" s="20"/>
      <c r="Q9" s="20"/>
      <c r="R9" s="20"/>
      <c r="S9" s="20"/>
      <c r="T9" s="20"/>
      <c r="U9" s="34"/>
      <c r="AF9" s="11" t="str">
        <f t="shared" si="2"/>
        <v/>
      </c>
      <c r="AG9" s="11" t="str">
        <f t="shared" ref="AG9:AO9" si="8">if(not(isblank(M9)),", "&amp;M9,"")</f>
        <v/>
      </c>
      <c r="AH9" s="11" t="str">
        <f t="shared" si="8"/>
        <v/>
      </c>
      <c r="AI9" s="11" t="str">
        <f t="shared" si="8"/>
        <v/>
      </c>
      <c r="AJ9" s="11" t="str">
        <f t="shared" si="8"/>
        <v/>
      </c>
      <c r="AK9" s="11" t="str">
        <f t="shared" si="8"/>
        <v/>
      </c>
      <c r="AL9" s="11" t="str">
        <f t="shared" si="8"/>
        <v/>
      </c>
      <c r="AM9" s="11" t="str">
        <f t="shared" si="8"/>
        <v/>
      </c>
      <c r="AN9" s="11" t="str">
        <f t="shared" si="8"/>
        <v/>
      </c>
      <c r="AO9" s="11" t="str">
        <f t="shared" si="8"/>
        <v/>
      </c>
      <c r="AP9" s="21" t="str">
        <f t="shared" si="4"/>
        <v>napping-jq-crew-ivory, napping-jq-crew-moss</v>
      </c>
    </row>
    <row r="10" ht="16.5" customHeight="1">
      <c r="A10" s="32" t="s">
        <v>2205</v>
      </c>
      <c r="B10" s="32" t="s">
        <v>2206</v>
      </c>
      <c r="C10" s="32" t="s">
        <v>2231</v>
      </c>
      <c r="D10" s="32" t="s">
        <v>2232</v>
      </c>
      <c r="E10" s="32" t="s">
        <v>2233</v>
      </c>
      <c r="F10" s="4" t="s">
        <v>2234</v>
      </c>
      <c r="G10" s="4" t="s">
        <v>2235</v>
      </c>
      <c r="H10" s="4"/>
      <c r="K10" s="18"/>
      <c r="L10" s="33"/>
      <c r="M10" s="20"/>
      <c r="N10" s="20"/>
      <c r="O10" s="20"/>
      <c r="P10" s="20"/>
      <c r="Q10" s="20"/>
      <c r="R10" s="20"/>
      <c r="S10" s="20"/>
      <c r="T10" s="20"/>
      <c r="U10" s="34"/>
      <c r="AF10" s="11" t="str">
        <f t="shared" si="2"/>
        <v/>
      </c>
      <c r="AG10" s="11" t="str">
        <f t="shared" ref="AG10:AO10" si="9">if(not(isblank(M10)),", "&amp;M10,"")</f>
        <v/>
      </c>
      <c r="AH10" s="11" t="str">
        <f t="shared" si="9"/>
        <v/>
      </c>
      <c r="AI10" s="11" t="str">
        <f t="shared" si="9"/>
        <v/>
      </c>
      <c r="AJ10" s="11" t="str">
        <f t="shared" si="9"/>
        <v/>
      </c>
      <c r="AK10" s="11" t="str">
        <f t="shared" si="9"/>
        <v/>
      </c>
      <c r="AL10" s="11" t="str">
        <f t="shared" si="9"/>
        <v/>
      </c>
      <c r="AM10" s="11" t="str">
        <f t="shared" si="9"/>
        <v/>
      </c>
      <c r="AN10" s="11" t="str">
        <f t="shared" si="9"/>
        <v/>
      </c>
      <c r="AO10" s="11" t="str">
        <f t="shared" si="9"/>
        <v/>
      </c>
      <c r="AP10" s="21" t="str">
        <f t="shared" si="4"/>
        <v>old-pattern-jq-crew-olive</v>
      </c>
    </row>
    <row r="11" ht="16.5" customHeight="1">
      <c r="A11" s="32" t="s">
        <v>2205</v>
      </c>
      <c r="B11" s="32" t="s">
        <v>2206</v>
      </c>
      <c r="C11" s="32" t="s">
        <v>2235</v>
      </c>
      <c r="D11" s="32" t="s">
        <v>2236</v>
      </c>
      <c r="E11" s="32" t="s">
        <v>2237</v>
      </c>
      <c r="F11" s="4" t="s">
        <v>2238</v>
      </c>
      <c r="G11" s="4" t="s">
        <v>2231</v>
      </c>
      <c r="H11" s="4"/>
      <c r="K11" s="18"/>
      <c r="L11" s="33"/>
      <c r="M11" s="20"/>
      <c r="N11" s="20"/>
      <c r="O11" s="20"/>
      <c r="P11" s="20"/>
      <c r="Q11" s="20"/>
      <c r="R11" s="20"/>
      <c r="S11" s="20"/>
      <c r="T11" s="20"/>
      <c r="U11" s="34"/>
      <c r="AF11" s="11" t="str">
        <f t="shared" si="2"/>
        <v/>
      </c>
      <c r="AG11" s="11" t="str">
        <f t="shared" ref="AG11:AO11" si="10">if(not(isblank(M11)),", "&amp;M11,"")</f>
        <v/>
      </c>
      <c r="AH11" s="11" t="str">
        <f t="shared" si="10"/>
        <v/>
      </c>
      <c r="AI11" s="11" t="str">
        <f t="shared" si="10"/>
        <v/>
      </c>
      <c r="AJ11" s="11" t="str">
        <f t="shared" si="10"/>
        <v/>
      </c>
      <c r="AK11" s="11" t="str">
        <f t="shared" si="10"/>
        <v/>
      </c>
      <c r="AL11" s="11" t="str">
        <f t="shared" si="10"/>
        <v/>
      </c>
      <c r="AM11" s="11" t="str">
        <f t="shared" si="10"/>
        <v/>
      </c>
      <c r="AN11" s="11" t="str">
        <f t="shared" si="10"/>
        <v/>
      </c>
      <c r="AO11" s="11" t="str">
        <f t="shared" si="10"/>
        <v/>
      </c>
      <c r="AP11" s="21" t="str">
        <f t="shared" si="4"/>
        <v>old-pattern-jq-crew-off-white</v>
      </c>
    </row>
    <row r="12" ht="16.5" customHeight="1">
      <c r="A12" s="32" t="s">
        <v>2205</v>
      </c>
      <c r="B12" s="32" t="s">
        <v>2206</v>
      </c>
      <c r="C12" s="32" t="s">
        <v>2239</v>
      </c>
      <c r="D12" s="32" t="s">
        <v>2240</v>
      </c>
      <c r="E12" s="32" t="s">
        <v>2241</v>
      </c>
      <c r="F12" s="4" t="s">
        <v>2242</v>
      </c>
      <c r="G12" s="4"/>
      <c r="H12" s="4"/>
      <c r="K12" s="18"/>
      <c r="L12" s="33"/>
      <c r="M12" s="20"/>
      <c r="N12" s="20"/>
      <c r="O12" s="20"/>
      <c r="P12" s="20"/>
      <c r="Q12" s="20"/>
      <c r="R12" s="20"/>
      <c r="S12" s="20"/>
      <c r="T12" s="20"/>
      <c r="U12" s="34"/>
      <c r="AF12" s="11" t="str">
        <f t="shared" si="2"/>
        <v/>
      </c>
      <c r="AG12" s="11" t="str">
        <f t="shared" ref="AG12:AO12" si="11">if(not(isblank(M12)),", "&amp;M12,"")</f>
        <v/>
      </c>
      <c r="AH12" s="11" t="str">
        <f t="shared" si="11"/>
        <v/>
      </c>
      <c r="AI12" s="11" t="str">
        <f t="shared" si="11"/>
        <v/>
      </c>
      <c r="AJ12" s="11" t="str">
        <f t="shared" si="11"/>
        <v/>
      </c>
      <c r="AK12" s="11" t="str">
        <f t="shared" si="11"/>
        <v/>
      </c>
      <c r="AL12" s="11" t="str">
        <f t="shared" si="11"/>
        <v/>
      </c>
      <c r="AM12" s="11" t="str">
        <f t="shared" si="11"/>
        <v/>
      </c>
      <c r="AN12" s="11" t="str">
        <f t="shared" si="11"/>
        <v/>
      </c>
      <c r="AO12" s="11" t="str">
        <f t="shared" si="11"/>
        <v/>
      </c>
      <c r="AP12" s="21" t="str">
        <f t="shared" si="4"/>
        <v/>
      </c>
    </row>
    <row r="13" ht="16.5" customHeight="1">
      <c r="A13" s="32" t="s">
        <v>2205</v>
      </c>
      <c r="B13" s="32" t="s">
        <v>2206</v>
      </c>
      <c r="C13" s="32" t="s">
        <v>2243</v>
      </c>
      <c r="D13" s="32" t="s">
        <v>2244</v>
      </c>
      <c r="E13" s="32" t="s">
        <v>2245</v>
      </c>
      <c r="F13" s="4" t="s">
        <v>2246</v>
      </c>
      <c r="G13" s="4" t="s">
        <v>2247</v>
      </c>
      <c r="K13" s="18"/>
      <c r="L13" s="33"/>
      <c r="M13" s="20"/>
      <c r="N13" s="20"/>
      <c r="O13" s="20"/>
      <c r="P13" s="20"/>
      <c r="Q13" s="20"/>
      <c r="R13" s="20"/>
      <c r="S13" s="20"/>
      <c r="T13" s="20"/>
      <c r="U13" s="34"/>
      <c r="AF13" s="11" t="str">
        <f t="shared" si="2"/>
        <v/>
      </c>
      <c r="AG13" s="11" t="str">
        <f t="shared" ref="AG13:AO13" si="12">if(not(isblank(M13)),", "&amp;M13,"")</f>
        <v/>
      </c>
      <c r="AH13" s="11" t="str">
        <f t="shared" si="12"/>
        <v/>
      </c>
      <c r="AI13" s="11" t="str">
        <f t="shared" si="12"/>
        <v/>
      </c>
      <c r="AJ13" s="11" t="str">
        <f t="shared" si="12"/>
        <v/>
      </c>
      <c r="AK13" s="11" t="str">
        <f t="shared" si="12"/>
        <v/>
      </c>
      <c r="AL13" s="11" t="str">
        <f t="shared" si="12"/>
        <v/>
      </c>
      <c r="AM13" s="11" t="str">
        <f t="shared" si="12"/>
        <v/>
      </c>
      <c r="AN13" s="11" t="str">
        <f t="shared" si="12"/>
        <v/>
      </c>
      <c r="AO13" s="11" t="str">
        <f t="shared" si="12"/>
        <v/>
      </c>
      <c r="AP13" s="21" t="str">
        <f t="shared" si="4"/>
        <v>wool-cashmere-links-combi-crew-indigo, wool-cashmere-links-combi-crew-oatmeal</v>
      </c>
    </row>
    <row r="14" ht="16.5" customHeight="1">
      <c r="A14" s="32" t="s">
        <v>2205</v>
      </c>
      <c r="B14" s="32" t="s">
        <v>2206</v>
      </c>
      <c r="C14" s="32" t="s">
        <v>2248</v>
      </c>
      <c r="D14" s="32" t="s">
        <v>2249</v>
      </c>
      <c r="E14" s="32" t="s">
        <v>2245</v>
      </c>
      <c r="F14" s="4" t="s">
        <v>2250</v>
      </c>
      <c r="G14" s="4" t="s">
        <v>2251</v>
      </c>
      <c r="K14" s="18"/>
      <c r="L14" s="33"/>
      <c r="M14" s="20"/>
      <c r="N14" s="20"/>
      <c r="O14" s="20"/>
      <c r="P14" s="20"/>
      <c r="Q14" s="20"/>
      <c r="R14" s="20"/>
      <c r="S14" s="20"/>
      <c r="T14" s="20"/>
      <c r="U14" s="34"/>
      <c r="AF14" s="11" t="str">
        <f t="shared" si="2"/>
        <v/>
      </c>
      <c r="AG14" s="11" t="str">
        <f t="shared" ref="AG14:AO14" si="13">if(not(isblank(M14)),", "&amp;M14,"")</f>
        <v/>
      </c>
      <c r="AH14" s="11" t="str">
        <f t="shared" si="13"/>
        <v/>
      </c>
      <c r="AI14" s="11" t="str">
        <f t="shared" si="13"/>
        <v/>
      </c>
      <c r="AJ14" s="11" t="str">
        <f t="shared" si="13"/>
        <v/>
      </c>
      <c r="AK14" s="11" t="str">
        <f t="shared" si="13"/>
        <v/>
      </c>
      <c r="AL14" s="11" t="str">
        <f t="shared" si="13"/>
        <v/>
      </c>
      <c r="AM14" s="11" t="str">
        <f t="shared" si="13"/>
        <v/>
      </c>
      <c r="AN14" s="11" t="str">
        <f t="shared" si="13"/>
        <v/>
      </c>
      <c r="AO14" s="11" t="str">
        <f t="shared" si="13"/>
        <v/>
      </c>
      <c r="AP14" s="21" t="str">
        <f t="shared" si="4"/>
        <v>wool-cashmere-links-combi-crew-charcoal, wool-cashmere-links-combi-crew-oatmeal</v>
      </c>
    </row>
    <row r="15" ht="16.5" customHeight="1">
      <c r="A15" s="32" t="s">
        <v>2205</v>
      </c>
      <c r="B15" s="32" t="s">
        <v>2206</v>
      </c>
      <c r="C15" s="32" t="s">
        <v>2252</v>
      </c>
      <c r="D15" s="32" t="s">
        <v>2253</v>
      </c>
      <c r="E15" s="32" t="s">
        <v>2245</v>
      </c>
      <c r="F15" s="4" t="s">
        <v>2254</v>
      </c>
      <c r="G15" s="4" t="s">
        <v>2255</v>
      </c>
      <c r="K15" s="18"/>
      <c r="L15" s="33"/>
      <c r="M15" s="20"/>
      <c r="N15" s="20"/>
      <c r="O15" s="20"/>
      <c r="P15" s="20"/>
      <c r="Q15" s="20"/>
      <c r="R15" s="20"/>
      <c r="S15" s="20"/>
      <c r="T15" s="20"/>
      <c r="U15" s="34"/>
      <c r="AF15" s="11" t="str">
        <f t="shared" si="2"/>
        <v/>
      </c>
      <c r="AG15" s="11" t="str">
        <f t="shared" ref="AG15:AO15" si="14">if(not(isblank(M15)),", "&amp;M15,"")</f>
        <v/>
      </c>
      <c r="AH15" s="11" t="str">
        <f t="shared" si="14"/>
        <v/>
      </c>
      <c r="AI15" s="11" t="str">
        <f t="shared" si="14"/>
        <v/>
      </c>
      <c r="AJ15" s="11" t="str">
        <f t="shared" si="14"/>
        <v/>
      </c>
      <c r="AK15" s="11" t="str">
        <f t="shared" si="14"/>
        <v/>
      </c>
      <c r="AL15" s="11" t="str">
        <f t="shared" si="14"/>
        <v/>
      </c>
      <c r="AM15" s="11" t="str">
        <f t="shared" si="14"/>
        <v/>
      </c>
      <c r="AN15" s="11" t="str">
        <f t="shared" si="14"/>
        <v/>
      </c>
      <c r="AO15" s="11" t="str">
        <f t="shared" si="14"/>
        <v/>
      </c>
      <c r="AP15" s="21" t="str">
        <f t="shared" si="4"/>
        <v>wool-cashmere-links-combi-crew-charcoal, wool-cashmere-links-combi-crew-indigo</v>
      </c>
    </row>
    <row r="16" ht="16.5" customHeight="1">
      <c r="A16" s="32" t="s">
        <v>154</v>
      </c>
      <c r="B16" s="32" t="s">
        <v>155</v>
      </c>
      <c r="C16" s="32" t="s">
        <v>2256</v>
      </c>
      <c r="D16" s="32" t="s">
        <v>2257</v>
      </c>
      <c r="E16" s="32" t="s">
        <v>2258</v>
      </c>
      <c r="F16" s="4" t="s">
        <v>2259</v>
      </c>
      <c r="G16" s="4" t="s">
        <v>2260</v>
      </c>
      <c r="H16" s="4"/>
      <c r="I16" s="11" t="s">
        <v>1650</v>
      </c>
      <c r="J16" s="11" t="s">
        <v>1536</v>
      </c>
      <c r="K16" s="18"/>
      <c r="L16" s="33"/>
      <c r="M16" s="20"/>
      <c r="N16" s="20"/>
      <c r="O16" s="20"/>
      <c r="P16" s="20"/>
      <c r="Q16" s="20"/>
      <c r="R16" s="20"/>
      <c r="S16" s="20"/>
      <c r="T16" s="20"/>
      <c r="U16" s="34"/>
      <c r="AF16" s="11" t="str">
        <f t="shared" si="2"/>
        <v/>
      </c>
      <c r="AG16" s="11" t="str">
        <f t="shared" ref="AG16:AO16" si="15">if(not(isblank(M16)),", "&amp;M16,"")</f>
        <v/>
      </c>
      <c r="AH16" s="11" t="str">
        <f t="shared" si="15"/>
        <v/>
      </c>
      <c r="AI16" s="11" t="str">
        <f t="shared" si="15"/>
        <v/>
      </c>
      <c r="AJ16" s="11" t="str">
        <f t="shared" si="15"/>
        <v/>
      </c>
      <c r="AK16" s="11" t="str">
        <f t="shared" si="15"/>
        <v/>
      </c>
      <c r="AL16" s="11" t="str">
        <f t="shared" si="15"/>
        <v/>
      </c>
      <c r="AM16" s="11" t="str">
        <f t="shared" si="15"/>
        <v/>
      </c>
      <c r="AN16" s="11" t="str">
        <f t="shared" si="15"/>
        <v/>
      </c>
      <c r="AO16" s="11" t="str">
        <f t="shared" si="15"/>
        <v/>
      </c>
      <c r="AP16" s="21" t="str">
        <f t="shared" si="4"/>
        <v>zurich-suede-velvet-grey</v>
      </c>
    </row>
    <row r="17" ht="16.5" customHeight="1">
      <c r="A17" s="32" t="s">
        <v>154</v>
      </c>
      <c r="B17" s="32" t="s">
        <v>155</v>
      </c>
      <c r="C17" s="32" t="s">
        <v>2261</v>
      </c>
      <c r="D17" s="32" t="s">
        <v>2262</v>
      </c>
      <c r="E17" s="32" t="s">
        <v>2263</v>
      </c>
      <c r="F17" s="4" t="s">
        <v>2264</v>
      </c>
      <c r="G17" s="4" t="s">
        <v>2265</v>
      </c>
      <c r="K17" s="18"/>
      <c r="L17" s="33"/>
      <c r="M17" s="20"/>
      <c r="N17" s="20"/>
      <c r="O17" s="20"/>
      <c r="P17" s="20"/>
      <c r="Q17" s="20"/>
      <c r="R17" s="20"/>
      <c r="S17" s="20"/>
      <c r="T17" s="20"/>
      <c r="U17" s="34"/>
      <c r="AF17" s="11" t="str">
        <f t="shared" si="2"/>
        <v/>
      </c>
      <c r="AG17" s="11" t="str">
        <f t="shared" ref="AG17:AO17" si="16">if(not(isblank(M17)),", "&amp;M17,"")</f>
        <v/>
      </c>
      <c r="AH17" s="11" t="str">
        <f t="shared" si="16"/>
        <v/>
      </c>
      <c r="AI17" s="11" t="str">
        <f t="shared" si="16"/>
        <v/>
      </c>
      <c r="AJ17" s="11" t="str">
        <f t="shared" si="16"/>
        <v/>
      </c>
      <c r="AK17" s="11" t="str">
        <f t="shared" si="16"/>
        <v/>
      </c>
      <c r="AL17" s="11" t="str">
        <f t="shared" si="16"/>
        <v/>
      </c>
      <c r="AM17" s="11" t="str">
        <f t="shared" si="16"/>
        <v/>
      </c>
      <c r="AN17" s="11" t="str">
        <f t="shared" si="16"/>
        <v/>
      </c>
      <c r="AO17" s="11" t="str">
        <f t="shared" si="16"/>
        <v/>
      </c>
      <c r="AP17" s="21" t="str">
        <f t="shared" si="4"/>
        <v>boston-suede-faded-purple, boston-suede-velvet-grey, boston-suede-stone-coin, boston-mink-suede, boston-suede-mocha, boston-faded-lime, boston-elemental-blue, boston-suede-leather-faded-khaki, boston-wool-felt-anthracite, boston-big-buckle-fur-eggshell</v>
      </c>
    </row>
    <row r="18" ht="16.5" customHeight="1">
      <c r="A18" s="32" t="s">
        <v>154</v>
      </c>
      <c r="B18" s="32" t="s">
        <v>155</v>
      </c>
      <c r="C18" s="32" t="s">
        <v>2266</v>
      </c>
      <c r="D18" s="32" t="s">
        <v>2267</v>
      </c>
      <c r="E18" s="32" t="s">
        <v>2268</v>
      </c>
      <c r="F18" s="4" t="s">
        <v>2269</v>
      </c>
      <c r="G18" s="4" t="s">
        <v>2270</v>
      </c>
      <c r="K18" s="18"/>
      <c r="L18" s="33"/>
      <c r="M18" s="20"/>
      <c r="N18" s="20"/>
      <c r="O18" s="20"/>
      <c r="P18" s="20"/>
      <c r="Q18" s="20"/>
      <c r="R18" s="20"/>
      <c r="S18" s="20"/>
      <c r="T18" s="20"/>
      <c r="U18" s="34"/>
      <c r="AF18" s="11" t="str">
        <f t="shared" si="2"/>
        <v/>
      </c>
      <c r="AG18" s="11" t="str">
        <f t="shared" ref="AG18:AO18" si="17">if(not(isblank(M18)),", "&amp;M18,"")</f>
        <v/>
      </c>
      <c r="AH18" s="11" t="str">
        <f t="shared" si="17"/>
        <v/>
      </c>
      <c r="AI18" s="11" t="str">
        <f t="shared" si="17"/>
        <v/>
      </c>
      <c r="AJ18" s="11" t="str">
        <f t="shared" si="17"/>
        <v/>
      </c>
      <c r="AK18" s="11" t="str">
        <f t="shared" si="17"/>
        <v/>
      </c>
      <c r="AL18" s="11" t="str">
        <f t="shared" si="17"/>
        <v/>
      </c>
      <c r="AM18" s="11" t="str">
        <f t="shared" si="17"/>
        <v/>
      </c>
      <c r="AN18" s="11" t="str">
        <f t="shared" si="17"/>
        <v/>
      </c>
      <c r="AO18" s="11" t="str">
        <f t="shared" si="17"/>
        <v/>
      </c>
      <c r="AP18" s="21" t="str">
        <f t="shared" si="4"/>
        <v>boston-shearling-suede-leather-mocha, boston-big-buckle-fur-eggshell, boston-wool-felt-anthracite, boston-suede-faded-purple, boston-suede-velvet-grey, boston-suede-stone-coin, boston-suede-mocha, boston-mink-suede, boston-taupe, boston-elemental-blue, boston-faded-lime, boston-suede-leather-faded-khaki</v>
      </c>
    </row>
    <row r="19" ht="16.5" customHeight="1">
      <c r="A19" s="32" t="s">
        <v>154</v>
      </c>
      <c r="B19" s="32" t="s">
        <v>155</v>
      </c>
      <c r="C19" s="32" t="s">
        <v>2271</v>
      </c>
      <c r="D19" s="32" t="s">
        <v>2272</v>
      </c>
      <c r="E19" s="32" t="s">
        <v>2273</v>
      </c>
      <c r="F19" s="4" t="s">
        <v>2274</v>
      </c>
      <c r="G19" s="4" t="s">
        <v>2275</v>
      </c>
      <c r="K19" s="18"/>
      <c r="L19" s="33"/>
      <c r="M19" s="20"/>
      <c r="N19" s="20"/>
      <c r="O19" s="20"/>
      <c r="P19" s="20"/>
      <c r="Q19" s="20"/>
      <c r="R19" s="20"/>
      <c r="S19" s="20"/>
      <c r="T19" s="20"/>
      <c r="U19" s="34"/>
      <c r="AF19" s="11" t="str">
        <f t="shared" si="2"/>
        <v/>
      </c>
      <c r="AG19" s="11" t="str">
        <f t="shared" ref="AG19:AO19" si="18">if(not(isblank(M19)),", "&amp;M19,"")</f>
        <v/>
      </c>
      <c r="AH19" s="11" t="str">
        <f t="shared" si="18"/>
        <v/>
      </c>
      <c r="AI19" s="11" t="str">
        <f t="shared" si="18"/>
        <v/>
      </c>
      <c r="AJ19" s="11" t="str">
        <f t="shared" si="18"/>
        <v/>
      </c>
      <c r="AK19" s="11" t="str">
        <f t="shared" si="18"/>
        <v/>
      </c>
      <c r="AL19" s="11" t="str">
        <f t="shared" si="18"/>
        <v/>
      </c>
      <c r="AM19" s="11" t="str">
        <f t="shared" si="18"/>
        <v/>
      </c>
      <c r="AN19" s="11" t="str">
        <f t="shared" si="18"/>
        <v/>
      </c>
      <c r="AO19" s="11" t="str">
        <f t="shared" si="18"/>
        <v/>
      </c>
      <c r="AP19" s="21" t="str">
        <f t="shared" si="4"/>
        <v>boston-big-buckle-fur-eggshell, boston-shearling-suede-leather-mink, boston-wool-felt-anthracite, boston-suede-faded-purple, boston-suede-velvet-grey, boston-suede-stone-coin, boston-suede-mocha, boston-mink-suede, boston-taupe, boston-elemental-blue, boston-faded-lime, boston-suede-leather-faded-khaki</v>
      </c>
    </row>
    <row r="20" ht="16.5" customHeight="1">
      <c r="A20" s="32" t="s">
        <v>154</v>
      </c>
      <c r="B20" s="32" t="s">
        <v>155</v>
      </c>
      <c r="C20" s="32" t="s">
        <v>2276</v>
      </c>
      <c r="D20" s="32" t="s">
        <v>2277</v>
      </c>
      <c r="E20" s="32" t="s">
        <v>2278</v>
      </c>
      <c r="F20" s="4" t="s">
        <v>2264</v>
      </c>
      <c r="G20" s="4" t="s">
        <v>2279</v>
      </c>
      <c r="K20" s="18"/>
      <c r="L20" s="33"/>
      <c r="M20" s="20"/>
      <c r="N20" s="20"/>
      <c r="O20" s="20"/>
      <c r="P20" s="20"/>
      <c r="Q20" s="20"/>
      <c r="R20" s="20"/>
      <c r="S20" s="20"/>
      <c r="T20" s="20"/>
      <c r="U20" s="34"/>
      <c r="AF20" s="11" t="str">
        <f t="shared" si="2"/>
        <v/>
      </c>
      <c r="AG20" s="11" t="str">
        <f t="shared" ref="AG20:AO20" si="19">if(not(isblank(M20)),", "&amp;M20,"")</f>
        <v/>
      </c>
      <c r="AH20" s="11" t="str">
        <f t="shared" si="19"/>
        <v/>
      </c>
      <c r="AI20" s="11" t="str">
        <f t="shared" si="19"/>
        <v/>
      </c>
      <c r="AJ20" s="11" t="str">
        <f t="shared" si="19"/>
        <v/>
      </c>
      <c r="AK20" s="11" t="str">
        <f t="shared" si="19"/>
        <v/>
      </c>
      <c r="AL20" s="11" t="str">
        <f t="shared" si="19"/>
        <v/>
      </c>
      <c r="AM20" s="11" t="str">
        <f t="shared" si="19"/>
        <v/>
      </c>
      <c r="AN20" s="11" t="str">
        <f t="shared" si="19"/>
        <v/>
      </c>
      <c r="AO20" s="11" t="str">
        <f t="shared" si="19"/>
        <v/>
      </c>
      <c r="AP20" s="21" t="str">
        <f t="shared" si="4"/>
        <v>boston-big-buckle-fur-eggshell, boston-suede-faded-purple, boston-suede-velvet-grey, boston-suede-stone-coin, boston-suede-mocha, boston-mink-suede, boston-taupe, boston-elemental-blue, boston-faded-lime, boston-shearling-suede-leather-mocha, boston-shearling-suede-leather-mink, boston-suede-leather-faded-khaki</v>
      </c>
    </row>
    <row r="21" ht="16.5" customHeight="1">
      <c r="A21" s="32" t="s">
        <v>154</v>
      </c>
      <c r="B21" s="32" t="s">
        <v>168</v>
      </c>
      <c r="C21" s="32" t="s">
        <v>2280</v>
      </c>
      <c r="D21" s="32" t="s">
        <v>2281</v>
      </c>
      <c r="E21" s="32" t="s">
        <v>2282</v>
      </c>
      <c r="F21" s="4" t="s">
        <v>2264</v>
      </c>
      <c r="G21" s="4" t="s">
        <v>2283</v>
      </c>
      <c r="K21" s="18"/>
      <c r="L21" s="35" t="s">
        <v>2284</v>
      </c>
      <c r="M21" s="19" t="s">
        <v>2285</v>
      </c>
      <c r="N21" s="19" t="s">
        <v>2286</v>
      </c>
      <c r="O21" s="19" t="s">
        <v>2287</v>
      </c>
      <c r="P21" s="19" t="s">
        <v>2288</v>
      </c>
      <c r="Q21" s="19" t="s">
        <v>2289</v>
      </c>
      <c r="R21" s="20"/>
      <c r="S21" s="20"/>
      <c r="T21" s="20"/>
      <c r="U21" s="34"/>
      <c r="AF21" s="11" t="str">
        <f t="shared" si="2"/>
        <v>w796-black</v>
      </c>
      <c r="AG21" s="11" t="str">
        <f t="shared" ref="AG21:AO21" si="20">if(not(isblank(M21)),", "&amp;M21,"")</f>
        <v>, w796-rose-charcoal</v>
      </c>
      <c r="AH21" s="11" t="str">
        <f t="shared" si="20"/>
        <v>, w796-rose-duck-egg</v>
      </c>
      <c r="AI21" s="11" t="str">
        <f t="shared" si="20"/>
        <v>, rose-old-rose</v>
      </c>
      <c r="AJ21" s="11" t="str">
        <f t="shared" si="20"/>
        <v>, rose-raspberry</v>
      </c>
      <c r="AK21" s="11" t="str">
        <f t="shared" si="20"/>
        <v>, w796-wine</v>
      </c>
      <c r="AL21" s="11" t="str">
        <f t="shared" si="20"/>
        <v/>
      </c>
      <c r="AM21" s="11" t="str">
        <f t="shared" si="20"/>
        <v/>
      </c>
      <c r="AN21" s="11" t="str">
        <f t="shared" si="20"/>
        <v/>
      </c>
      <c r="AO21" s="11" t="str">
        <f t="shared" si="20"/>
        <v/>
      </c>
      <c r="AP21" s="21" t="str">
        <f t="shared" si="4"/>
        <v>w796-black, w796-rose-charcoal, w796-rose-duck-egg, rose-old-rose, rose-raspberry, w796-wine</v>
      </c>
    </row>
    <row r="22" ht="16.5" customHeight="1">
      <c r="A22" s="32" t="s">
        <v>154</v>
      </c>
      <c r="B22" s="32" t="s">
        <v>155</v>
      </c>
      <c r="C22" s="32" t="s">
        <v>2290</v>
      </c>
      <c r="D22" s="32" t="s">
        <v>2291</v>
      </c>
      <c r="E22" s="32" t="s">
        <v>2292</v>
      </c>
      <c r="F22" s="4" t="s">
        <v>2264</v>
      </c>
      <c r="G22" s="4" t="s">
        <v>2293</v>
      </c>
      <c r="K22" s="18"/>
      <c r="L22" s="35" t="s">
        <v>2284</v>
      </c>
      <c r="M22" s="19" t="s">
        <v>2285</v>
      </c>
      <c r="N22" s="19" t="s">
        <v>2294</v>
      </c>
      <c r="O22" s="19" t="s">
        <v>2287</v>
      </c>
      <c r="P22" s="19" t="s">
        <v>2288</v>
      </c>
      <c r="Q22" s="19" t="s">
        <v>2289</v>
      </c>
      <c r="R22" s="20"/>
      <c r="S22" s="20"/>
      <c r="T22" s="20"/>
      <c r="U22" s="34"/>
      <c r="AF22" s="11" t="str">
        <f t="shared" si="2"/>
        <v>w796-black</v>
      </c>
      <c r="AG22" s="11" t="str">
        <f t="shared" ref="AG22:AO22" si="21">if(not(isblank(M22)),", "&amp;M22,"")</f>
        <v>, w796-rose-charcoal</v>
      </c>
      <c r="AH22" s="11" t="str">
        <f t="shared" si="21"/>
        <v>, rose-navy</v>
      </c>
      <c r="AI22" s="11" t="str">
        <f t="shared" si="21"/>
        <v>, rose-old-rose</v>
      </c>
      <c r="AJ22" s="11" t="str">
        <f t="shared" si="21"/>
        <v>, rose-raspberry</v>
      </c>
      <c r="AK22" s="11" t="str">
        <f t="shared" si="21"/>
        <v>, w796-wine</v>
      </c>
      <c r="AL22" s="11" t="str">
        <f t="shared" si="21"/>
        <v/>
      </c>
      <c r="AM22" s="11" t="str">
        <f t="shared" si="21"/>
        <v/>
      </c>
      <c r="AN22" s="11" t="str">
        <f t="shared" si="21"/>
        <v/>
      </c>
      <c r="AO22" s="11" t="str">
        <f t="shared" si="21"/>
        <v/>
      </c>
      <c r="AP22" s="21" t="str">
        <f t="shared" si="4"/>
        <v>w796-black, w796-rose-charcoal, rose-navy, rose-old-rose, rose-raspberry, w796-wine</v>
      </c>
    </row>
    <row r="23" ht="16.5" customHeight="1">
      <c r="A23" s="32" t="s">
        <v>154</v>
      </c>
      <c r="B23" s="32" t="s">
        <v>168</v>
      </c>
      <c r="C23" s="32" t="s">
        <v>2295</v>
      </c>
      <c r="D23" s="32" t="s">
        <v>2296</v>
      </c>
      <c r="E23" s="32" t="s">
        <v>2297</v>
      </c>
      <c r="F23" s="4" t="s">
        <v>2298</v>
      </c>
      <c r="G23" s="4" t="s">
        <v>2299</v>
      </c>
      <c r="H23" s="4"/>
      <c r="K23" s="18"/>
      <c r="L23" s="35" t="s">
        <v>2284</v>
      </c>
      <c r="M23" s="19" t="s">
        <v>2285</v>
      </c>
      <c r="N23" s="19" t="s">
        <v>2294</v>
      </c>
      <c r="O23" s="19" t="s">
        <v>2286</v>
      </c>
      <c r="P23" s="19" t="s">
        <v>2288</v>
      </c>
      <c r="Q23" s="19" t="s">
        <v>2289</v>
      </c>
      <c r="R23" s="20"/>
      <c r="S23" s="20"/>
      <c r="T23" s="20"/>
      <c r="U23" s="34"/>
      <c r="AF23" s="11" t="str">
        <f t="shared" si="2"/>
        <v>w796-black</v>
      </c>
      <c r="AG23" s="11" t="str">
        <f t="shared" ref="AG23:AO23" si="22">if(not(isblank(M23)),", "&amp;M23,"")</f>
        <v>, w796-rose-charcoal</v>
      </c>
      <c r="AH23" s="11" t="str">
        <f t="shared" si="22"/>
        <v>, rose-navy</v>
      </c>
      <c r="AI23" s="11" t="str">
        <f t="shared" si="22"/>
        <v>, w796-rose-duck-egg</v>
      </c>
      <c r="AJ23" s="11" t="str">
        <f t="shared" si="22"/>
        <v>, rose-raspberry</v>
      </c>
      <c r="AK23" s="11" t="str">
        <f t="shared" si="22"/>
        <v>, w796-wine</v>
      </c>
      <c r="AL23" s="11" t="str">
        <f t="shared" si="22"/>
        <v/>
      </c>
      <c r="AM23" s="11" t="str">
        <f t="shared" si="22"/>
        <v/>
      </c>
      <c r="AN23" s="11" t="str">
        <f t="shared" si="22"/>
        <v/>
      </c>
      <c r="AO23" s="11" t="str">
        <f t="shared" si="22"/>
        <v/>
      </c>
      <c r="AP23" s="21" t="str">
        <f t="shared" si="4"/>
        <v>w796-black, w796-rose-charcoal, rose-navy, w796-rose-duck-egg, rose-raspberry, w796-wine</v>
      </c>
    </row>
    <row r="24" ht="16.5" customHeight="1">
      <c r="A24" s="32" t="s">
        <v>154</v>
      </c>
      <c r="B24" s="32" t="s">
        <v>168</v>
      </c>
      <c r="C24" s="32" t="s">
        <v>2299</v>
      </c>
      <c r="D24" s="32" t="s">
        <v>2300</v>
      </c>
      <c r="E24" s="32" t="s">
        <v>2297</v>
      </c>
      <c r="F24" s="4" t="s">
        <v>2298</v>
      </c>
      <c r="G24" s="4" t="s">
        <v>2295</v>
      </c>
      <c r="H24" s="4"/>
      <c r="K24" s="18"/>
      <c r="L24" s="35" t="s">
        <v>2284</v>
      </c>
      <c r="M24" s="19" t="s">
        <v>2285</v>
      </c>
      <c r="N24" s="19" t="s">
        <v>2294</v>
      </c>
      <c r="O24" s="19" t="s">
        <v>2286</v>
      </c>
      <c r="P24" s="19" t="s">
        <v>2287</v>
      </c>
      <c r="Q24" s="19" t="s">
        <v>2289</v>
      </c>
      <c r="R24" s="20"/>
      <c r="S24" s="20"/>
      <c r="T24" s="20"/>
      <c r="U24" s="34"/>
      <c r="AF24" s="11" t="str">
        <f t="shared" si="2"/>
        <v>w796-black</v>
      </c>
      <c r="AG24" s="11" t="str">
        <f t="shared" ref="AG24:AO24" si="23">if(not(isblank(M24)),", "&amp;M24,"")</f>
        <v>, w796-rose-charcoal</v>
      </c>
      <c r="AH24" s="11" t="str">
        <f t="shared" si="23"/>
        <v>, rose-navy</v>
      </c>
      <c r="AI24" s="11" t="str">
        <f t="shared" si="23"/>
        <v>, w796-rose-duck-egg</v>
      </c>
      <c r="AJ24" s="11" t="str">
        <f t="shared" si="23"/>
        <v>, rose-old-rose</v>
      </c>
      <c r="AK24" s="11" t="str">
        <f t="shared" si="23"/>
        <v>, w796-wine</v>
      </c>
      <c r="AL24" s="11" t="str">
        <f t="shared" si="23"/>
        <v/>
      </c>
      <c r="AM24" s="11" t="str">
        <f t="shared" si="23"/>
        <v/>
      </c>
      <c r="AN24" s="11" t="str">
        <f t="shared" si="23"/>
        <v/>
      </c>
      <c r="AO24" s="11" t="str">
        <f t="shared" si="23"/>
        <v/>
      </c>
      <c r="AP24" s="21" t="str">
        <f t="shared" si="4"/>
        <v>w796-black, w796-rose-charcoal, rose-navy, w796-rose-duck-egg, rose-old-rose, w796-wine</v>
      </c>
    </row>
    <row r="25" ht="16.5" customHeight="1">
      <c r="A25" s="32" t="s">
        <v>154</v>
      </c>
      <c r="B25" s="32" t="s">
        <v>165</v>
      </c>
      <c r="C25" s="32" t="s">
        <v>2301</v>
      </c>
      <c r="D25" s="32" t="s">
        <v>2302</v>
      </c>
      <c r="E25" s="32" t="s">
        <v>2303</v>
      </c>
      <c r="F25" s="4" t="s">
        <v>2304</v>
      </c>
      <c r="G25" s="4"/>
      <c r="H25" s="4"/>
      <c r="K25" s="18"/>
      <c r="L25" s="35" t="s">
        <v>2284</v>
      </c>
      <c r="M25" s="19" t="s">
        <v>2285</v>
      </c>
      <c r="N25" s="19" t="s">
        <v>2294</v>
      </c>
      <c r="O25" s="19" t="s">
        <v>2286</v>
      </c>
      <c r="P25" s="19" t="s">
        <v>2287</v>
      </c>
      <c r="Q25" s="19" t="s">
        <v>2288</v>
      </c>
      <c r="R25" s="20"/>
      <c r="S25" s="20"/>
      <c r="T25" s="20"/>
      <c r="U25" s="34"/>
      <c r="AF25" s="11" t="str">
        <f t="shared" si="2"/>
        <v>w796-black</v>
      </c>
      <c r="AG25" s="11" t="str">
        <f t="shared" ref="AG25:AO25" si="24">if(not(isblank(M25)),", "&amp;M25,"")</f>
        <v>, w796-rose-charcoal</v>
      </c>
      <c r="AH25" s="11" t="str">
        <f t="shared" si="24"/>
        <v>, rose-navy</v>
      </c>
      <c r="AI25" s="11" t="str">
        <f t="shared" si="24"/>
        <v>, w796-rose-duck-egg</v>
      </c>
      <c r="AJ25" s="11" t="str">
        <f t="shared" si="24"/>
        <v>, rose-old-rose</v>
      </c>
      <c r="AK25" s="11" t="str">
        <f t="shared" si="24"/>
        <v>, rose-raspberry</v>
      </c>
      <c r="AL25" s="11" t="str">
        <f t="shared" si="24"/>
        <v/>
      </c>
      <c r="AM25" s="11" t="str">
        <f t="shared" si="24"/>
        <v/>
      </c>
      <c r="AN25" s="11" t="str">
        <f t="shared" si="24"/>
        <v/>
      </c>
      <c r="AO25" s="11" t="str">
        <f t="shared" si="24"/>
        <v/>
      </c>
      <c r="AP25" s="21" t="str">
        <f t="shared" si="4"/>
        <v>w796-black, w796-rose-charcoal, rose-navy, w796-rose-duck-egg, rose-old-rose, rose-raspberry</v>
      </c>
    </row>
    <row r="26" ht="16.5" customHeight="1">
      <c r="A26" s="32" t="s">
        <v>154</v>
      </c>
      <c r="B26" s="32" t="s">
        <v>155</v>
      </c>
      <c r="C26" s="32" t="s">
        <v>2305</v>
      </c>
      <c r="D26" s="32" t="s">
        <v>2306</v>
      </c>
      <c r="E26" s="32" t="s">
        <v>2307</v>
      </c>
      <c r="F26" s="4" t="s">
        <v>2264</v>
      </c>
      <c r="G26" s="4" t="s">
        <v>2308</v>
      </c>
      <c r="K26" s="18"/>
      <c r="L26" s="33"/>
      <c r="M26" s="20"/>
      <c r="N26" s="20"/>
      <c r="O26" s="20"/>
      <c r="P26" s="20"/>
      <c r="Q26" s="20"/>
      <c r="R26" s="20"/>
      <c r="S26" s="20"/>
      <c r="T26" s="20"/>
      <c r="U26" s="34"/>
      <c r="AF26" s="11" t="str">
        <f t="shared" si="2"/>
        <v/>
      </c>
      <c r="AG26" s="11" t="str">
        <f t="shared" ref="AG26:AO26" si="25">if(not(isblank(M26)),", "&amp;M26,"")</f>
        <v/>
      </c>
      <c r="AH26" s="11" t="str">
        <f t="shared" si="25"/>
        <v/>
      </c>
      <c r="AI26" s="11" t="str">
        <f t="shared" si="25"/>
        <v/>
      </c>
      <c r="AJ26" s="11" t="str">
        <f t="shared" si="25"/>
        <v/>
      </c>
      <c r="AK26" s="11" t="str">
        <f t="shared" si="25"/>
        <v/>
      </c>
      <c r="AL26" s="11" t="str">
        <f t="shared" si="25"/>
        <v/>
      </c>
      <c r="AM26" s="11" t="str">
        <f t="shared" si="25"/>
        <v/>
      </c>
      <c r="AN26" s="11" t="str">
        <f t="shared" si="25"/>
        <v/>
      </c>
      <c r="AO26" s="11" t="str">
        <f t="shared" si="25"/>
        <v/>
      </c>
      <c r="AP26" s="21" t="str">
        <f t="shared" si="4"/>
        <v>boston-big-buckle-fur-eggshell, boston-suede-mocha, boston-taupe, boston-suede-velvet-grey, boston-suede-faded-purple, boston-suede-stone-coin, boston-elemental-blue, boston-faded-lime, boston-suede-leather-faded-khaki, boston-wool-felt-anthracite, boston-shearling-suede-leather-mink, boston-shearling-suede-leather-mocha</v>
      </c>
    </row>
    <row r="27" ht="16.5" customHeight="1">
      <c r="A27" s="32" t="s">
        <v>154</v>
      </c>
      <c r="B27" s="32" t="s">
        <v>165</v>
      </c>
      <c r="C27" s="32" t="s">
        <v>2309</v>
      </c>
      <c r="D27" s="32" t="s">
        <v>2310</v>
      </c>
      <c r="E27" s="32" t="s">
        <v>2311</v>
      </c>
      <c r="F27" s="4" t="s">
        <v>2312</v>
      </c>
      <c r="G27" s="4" t="s">
        <v>2313</v>
      </c>
      <c r="K27" s="18"/>
      <c r="L27" s="33"/>
      <c r="M27" s="20"/>
      <c r="N27" s="20"/>
      <c r="O27" s="20"/>
      <c r="P27" s="20"/>
      <c r="Q27" s="20"/>
      <c r="R27" s="20"/>
      <c r="S27" s="20"/>
      <c r="T27" s="20"/>
      <c r="U27" s="34"/>
      <c r="AF27" s="11" t="str">
        <f t="shared" si="2"/>
        <v/>
      </c>
      <c r="AG27" s="11" t="str">
        <f t="shared" ref="AG27:AO27" si="26">if(not(isblank(M27)),", "&amp;M27,"")</f>
        <v/>
      </c>
      <c r="AH27" s="11" t="str">
        <f t="shared" si="26"/>
        <v/>
      </c>
      <c r="AI27" s="11" t="str">
        <f t="shared" si="26"/>
        <v/>
      </c>
      <c r="AJ27" s="11" t="str">
        <f t="shared" si="26"/>
        <v/>
      </c>
      <c r="AK27" s="11" t="str">
        <f t="shared" si="26"/>
        <v/>
      </c>
      <c r="AL27" s="11" t="str">
        <f t="shared" si="26"/>
        <v/>
      </c>
      <c r="AM27" s="11" t="str">
        <f t="shared" si="26"/>
        <v/>
      </c>
      <c r="AN27" s="11" t="str">
        <f t="shared" si="26"/>
        <v/>
      </c>
      <c r="AO27" s="11" t="str">
        <f t="shared" si="26"/>
        <v/>
      </c>
      <c r="AP27" s="21" t="str">
        <f t="shared" si="4"/>
        <v>arizona-elemental-blue, arizona-sfb-vl-black</v>
      </c>
    </row>
    <row r="28" ht="16.5" customHeight="1">
      <c r="A28" s="32" t="s">
        <v>154</v>
      </c>
      <c r="B28" s="32" t="s">
        <v>155</v>
      </c>
      <c r="C28" s="32" t="s">
        <v>2314</v>
      </c>
      <c r="D28" s="32" t="s">
        <v>2315</v>
      </c>
      <c r="E28" s="32" t="s">
        <v>2316</v>
      </c>
      <c r="F28" s="4" t="s">
        <v>2264</v>
      </c>
      <c r="G28" s="4" t="s">
        <v>2317</v>
      </c>
      <c r="K28" s="18"/>
      <c r="L28" s="33"/>
      <c r="M28" s="20"/>
      <c r="N28" s="20"/>
      <c r="O28" s="20"/>
      <c r="P28" s="20"/>
      <c r="Q28" s="20"/>
      <c r="R28" s="20"/>
      <c r="S28" s="20"/>
      <c r="T28" s="20"/>
      <c r="U28" s="34"/>
      <c r="AF28" s="11" t="str">
        <f t="shared" si="2"/>
        <v/>
      </c>
      <c r="AG28" s="11" t="str">
        <f t="shared" ref="AG28:AO28" si="27">if(not(isblank(M28)),", "&amp;M28,"")</f>
        <v/>
      </c>
      <c r="AH28" s="11" t="str">
        <f t="shared" si="27"/>
        <v/>
      </c>
      <c r="AI28" s="11" t="str">
        <f t="shared" si="27"/>
        <v/>
      </c>
      <c r="AJ28" s="11" t="str">
        <f t="shared" si="27"/>
        <v/>
      </c>
      <c r="AK28" s="11" t="str">
        <f t="shared" si="27"/>
        <v/>
      </c>
      <c r="AL28" s="11" t="str">
        <f t="shared" si="27"/>
        <v/>
      </c>
      <c r="AM28" s="11" t="str">
        <f t="shared" si="27"/>
        <v/>
      </c>
      <c r="AN28" s="11" t="str">
        <f t="shared" si="27"/>
        <v/>
      </c>
      <c r="AO28" s="11" t="str">
        <f t="shared" si="27"/>
        <v/>
      </c>
      <c r="AP28" s="21" t="str">
        <f t="shared" si="4"/>
        <v>boston-suede-faded-purple, boston-suede-velvet-grey, boston-suede-stone-coin, boston-elemental-blue, boston-faded-lime, boston-mink-suede, boston-taupe, boston-wool-felt-anthracite, boston-shearling-suede-leather-mocha, boston-shearling-suede-leather-mink, boston-suede-leather-faded-khaki</v>
      </c>
    </row>
    <row r="29" ht="16.5" customHeight="1">
      <c r="A29" s="32" t="s">
        <v>154</v>
      </c>
      <c r="B29" s="32" t="s">
        <v>155</v>
      </c>
      <c r="C29" s="32" t="s">
        <v>2318</v>
      </c>
      <c r="D29" s="32" t="s">
        <v>2319</v>
      </c>
      <c r="E29" s="32" t="s">
        <v>2320</v>
      </c>
      <c r="F29" s="4" t="s">
        <v>2321</v>
      </c>
      <c r="G29" s="4" t="s">
        <v>2322</v>
      </c>
      <c r="K29" s="18"/>
      <c r="L29" s="33"/>
      <c r="M29" s="20"/>
      <c r="N29" s="20"/>
      <c r="O29" s="20"/>
      <c r="P29" s="20"/>
      <c r="Q29" s="20"/>
      <c r="R29" s="20"/>
      <c r="S29" s="20"/>
      <c r="T29" s="20"/>
      <c r="U29" s="34"/>
      <c r="AF29" s="11" t="str">
        <f t="shared" si="2"/>
        <v/>
      </c>
      <c r="AG29" s="11" t="str">
        <f t="shared" ref="AG29:AO29" si="28">if(not(isblank(M29)),", "&amp;M29,"")</f>
        <v/>
      </c>
      <c r="AH29" s="11" t="str">
        <f t="shared" si="28"/>
        <v/>
      </c>
      <c r="AI29" s="11" t="str">
        <f t="shared" si="28"/>
        <v/>
      </c>
      <c r="AJ29" s="11" t="str">
        <f t="shared" si="28"/>
        <v/>
      </c>
      <c r="AK29" s="11" t="str">
        <f t="shared" si="28"/>
        <v/>
      </c>
      <c r="AL29" s="11" t="str">
        <f t="shared" si="28"/>
        <v/>
      </c>
      <c r="AM29" s="11" t="str">
        <f t="shared" si="28"/>
        <v/>
      </c>
      <c r="AN29" s="11" t="str">
        <f t="shared" si="28"/>
        <v/>
      </c>
      <c r="AO29" s="11" t="str">
        <f t="shared" si="28"/>
        <v/>
      </c>
      <c r="AP29" s="21" t="str">
        <f t="shared" si="4"/>
        <v>boston-suede-faded-purple, boston-suede-velvet-grey, boston-elemental-blue, boston-faded-lime, boston-suede-mocha, boston-mink-suede, boston-taupe, boston-big-buckle-fur-eggshell, boston-wool-felt-anthracite, boston-shearling-suede-leather-mink, boston-shearling-suede-leather-mocha, boston-suede-leather-faded-khaki</v>
      </c>
    </row>
    <row r="30" ht="16.5" customHeight="1">
      <c r="A30" s="32" t="s">
        <v>154</v>
      </c>
      <c r="B30" s="32" t="s">
        <v>155</v>
      </c>
      <c r="C30" s="32" t="s">
        <v>2323</v>
      </c>
      <c r="D30" s="32" t="s">
        <v>2324</v>
      </c>
      <c r="E30" s="32" t="s">
        <v>2325</v>
      </c>
      <c r="F30" s="4" t="s">
        <v>2326</v>
      </c>
      <c r="G30" s="4" t="s">
        <v>2327</v>
      </c>
      <c r="K30" s="18"/>
      <c r="L30" s="33"/>
      <c r="M30" s="20"/>
      <c r="N30" s="20"/>
      <c r="O30" s="20"/>
      <c r="P30" s="20"/>
      <c r="Q30" s="20"/>
      <c r="R30" s="20"/>
      <c r="S30" s="20"/>
      <c r="T30" s="20"/>
      <c r="U30" s="34"/>
      <c r="AF30" s="11" t="str">
        <f t="shared" si="2"/>
        <v/>
      </c>
      <c r="AG30" s="11" t="str">
        <f t="shared" ref="AG30:AO30" si="29">if(not(isblank(M30)),", "&amp;M30,"")</f>
        <v/>
      </c>
      <c r="AH30" s="11" t="str">
        <f t="shared" si="29"/>
        <v/>
      </c>
      <c r="AI30" s="11" t="str">
        <f t="shared" si="29"/>
        <v/>
      </c>
      <c r="AJ30" s="11" t="str">
        <f t="shared" si="29"/>
        <v/>
      </c>
      <c r="AK30" s="11" t="str">
        <f t="shared" si="29"/>
        <v/>
      </c>
      <c r="AL30" s="11" t="str">
        <f t="shared" si="29"/>
        <v/>
      </c>
      <c r="AM30" s="11" t="str">
        <f t="shared" si="29"/>
        <v/>
      </c>
      <c r="AN30" s="11" t="str">
        <f t="shared" si="29"/>
        <v/>
      </c>
      <c r="AO30" s="11" t="str">
        <f t="shared" si="29"/>
        <v/>
      </c>
      <c r="AP30" s="21" t="str">
        <f t="shared" si="4"/>
        <v>boston-suede-faded-purple, boston-suede-stone-coin, boston-big-buckle-fur-eggshell, boston-suede-mocha, boston-mink-suede, boston-elemental-blue, boston-faded-lime, boston-taupe, boston-wool-felt-anthracite, boston-shearling-suede-leather-mink, boston-shearling-suede-leather-mocha, boston-suede-leather-faded-khaki</v>
      </c>
    </row>
    <row r="31" ht="16.5" customHeight="1">
      <c r="A31" s="32" t="s">
        <v>154</v>
      </c>
      <c r="B31" s="32" t="s">
        <v>155</v>
      </c>
      <c r="C31" s="32" t="s">
        <v>2328</v>
      </c>
      <c r="D31" s="32" t="s">
        <v>2329</v>
      </c>
      <c r="E31" s="32" t="s">
        <v>2330</v>
      </c>
      <c r="F31" s="4" t="s">
        <v>2331</v>
      </c>
      <c r="G31" s="4" t="s">
        <v>2332</v>
      </c>
      <c r="H31" s="4"/>
      <c r="K31" s="18"/>
      <c r="L31" s="33"/>
      <c r="M31" s="20"/>
      <c r="N31" s="20"/>
      <c r="O31" s="20"/>
      <c r="P31" s="20"/>
      <c r="Q31" s="20"/>
      <c r="R31" s="20"/>
      <c r="S31" s="20"/>
      <c r="T31" s="20"/>
      <c r="U31" s="34"/>
      <c r="AF31" s="11" t="str">
        <f t="shared" si="2"/>
        <v/>
      </c>
      <c r="AG31" s="11" t="str">
        <f t="shared" ref="AG31:AO31" si="30">if(not(isblank(M31)),", "&amp;M31,"")</f>
        <v/>
      </c>
      <c r="AH31" s="11" t="str">
        <f t="shared" si="30"/>
        <v/>
      </c>
      <c r="AI31" s="11" t="str">
        <f t="shared" si="30"/>
        <v/>
      </c>
      <c r="AJ31" s="11" t="str">
        <f t="shared" si="30"/>
        <v/>
      </c>
      <c r="AK31" s="11" t="str">
        <f t="shared" si="30"/>
        <v/>
      </c>
      <c r="AL31" s="11" t="str">
        <f t="shared" si="30"/>
        <v/>
      </c>
      <c r="AM31" s="11" t="str">
        <f t="shared" si="30"/>
        <v/>
      </c>
      <c r="AN31" s="11" t="str">
        <f t="shared" si="30"/>
        <v/>
      </c>
      <c r="AO31" s="11" t="str">
        <f t="shared" si="30"/>
        <v/>
      </c>
      <c r="AP31" s="21" t="str">
        <f t="shared" si="4"/>
        <v>london-suede-taupe</v>
      </c>
    </row>
    <row r="32" ht="16.5" customHeight="1">
      <c r="A32" s="32" t="s">
        <v>154</v>
      </c>
      <c r="B32" s="32" t="s">
        <v>155</v>
      </c>
      <c r="C32" s="32" t="s">
        <v>2332</v>
      </c>
      <c r="D32" s="32" t="s">
        <v>2333</v>
      </c>
      <c r="E32" s="32" t="s">
        <v>2334</v>
      </c>
      <c r="F32" s="4" t="s">
        <v>2331</v>
      </c>
      <c r="G32" s="4" t="s">
        <v>2328</v>
      </c>
      <c r="H32" s="4"/>
      <c r="K32" s="18"/>
      <c r="L32" s="33"/>
      <c r="M32" s="20"/>
      <c r="N32" s="20"/>
      <c r="O32" s="20"/>
      <c r="P32" s="20"/>
      <c r="Q32" s="20"/>
      <c r="R32" s="20"/>
      <c r="S32" s="20"/>
      <c r="T32" s="20"/>
      <c r="U32" s="34"/>
      <c r="AF32" s="11" t="str">
        <f t="shared" si="2"/>
        <v/>
      </c>
      <c r="AG32" s="11" t="str">
        <f t="shared" ref="AG32:AO32" si="31">if(not(isblank(M32)),", "&amp;M32,"")</f>
        <v/>
      </c>
      <c r="AH32" s="11" t="str">
        <f t="shared" si="31"/>
        <v/>
      </c>
      <c r="AI32" s="11" t="str">
        <f t="shared" si="31"/>
        <v/>
      </c>
      <c r="AJ32" s="11" t="str">
        <f t="shared" si="31"/>
        <v/>
      </c>
      <c r="AK32" s="11" t="str">
        <f t="shared" si="31"/>
        <v/>
      </c>
      <c r="AL32" s="11" t="str">
        <f t="shared" si="31"/>
        <v/>
      </c>
      <c r="AM32" s="11" t="str">
        <f t="shared" si="31"/>
        <v/>
      </c>
      <c r="AN32" s="11" t="str">
        <f t="shared" si="31"/>
        <v/>
      </c>
      <c r="AO32" s="11" t="str">
        <f t="shared" si="31"/>
        <v/>
      </c>
      <c r="AP32" s="21" t="str">
        <f t="shared" si="4"/>
        <v>london-suede-black</v>
      </c>
    </row>
    <row r="33" ht="16.5" customHeight="1">
      <c r="A33" s="32" t="s">
        <v>154</v>
      </c>
      <c r="B33" s="32" t="s">
        <v>155</v>
      </c>
      <c r="C33" s="32" t="s">
        <v>2260</v>
      </c>
      <c r="D33" s="32" t="s">
        <v>2335</v>
      </c>
      <c r="E33" s="32" t="s">
        <v>2258</v>
      </c>
      <c r="F33" s="4" t="s">
        <v>2336</v>
      </c>
      <c r="G33" s="4" t="s">
        <v>2256</v>
      </c>
      <c r="H33" s="4"/>
      <c r="K33" s="18"/>
      <c r="L33" s="33"/>
      <c r="M33" s="20"/>
      <c r="N33" s="20"/>
      <c r="O33" s="20"/>
      <c r="P33" s="20"/>
      <c r="Q33" s="20"/>
      <c r="R33" s="20"/>
      <c r="S33" s="20"/>
      <c r="T33" s="20"/>
      <c r="U33" s="34"/>
      <c r="AF33" s="11" t="str">
        <f t="shared" si="2"/>
        <v/>
      </c>
      <c r="AG33" s="11" t="str">
        <f t="shared" ref="AG33:AO33" si="32">if(not(isblank(M33)),", "&amp;M33,"")</f>
        <v/>
      </c>
      <c r="AH33" s="11" t="str">
        <f t="shared" si="32"/>
        <v/>
      </c>
      <c r="AI33" s="11" t="str">
        <f t="shared" si="32"/>
        <v/>
      </c>
      <c r="AJ33" s="11" t="str">
        <f t="shared" si="32"/>
        <v/>
      </c>
      <c r="AK33" s="11" t="str">
        <f t="shared" si="32"/>
        <v/>
      </c>
      <c r="AL33" s="11" t="str">
        <f t="shared" si="32"/>
        <v/>
      </c>
      <c r="AM33" s="11" t="str">
        <f t="shared" si="32"/>
        <v/>
      </c>
      <c r="AN33" s="11" t="str">
        <f t="shared" si="32"/>
        <v/>
      </c>
      <c r="AO33" s="11" t="str">
        <f t="shared" si="32"/>
        <v/>
      </c>
      <c r="AP33" s="21" t="str">
        <f t="shared" si="4"/>
        <v>zurich-vl-taupe</v>
      </c>
    </row>
    <row r="34" ht="16.5" customHeight="1">
      <c r="A34" s="32" t="s">
        <v>154</v>
      </c>
      <c r="B34" s="32" t="s">
        <v>165</v>
      </c>
      <c r="C34" s="32" t="s">
        <v>2337</v>
      </c>
      <c r="D34" s="32" t="s">
        <v>2338</v>
      </c>
      <c r="E34" s="32" t="s">
        <v>2339</v>
      </c>
      <c r="F34" s="4" t="s">
        <v>2340</v>
      </c>
      <c r="G34" s="4" t="s">
        <v>2341</v>
      </c>
      <c r="K34" s="18"/>
      <c r="L34" s="33"/>
      <c r="M34" s="20"/>
      <c r="N34" s="20"/>
      <c r="O34" s="20"/>
      <c r="P34" s="20"/>
      <c r="Q34" s="20"/>
      <c r="R34" s="20"/>
      <c r="S34" s="20"/>
      <c r="T34" s="20"/>
      <c r="U34" s="34"/>
      <c r="AP34" s="21"/>
    </row>
    <row r="35" ht="16.5" customHeight="1">
      <c r="A35" s="32" t="s">
        <v>154</v>
      </c>
      <c r="B35" s="32" t="s">
        <v>155</v>
      </c>
      <c r="C35" s="32" t="s">
        <v>2342</v>
      </c>
      <c r="D35" s="32" t="s">
        <v>2343</v>
      </c>
      <c r="E35" s="32" t="s">
        <v>2344</v>
      </c>
      <c r="F35" s="4" t="s">
        <v>2345</v>
      </c>
      <c r="G35" s="4" t="s">
        <v>2346</v>
      </c>
      <c r="K35" s="18"/>
      <c r="L35" s="33"/>
      <c r="M35" s="20"/>
      <c r="N35" s="20"/>
      <c r="O35" s="20"/>
      <c r="P35" s="20"/>
      <c r="Q35" s="20"/>
      <c r="R35" s="20"/>
      <c r="S35" s="20"/>
      <c r="T35" s="20"/>
      <c r="U35" s="34"/>
      <c r="AP35" s="21"/>
    </row>
    <row r="36" ht="16.5" customHeight="1">
      <c r="A36" s="32" t="s">
        <v>2347</v>
      </c>
      <c r="B36" s="32" t="s">
        <v>2348</v>
      </c>
      <c r="C36" s="32" t="s">
        <v>2349</v>
      </c>
      <c r="D36" s="32" t="s">
        <v>2350</v>
      </c>
      <c r="E36" s="32" t="s">
        <v>2351</v>
      </c>
      <c r="F36" s="4" t="s">
        <v>2352</v>
      </c>
      <c r="G36" s="4"/>
      <c r="H36" s="4"/>
      <c r="K36" s="18"/>
      <c r="L36" s="33"/>
      <c r="M36" s="20"/>
      <c r="N36" s="20"/>
      <c r="O36" s="20"/>
      <c r="P36" s="20"/>
      <c r="Q36" s="20"/>
      <c r="R36" s="20"/>
      <c r="S36" s="20"/>
      <c r="T36" s="20"/>
      <c r="U36" s="34"/>
      <c r="AF36" s="11" t="str">
        <f t="shared" ref="AF36:AF63" si="34">if(not(isblank(L36)),L36,"")</f>
        <v/>
      </c>
      <c r="AG36" s="11" t="str">
        <f t="shared" ref="AG36:AO36" si="33">if(not(isblank(M36)),", "&amp;M36,"")</f>
        <v/>
      </c>
      <c r="AH36" s="11" t="str">
        <f t="shared" si="33"/>
        <v/>
      </c>
      <c r="AI36" s="11" t="str">
        <f t="shared" si="33"/>
        <v/>
      </c>
      <c r="AJ36" s="11" t="str">
        <f t="shared" si="33"/>
        <v/>
      </c>
      <c r="AK36" s="11" t="str">
        <f t="shared" si="33"/>
        <v/>
      </c>
      <c r="AL36" s="11" t="str">
        <f t="shared" si="33"/>
        <v/>
      </c>
      <c r="AM36" s="11" t="str">
        <f t="shared" si="33"/>
        <v/>
      </c>
      <c r="AN36" s="11" t="str">
        <f t="shared" si="33"/>
        <v/>
      </c>
      <c r="AO36" s="11" t="str">
        <f t="shared" si="33"/>
        <v/>
      </c>
      <c r="AP36" s="21" t="str">
        <f t="shared" ref="AP36:AP63" si="36">if(isblank(L36),G36,AF36&amp;AG36&amp;AH36&amp;AI36&amp;AJ36&amp;AK36&amp;AL36&amp;AM36&amp;AN36&amp;AO36)</f>
        <v/>
      </c>
    </row>
    <row r="37" ht="16.5" customHeight="1">
      <c r="A37" s="32" t="s">
        <v>2347</v>
      </c>
      <c r="B37" s="32" t="s">
        <v>2348</v>
      </c>
      <c r="C37" s="32" t="s">
        <v>2353</v>
      </c>
      <c r="D37" s="32" t="s">
        <v>2354</v>
      </c>
      <c r="E37" s="32" t="s">
        <v>2355</v>
      </c>
      <c r="F37" s="4" t="s">
        <v>2356</v>
      </c>
      <c r="G37" s="4"/>
      <c r="H37" s="4"/>
      <c r="K37" s="18"/>
      <c r="L37" s="33"/>
      <c r="M37" s="20"/>
      <c r="N37" s="20"/>
      <c r="O37" s="20"/>
      <c r="P37" s="20"/>
      <c r="Q37" s="20"/>
      <c r="R37" s="20"/>
      <c r="S37" s="20"/>
      <c r="T37" s="20"/>
      <c r="U37" s="34"/>
      <c r="AF37" s="11" t="str">
        <f t="shared" si="34"/>
        <v/>
      </c>
      <c r="AG37" s="11" t="str">
        <f t="shared" ref="AG37:AO37" si="35">if(not(isblank(M37)),", "&amp;M37,"")</f>
        <v/>
      </c>
      <c r="AH37" s="11" t="str">
        <f t="shared" si="35"/>
        <v/>
      </c>
      <c r="AI37" s="11" t="str">
        <f t="shared" si="35"/>
        <v/>
      </c>
      <c r="AJ37" s="11" t="str">
        <f t="shared" si="35"/>
        <v/>
      </c>
      <c r="AK37" s="11" t="str">
        <f t="shared" si="35"/>
        <v/>
      </c>
      <c r="AL37" s="11" t="str">
        <f t="shared" si="35"/>
        <v/>
      </c>
      <c r="AM37" s="11" t="str">
        <f t="shared" si="35"/>
        <v/>
      </c>
      <c r="AN37" s="11" t="str">
        <f t="shared" si="35"/>
        <v/>
      </c>
      <c r="AO37" s="11" t="str">
        <f t="shared" si="35"/>
        <v/>
      </c>
      <c r="AP37" s="21" t="str">
        <f t="shared" si="36"/>
        <v/>
      </c>
    </row>
    <row r="38" ht="16.5" customHeight="1">
      <c r="A38" s="32" t="s">
        <v>2347</v>
      </c>
      <c r="B38" s="32" t="s">
        <v>2348</v>
      </c>
      <c r="C38" s="32" t="s">
        <v>2357</v>
      </c>
      <c r="D38" s="32" t="s">
        <v>2358</v>
      </c>
      <c r="E38" s="32" t="s">
        <v>2359</v>
      </c>
      <c r="F38" s="4" t="s">
        <v>2360</v>
      </c>
      <c r="G38" s="4"/>
      <c r="H38" s="4"/>
      <c r="K38" s="18"/>
      <c r="L38" s="33"/>
      <c r="M38" s="20"/>
      <c r="N38" s="20"/>
      <c r="O38" s="20"/>
      <c r="P38" s="20"/>
      <c r="Q38" s="20"/>
      <c r="R38" s="20"/>
      <c r="S38" s="20"/>
      <c r="T38" s="20"/>
      <c r="U38" s="34"/>
      <c r="AF38" s="11" t="str">
        <f t="shared" si="34"/>
        <v/>
      </c>
      <c r="AG38" s="11" t="str">
        <f t="shared" ref="AG38:AO38" si="37">if(not(isblank(M38)),", "&amp;M38,"")</f>
        <v/>
      </c>
      <c r="AH38" s="11" t="str">
        <f t="shared" si="37"/>
        <v/>
      </c>
      <c r="AI38" s="11" t="str">
        <f t="shared" si="37"/>
        <v/>
      </c>
      <c r="AJ38" s="11" t="str">
        <f t="shared" si="37"/>
        <v/>
      </c>
      <c r="AK38" s="11" t="str">
        <f t="shared" si="37"/>
        <v/>
      </c>
      <c r="AL38" s="11" t="str">
        <f t="shared" si="37"/>
        <v/>
      </c>
      <c r="AM38" s="11" t="str">
        <f t="shared" si="37"/>
        <v/>
      </c>
      <c r="AN38" s="11" t="str">
        <f t="shared" si="37"/>
        <v/>
      </c>
      <c r="AO38" s="11" t="str">
        <f t="shared" si="37"/>
        <v/>
      </c>
      <c r="AP38" s="21" t="str">
        <f t="shared" si="36"/>
        <v/>
      </c>
    </row>
    <row r="39" ht="16.5" customHeight="1">
      <c r="A39" s="32" t="s">
        <v>2347</v>
      </c>
      <c r="B39" s="32" t="s">
        <v>2348</v>
      </c>
      <c r="C39" s="32" t="s">
        <v>2361</v>
      </c>
      <c r="D39" s="32" t="s">
        <v>2362</v>
      </c>
      <c r="E39" s="32" t="s">
        <v>2363</v>
      </c>
      <c r="F39" s="4" t="s">
        <v>2364</v>
      </c>
      <c r="G39" s="4"/>
      <c r="H39" s="4"/>
      <c r="K39" s="18"/>
      <c r="L39" s="33"/>
      <c r="M39" s="20"/>
      <c r="N39" s="20"/>
      <c r="O39" s="20"/>
      <c r="P39" s="20"/>
      <c r="Q39" s="20"/>
      <c r="R39" s="20"/>
      <c r="S39" s="20"/>
      <c r="T39" s="20"/>
      <c r="U39" s="34"/>
      <c r="AF39" s="11" t="str">
        <f t="shared" si="34"/>
        <v/>
      </c>
      <c r="AG39" s="11" t="str">
        <f t="shared" ref="AG39:AO39" si="38">if(not(isblank(M39)),", "&amp;M39,"")</f>
        <v/>
      </c>
      <c r="AH39" s="11" t="str">
        <f t="shared" si="38"/>
        <v/>
      </c>
      <c r="AI39" s="11" t="str">
        <f t="shared" si="38"/>
        <v/>
      </c>
      <c r="AJ39" s="11" t="str">
        <f t="shared" si="38"/>
        <v/>
      </c>
      <c r="AK39" s="11" t="str">
        <f t="shared" si="38"/>
        <v/>
      </c>
      <c r="AL39" s="11" t="str">
        <f t="shared" si="38"/>
        <v/>
      </c>
      <c r="AM39" s="11" t="str">
        <f t="shared" si="38"/>
        <v/>
      </c>
      <c r="AN39" s="11" t="str">
        <f t="shared" si="38"/>
        <v/>
      </c>
      <c r="AO39" s="11" t="str">
        <f t="shared" si="38"/>
        <v/>
      </c>
      <c r="AP39" s="21" t="str">
        <f t="shared" si="36"/>
        <v/>
      </c>
    </row>
    <row r="40" ht="16.5" customHeight="1">
      <c r="A40" s="32" t="s">
        <v>2347</v>
      </c>
      <c r="B40" s="32" t="s">
        <v>2348</v>
      </c>
      <c r="C40" s="32" t="s">
        <v>2365</v>
      </c>
      <c r="D40" s="32" t="s">
        <v>2366</v>
      </c>
      <c r="E40" s="32" t="s">
        <v>2367</v>
      </c>
      <c r="F40" s="4" t="s">
        <v>2368</v>
      </c>
      <c r="G40" s="4"/>
      <c r="H40" s="4"/>
      <c r="K40" s="18"/>
      <c r="L40" s="33"/>
      <c r="M40" s="20"/>
      <c r="N40" s="20"/>
      <c r="O40" s="20"/>
      <c r="P40" s="20"/>
      <c r="Q40" s="20"/>
      <c r="R40" s="20"/>
      <c r="S40" s="20"/>
      <c r="T40" s="20"/>
      <c r="U40" s="34"/>
      <c r="AF40" s="11" t="str">
        <f t="shared" si="34"/>
        <v/>
      </c>
      <c r="AG40" s="11" t="str">
        <f t="shared" ref="AG40:AO40" si="39">if(not(isblank(M40)),", "&amp;M40,"")</f>
        <v/>
      </c>
      <c r="AH40" s="11" t="str">
        <f t="shared" si="39"/>
        <v/>
      </c>
      <c r="AI40" s="11" t="str">
        <f t="shared" si="39"/>
        <v/>
      </c>
      <c r="AJ40" s="11" t="str">
        <f t="shared" si="39"/>
        <v/>
      </c>
      <c r="AK40" s="11" t="str">
        <f t="shared" si="39"/>
        <v/>
      </c>
      <c r="AL40" s="11" t="str">
        <f t="shared" si="39"/>
        <v/>
      </c>
      <c r="AM40" s="11" t="str">
        <f t="shared" si="39"/>
        <v/>
      </c>
      <c r="AN40" s="11" t="str">
        <f t="shared" si="39"/>
        <v/>
      </c>
      <c r="AO40" s="11" t="str">
        <f t="shared" si="39"/>
        <v/>
      </c>
      <c r="AP40" s="21" t="str">
        <f t="shared" si="36"/>
        <v/>
      </c>
    </row>
    <row r="41" ht="16.5" customHeight="1">
      <c r="A41" s="32" t="s">
        <v>2347</v>
      </c>
      <c r="B41" s="32" t="s">
        <v>2348</v>
      </c>
      <c r="C41" s="32" t="s">
        <v>2369</v>
      </c>
      <c r="D41" s="32" t="s">
        <v>2370</v>
      </c>
      <c r="E41" s="32" t="s">
        <v>2371</v>
      </c>
      <c r="F41" s="4" t="s">
        <v>2372</v>
      </c>
      <c r="G41" s="4"/>
      <c r="H41" s="4"/>
      <c r="K41" s="18"/>
      <c r="L41" s="33"/>
      <c r="M41" s="20"/>
      <c r="N41" s="20"/>
      <c r="O41" s="20"/>
      <c r="P41" s="20"/>
      <c r="Q41" s="20"/>
      <c r="R41" s="20"/>
      <c r="S41" s="20"/>
      <c r="T41" s="20"/>
      <c r="U41" s="34"/>
      <c r="AF41" s="11" t="str">
        <f t="shared" si="34"/>
        <v/>
      </c>
      <c r="AG41" s="11" t="str">
        <f t="shared" ref="AG41:AO41" si="40">if(not(isblank(M41)),", "&amp;M41,"")</f>
        <v/>
      </c>
      <c r="AH41" s="11" t="str">
        <f t="shared" si="40"/>
        <v/>
      </c>
      <c r="AI41" s="11" t="str">
        <f t="shared" si="40"/>
        <v/>
      </c>
      <c r="AJ41" s="11" t="str">
        <f t="shared" si="40"/>
        <v/>
      </c>
      <c r="AK41" s="11" t="str">
        <f t="shared" si="40"/>
        <v/>
      </c>
      <c r="AL41" s="11" t="str">
        <f t="shared" si="40"/>
        <v/>
      </c>
      <c r="AM41" s="11" t="str">
        <f t="shared" si="40"/>
        <v/>
      </c>
      <c r="AN41" s="11" t="str">
        <f t="shared" si="40"/>
        <v/>
      </c>
      <c r="AO41" s="11" t="str">
        <f t="shared" si="40"/>
        <v/>
      </c>
      <c r="AP41" s="21" t="str">
        <f t="shared" si="36"/>
        <v/>
      </c>
    </row>
    <row r="42" ht="16.5" customHeight="1">
      <c r="A42" s="32" t="s">
        <v>2347</v>
      </c>
      <c r="B42" s="32" t="s">
        <v>2348</v>
      </c>
      <c r="C42" s="32" t="s">
        <v>2373</v>
      </c>
      <c r="D42" s="32" t="s">
        <v>2374</v>
      </c>
      <c r="E42" s="32" t="s">
        <v>2375</v>
      </c>
      <c r="F42" s="4" t="s">
        <v>2376</v>
      </c>
      <c r="G42" s="4"/>
      <c r="H42" s="4"/>
      <c r="K42" s="18"/>
      <c r="L42" s="33"/>
      <c r="M42" s="20"/>
      <c r="N42" s="20"/>
      <c r="O42" s="20"/>
      <c r="P42" s="20"/>
      <c r="Q42" s="20"/>
      <c r="R42" s="20"/>
      <c r="S42" s="20"/>
      <c r="T42" s="20"/>
      <c r="U42" s="34"/>
      <c r="AF42" s="11" t="str">
        <f t="shared" si="34"/>
        <v/>
      </c>
      <c r="AG42" s="11" t="str">
        <f t="shared" ref="AG42:AO42" si="41">if(not(isblank(M42)),", "&amp;M42,"")</f>
        <v/>
      </c>
      <c r="AH42" s="11" t="str">
        <f t="shared" si="41"/>
        <v/>
      </c>
      <c r="AI42" s="11" t="str">
        <f t="shared" si="41"/>
        <v/>
      </c>
      <c r="AJ42" s="11" t="str">
        <f t="shared" si="41"/>
        <v/>
      </c>
      <c r="AK42" s="11" t="str">
        <f t="shared" si="41"/>
        <v/>
      </c>
      <c r="AL42" s="11" t="str">
        <f t="shared" si="41"/>
        <v/>
      </c>
      <c r="AM42" s="11" t="str">
        <f t="shared" si="41"/>
        <v/>
      </c>
      <c r="AN42" s="11" t="str">
        <f t="shared" si="41"/>
        <v/>
      </c>
      <c r="AO42" s="11" t="str">
        <f t="shared" si="41"/>
        <v/>
      </c>
      <c r="AP42" s="21" t="str">
        <f t="shared" si="36"/>
        <v/>
      </c>
    </row>
    <row r="43" ht="16.5" customHeight="1">
      <c r="A43" s="32" t="s">
        <v>2347</v>
      </c>
      <c r="B43" s="32" t="s">
        <v>2348</v>
      </c>
      <c r="C43" s="32" t="s">
        <v>2377</v>
      </c>
      <c r="D43" s="32" t="s">
        <v>2378</v>
      </c>
      <c r="E43" s="32" t="s">
        <v>2379</v>
      </c>
      <c r="F43" s="4" t="s">
        <v>2380</v>
      </c>
      <c r="G43" s="4"/>
      <c r="H43" s="4"/>
      <c r="K43" s="18"/>
      <c r="L43" s="33"/>
      <c r="M43" s="20"/>
      <c r="N43" s="20"/>
      <c r="O43" s="20"/>
      <c r="P43" s="20"/>
      <c r="Q43" s="20"/>
      <c r="R43" s="20"/>
      <c r="S43" s="20"/>
      <c r="T43" s="20"/>
      <c r="U43" s="34"/>
      <c r="AF43" s="11" t="str">
        <f t="shared" si="34"/>
        <v/>
      </c>
      <c r="AG43" s="11" t="str">
        <f t="shared" ref="AG43:AO43" si="42">if(not(isblank(M43)),", "&amp;M43,"")</f>
        <v/>
      </c>
      <c r="AH43" s="11" t="str">
        <f t="shared" si="42"/>
        <v/>
      </c>
      <c r="AI43" s="11" t="str">
        <f t="shared" si="42"/>
        <v/>
      </c>
      <c r="AJ43" s="11" t="str">
        <f t="shared" si="42"/>
        <v/>
      </c>
      <c r="AK43" s="11" t="str">
        <f t="shared" si="42"/>
        <v/>
      </c>
      <c r="AL43" s="11" t="str">
        <f t="shared" si="42"/>
        <v/>
      </c>
      <c r="AM43" s="11" t="str">
        <f t="shared" si="42"/>
        <v/>
      </c>
      <c r="AN43" s="11" t="str">
        <f t="shared" si="42"/>
        <v/>
      </c>
      <c r="AO43" s="11" t="str">
        <f t="shared" si="42"/>
        <v/>
      </c>
      <c r="AP43" s="21" t="str">
        <f t="shared" si="36"/>
        <v/>
      </c>
    </row>
    <row r="44" ht="16.5" customHeight="1">
      <c r="A44" s="32" t="s">
        <v>2347</v>
      </c>
      <c r="B44" s="32" t="s">
        <v>2348</v>
      </c>
      <c r="C44" s="32" t="s">
        <v>2381</v>
      </c>
      <c r="D44" s="32" t="s">
        <v>2382</v>
      </c>
      <c r="E44" s="32" t="s">
        <v>2383</v>
      </c>
      <c r="F44" s="4" t="s">
        <v>2384</v>
      </c>
      <c r="G44" s="4"/>
      <c r="H44" s="4"/>
      <c r="K44" s="18"/>
      <c r="L44" s="33"/>
      <c r="M44" s="20"/>
      <c r="N44" s="20"/>
      <c r="O44" s="20"/>
      <c r="P44" s="20"/>
      <c r="Q44" s="20"/>
      <c r="R44" s="20"/>
      <c r="S44" s="20"/>
      <c r="T44" s="20"/>
      <c r="U44" s="34"/>
      <c r="AF44" s="11" t="str">
        <f t="shared" si="34"/>
        <v/>
      </c>
      <c r="AG44" s="11" t="str">
        <f t="shared" ref="AG44:AO44" si="43">if(not(isblank(M44)),", "&amp;M44,"")</f>
        <v/>
      </c>
      <c r="AH44" s="11" t="str">
        <f t="shared" si="43"/>
        <v/>
      </c>
      <c r="AI44" s="11" t="str">
        <f t="shared" si="43"/>
        <v/>
      </c>
      <c r="AJ44" s="11" t="str">
        <f t="shared" si="43"/>
        <v/>
      </c>
      <c r="AK44" s="11" t="str">
        <f t="shared" si="43"/>
        <v/>
      </c>
      <c r="AL44" s="11" t="str">
        <f t="shared" si="43"/>
        <v/>
      </c>
      <c r="AM44" s="11" t="str">
        <f t="shared" si="43"/>
        <v/>
      </c>
      <c r="AN44" s="11" t="str">
        <f t="shared" si="43"/>
        <v/>
      </c>
      <c r="AO44" s="11" t="str">
        <f t="shared" si="43"/>
        <v/>
      </c>
      <c r="AP44" s="21" t="str">
        <f t="shared" si="36"/>
        <v/>
      </c>
    </row>
    <row r="45" ht="16.5" customHeight="1">
      <c r="A45" s="32" t="s">
        <v>2347</v>
      </c>
      <c r="B45" s="32" t="s">
        <v>2348</v>
      </c>
      <c r="C45" s="32" t="s">
        <v>2385</v>
      </c>
      <c r="D45" s="32" t="s">
        <v>2386</v>
      </c>
      <c r="E45" s="32" t="s">
        <v>2387</v>
      </c>
      <c r="F45" s="4" t="s">
        <v>2388</v>
      </c>
      <c r="G45" s="4"/>
      <c r="H45" s="4"/>
      <c r="K45" s="18"/>
      <c r="L45" s="33"/>
      <c r="M45" s="20"/>
      <c r="N45" s="20"/>
      <c r="O45" s="20"/>
      <c r="P45" s="20"/>
      <c r="Q45" s="20"/>
      <c r="R45" s="20"/>
      <c r="S45" s="20"/>
      <c r="T45" s="20"/>
      <c r="U45" s="34"/>
      <c r="AF45" s="11" t="str">
        <f t="shared" si="34"/>
        <v/>
      </c>
      <c r="AG45" s="11" t="str">
        <f t="shared" ref="AG45:AO45" si="44">if(not(isblank(M45)),", "&amp;M45,"")</f>
        <v/>
      </c>
      <c r="AH45" s="11" t="str">
        <f t="shared" si="44"/>
        <v/>
      </c>
      <c r="AI45" s="11" t="str">
        <f t="shared" si="44"/>
        <v/>
      </c>
      <c r="AJ45" s="11" t="str">
        <f t="shared" si="44"/>
        <v/>
      </c>
      <c r="AK45" s="11" t="str">
        <f t="shared" si="44"/>
        <v/>
      </c>
      <c r="AL45" s="11" t="str">
        <f t="shared" si="44"/>
        <v/>
      </c>
      <c r="AM45" s="11" t="str">
        <f t="shared" si="44"/>
        <v/>
      </c>
      <c r="AN45" s="11" t="str">
        <f t="shared" si="44"/>
        <v/>
      </c>
      <c r="AO45" s="11" t="str">
        <f t="shared" si="44"/>
        <v/>
      </c>
      <c r="AP45" s="21" t="str">
        <f t="shared" si="36"/>
        <v/>
      </c>
    </row>
    <row r="46" ht="16.5" customHeight="1">
      <c r="A46" s="32" t="s">
        <v>2347</v>
      </c>
      <c r="B46" s="32" t="s">
        <v>2348</v>
      </c>
      <c r="C46" s="32" t="s">
        <v>2389</v>
      </c>
      <c r="D46" s="32" t="s">
        <v>2390</v>
      </c>
      <c r="E46" s="32" t="s">
        <v>2391</v>
      </c>
      <c r="F46" s="4" t="s">
        <v>2392</v>
      </c>
      <c r="G46" s="4"/>
      <c r="H46" s="4"/>
      <c r="K46" s="18"/>
      <c r="L46" s="33"/>
      <c r="M46" s="20"/>
      <c r="N46" s="20"/>
      <c r="O46" s="20"/>
      <c r="P46" s="20"/>
      <c r="Q46" s="20"/>
      <c r="R46" s="20"/>
      <c r="S46" s="20"/>
      <c r="T46" s="20"/>
      <c r="U46" s="34"/>
      <c r="AF46" s="11" t="str">
        <f t="shared" si="34"/>
        <v/>
      </c>
      <c r="AG46" s="11" t="str">
        <f t="shared" ref="AG46:AO46" si="45">if(not(isblank(M46)),", "&amp;M46,"")</f>
        <v/>
      </c>
      <c r="AH46" s="11" t="str">
        <f t="shared" si="45"/>
        <v/>
      </c>
      <c r="AI46" s="11" t="str">
        <f t="shared" si="45"/>
        <v/>
      </c>
      <c r="AJ46" s="11" t="str">
        <f t="shared" si="45"/>
        <v/>
      </c>
      <c r="AK46" s="11" t="str">
        <f t="shared" si="45"/>
        <v/>
      </c>
      <c r="AL46" s="11" t="str">
        <f t="shared" si="45"/>
        <v/>
      </c>
      <c r="AM46" s="11" t="str">
        <f t="shared" si="45"/>
        <v/>
      </c>
      <c r="AN46" s="11" t="str">
        <f t="shared" si="45"/>
        <v/>
      </c>
      <c r="AO46" s="11" t="str">
        <f t="shared" si="45"/>
        <v/>
      </c>
      <c r="AP46" s="21" t="str">
        <f t="shared" si="36"/>
        <v/>
      </c>
    </row>
    <row r="47" ht="16.5" customHeight="1">
      <c r="A47" s="32" t="s">
        <v>2347</v>
      </c>
      <c r="B47" s="32" t="s">
        <v>2348</v>
      </c>
      <c r="C47" s="32" t="s">
        <v>2393</v>
      </c>
      <c r="D47" s="32" t="s">
        <v>2394</v>
      </c>
      <c r="E47" s="32" t="s">
        <v>2395</v>
      </c>
      <c r="F47" s="4" t="s">
        <v>2396</v>
      </c>
      <c r="G47" s="4"/>
      <c r="H47" s="4"/>
      <c r="K47" s="18"/>
      <c r="L47" s="33"/>
      <c r="M47" s="20"/>
      <c r="N47" s="20"/>
      <c r="O47" s="20"/>
      <c r="P47" s="20"/>
      <c r="Q47" s="20"/>
      <c r="R47" s="20"/>
      <c r="S47" s="20"/>
      <c r="T47" s="20"/>
      <c r="U47" s="34"/>
      <c r="AF47" s="11" t="str">
        <f t="shared" si="34"/>
        <v/>
      </c>
      <c r="AG47" s="11" t="str">
        <f t="shared" ref="AG47:AO47" si="46">if(not(isblank(M47)),", "&amp;M47,"")</f>
        <v/>
      </c>
      <c r="AH47" s="11" t="str">
        <f t="shared" si="46"/>
        <v/>
      </c>
      <c r="AI47" s="11" t="str">
        <f t="shared" si="46"/>
        <v/>
      </c>
      <c r="AJ47" s="11" t="str">
        <f t="shared" si="46"/>
        <v/>
      </c>
      <c r="AK47" s="11" t="str">
        <f t="shared" si="46"/>
        <v/>
      </c>
      <c r="AL47" s="11" t="str">
        <f t="shared" si="46"/>
        <v/>
      </c>
      <c r="AM47" s="11" t="str">
        <f t="shared" si="46"/>
        <v/>
      </c>
      <c r="AN47" s="11" t="str">
        <f t="shared" si="46"/>
        <v/>
      </c>
      <c r="AO47" s="11" t="str">
        <f t="shared" si="46"/>
        <v/>
      </c>
      <c r="AP47" s="21" t="str">
        <f t="shared" si="36"/>
        <v/>
      </c>
    </row>
    <row r="48" ht="16.5" customHeight="1">
      <c r="A48" s="32" t="s">
        <v>2347</v>
      </c>
      <c r="B48" s="32" t="s">
        <v>2348</v>
      </c>
      <c r="C48" s="32" t="s">
        <v>2397</v>
      </c>
      <c r="D48" s="32" t="s">
        <v>2398</v>
      </c>
      <c r="E48" s="32" t="s">
        <v>2399</v>
      </c>
      <c r="F48" s="4" t="s">
        <v>2400</v>
      </c>
      <c r="G48" s="4"/>
      <c r="H48" s="4"/>
      <c r="K48" s="18"/>
      <c r="L48" s="33"/>
      <c r="M48" s="20"/>
      <c r="N48" s="20"/>
      <c r="O48" s="20"/>
      <c r="P48" s="20"/>
      <c r="Q48" s="20"/>
      <c r="R48" s="20"/>
      <c r="S48" s="20"/>
      <c r="T48" s="20"/>
      <c r="U48" s="34"/>
      <c r="AF48" s="11" t="str">
        <f t="shared" si="34"/>
        <v/>
      </c>
      <c r="AG48" s="11" t="str">
        <f t="shared" ref="AG48:AO48" si="47">if(not(isblank(M48)),", "&amp;M48,"")</f>
        <v/>
      </c>
      <c r="AH48" s="11" t="str">
        <f t="shared" si="47"/>
        <v/>
      </c>
      <c r="AI48" s="11" t="str">
        <f t="shared" si="47"/>
        <v/>
      </c>
      <c r="AJ48" s="11" t="str">
        <f t="shared" si="47"/>
        <v/>
      </c>
      <c r="AK48" s="11" t="str">
        <f t="shared" si="47"/>
        <v/>
      </c>
      <c r="AL48" s="11" t="str">
        <f t="shared" si="47"/>
        <v/>
      </c>
      <c r="AM48" s="11" t="str">
        <f t="shared" si="47"/>
        <v/>
      </c>
      <c r="AN48" s="11" t="str">
        <f t="shared" si="47"/>
        <v/>
      </c>
      <c r="AO48" s="11" t="str">
        <f t="shared" si="47"/>
        <v/>
      </c>
      <c r="AP48" s="21" t="str">
        <f t="shared" si="36"/>
        <v/>
      </c>
    </row>
    <row r="49" ht="16.5" customHeight="1">
      <c r="A49" s="32" t="s">
        <v>2347</v>
      </c>
      <c r="B49" s="32" t="s">
        <v>2348</v>
      </c>
      <c r="C49" s="32" t="s">
        <v>2401</v>
      </c>
      <c r="D49" s="32" t="s">
        <v>2402</v>
      </c>
      <c r="E49" s="32" t="s">
        <v>2403</v>
      </c>
      <c r="F49" s="4" t="s">
        <v>2404</v>
      </c>
      <c r="G49" s="4"/>
      <c r="H49" s="4"/>
      <c r="K49" s="18"/>
      <c r="L49" s="33"/>
      <c r="M49" s="20"/>
      <c r="N49" s="20"/>
      <c r="O49" s="20"/>
      <c r="P49" s="20"/>
      <c r="Q49" s="20"/>
      <c r="R49" s="20"/>
      <c r="S49" s="20"/>
      <c r="T49" s="20"/>
      <c r="U49" s="34"/>
      <c r="AF49" s="11" t="str">
        <f t="shared" si="34"/>
        <v/>
      </c>
      <c r="AG49" s="11" t="str">
        <f t="shared" ref="AG49:AO49" si="48">if(not(isblank(M49)),", "&amp;M49,"")</f>
        <v/>
      </c>
      <c r="AH49" s="11" t="str">
        <f t="shared" si="48"/>
        <v/>
      </c>
      <c r="AI49" s="11" t="str">
        <f t="shared" si="48"/>
        <v/>
      </c>
      <c r="AJ49" s="11" t="str">
        <f t="shared" si="48"/>
        <v/>
      </c>
      <c r="AK49" s="11" t="str">
        <f t="shared" si="48"/>
        <v/>
      </c>
      <c r="AL49" s="11" t="str">
        <f t="shared" si="48"/>
        <v/>
      </c>
      <c r="AM49" s="11" t="str">
        <f t="shared" si="48"/>
        <v/>
      </c>
      <c r="AN49" s="11" t="str">
        <f t="shared" si="48"/>
        <v/>
      </c>
      <c r="AO49" s="11" t="str">
        <f t="shared" si="48"/>
        <v/>
      </c>
      <c r="AP49" s="21" t="str">
        <f t="shared" si="36"/>
        <v/>
      </c>
    </row>
    <row r="50" ht="16.5" customHeight="1">
      <c r="A50" s="32" t="s">
        <v>2347</v>
      </c>
      <c r="B50" s="32" t="s">
        <v>2348</v>
      </c>
      <c r="C50" s="32" t="s">
        <v>2405</v>
      </c>
      <c r="D50" s="32" t="s">
        <v>2406</v>
      </c>
      <c r="E50" s="36"/>
      <c r="F50" s="4"/>
      <c r="G50" s="4"/>
      <c r="H50" s="4"/>
      <c r="K50" s="18"/>
      <c r="L50" s="33"/>
      <c r="M50" s="20"/>
      <c r="N50" s="20"/>
      <c r="O50" s="20"/>
      <c r="P50" s="20"/>
      <c r="Q50" s="20"/>
      <c r="R50" s="20"/>
      <c r="S50" s="20"/>
      <c r="T50" s="20"/>
      <c r="U50" s="34"/>
      <c r="AF50" s="11" t="str">
        <f t="shared" si="34"/>
        <v/>
      </c>
      <c r="AG50" s="11" t="str">
        <f t="shared" ref="AG50:AO50" si="49">if(not(isblank(M50)),", "&amp;M50,"")</f>
        <v/>
      </c>
      <c r="AH50" s="11" t="str">
        <f t="shared" si="49"/>
        <v/>
      </c>
      <c r="AI50" s="11" t="str">
        <f t="shared" si="49"/>
        <v/>
      </c>
      <c r="AJ50" s="11" t="str">
        <f t="shared" si="49"/>
        <v/>
      </c>
      <c r="AK50" s="11" t="str">
        <f t="shared" si="49"/>
        <v/>
      </c>
      <c r="AL50" s="11" t="str">
        <f t="shared" si="49"/>
        <v/>
      </c>
      <c r="AM50" s="11" t="str">
        <f t="shared" si="49"/>
        <v/>
      </c>
      <c r="AN50" s="11" t="str">
        <f t="shared" si="49"/>
        <v/>
      </c>
      <c r="AO50" s="11" t="str">
        <f t="shared" si="49"/>
        <v/>
      </c>
      <c r="AP50" s="21" t="str">
        <f t="shared" si="36"/>
        <v/>
      </c>
    </row>
    <row r="51" ht="16.5" customHeight="1">
      <c r="A51" s="32" t="s">
        <v>2347</v>
      </c>
      <c r="B51" s="32" t="s">
        <v>2348</v>
      </c>
      <c r="C51" s="32" t="s">
        <v>2407</v>
      </c>
      <c r="D51" s="32" t="s">
        <v>2408</v>
      </c>
      <c r="E51" s="32" t="s">
        <v>2409</v>
      </c>
      <c r="F51" s="4" t="s">
        <v>2410</v>
      </c>
      <c r="G51" s="4"/>
      <c r="H51" s="4"/>
      <c r="K51" s="18"/>
      <c r="L51" s="33"/>
      <c r="M51" s="20"/>
      <c r="N51" s="20"/>
      <c r="O51" s="20"/>
      <c r="P51" s="20"/>
      <c r="Q51" s="20"/>
      <c r="R51" s="20"/>
      <c r="S51" s="20"/>
      <c r="T51" s="20"/>
      <c r="U51" s="34"/>
      <c r="AF51" s="11" t="str">
        <f t="shared" si="34"/>
        <v/>
      </c>
      <c r="AG51" s="11" t="str">
        <f t="shared" ref="AG51:AO51" si="50">if(not(isblank(M51)),", "&amp;M51,"")</f>
        <v/>
      </c>
      <c r="AH51" s="11" t="str">
        <f t="shared" si="50"/>
        <v/>
      </c>
      <c r="AI51" s="11" t="str">
        <f t="shared" si="50"/>
        <v/>
      </c>
      <c r="AJ51" s="11" t="str">
        <f t="shared" si="50"/>
        <v/>
      </c>
      <c r="AK51" s="11" t="str">
        <f t="shared" si="50"/>
        <v/>
      </c>
      <c r="AL51" s="11" t="str">
        <f t="shared" si="50"/>
        <v/>
      </c>
      <c r="AM51" s="11" t="str">
        <f t="shared" si="50"/>
        <v/>
      </c>
      <c r="AN51" s="11" t="str">
        <f t="shared" si="50"/>
        <v/>
      </c>
      <c r="AO51" s="11" t="str">
        <f t="shared" si="50"/>
        <v/>
      </c>
      <c r="AP51" s="21" t="str">
        <f t="shared" si="36"/>
        <v/>
      </c>
    </row>
    <row r="52" ht="16.5" customHeight="1">
      <c r="A52" s="32" t="s">
        <v>2347</v>
      </c>
      <c r="B52" s="32" t="s">
        <v>2348</v>
      </c>
      <c r="C52" s="32" t="s">
        <v>2411</v>
      </c>
      <c r="D52" s="32" t="s">
        <v>2412</v>
      </c>
      <c r="E52" s="32" t="s">
        <v>2413</v>
      </c>
      <c r="F52" s="4" t="s">
        <v>2414</v>
      </c>
      <c r="G52" s="4"/>
      <c r="H52" s="4"/>
      <c r="K52" s="18"/>
      <c r="L52" s="33"/>
      <c r="M52" s="20"/>
      <c r="N52" s="20"/>
      <c r="O52" s="20"/>
      <c r="P52" s="20"/>
      <c r="Q52" s="20"/>
      <c r="R52" s="20"/>
      <c r="S52" s="20"/>
      <c r="T52" s="20"/>
      <c r="U52" s="34"/>
      <c r="AF52" s="11" t="str">
        <f t="shared" si="34"/>
        <v/>
      </c>
      <c r="AG52" s="11" t="str">
        <f t="shared" ref="AG52:AO52" si="51">if(not(isblank(M52)),", "&amp;M52,"")</f>
        <v/>
      </c>
      <c r="AH52" s="11" t="str">
        <f t="shared" si="51"/>
        <v/>
      </c>
      <c r="AI52" s="11" t="str">
        <f t="shared" si="51"/>
        <v/>
      </c>
      <c r="AJ52" s="11" t="str">
        <f t="shared" si="51"/>
        <v/>
      </c>
      <c r="AK52" s="11" t="str">
        <f t="shared" si="51"/>
        <v/>
      </c>
      <c r="AL52" s="11" t="str">
        <f t="shared" si="51"/>
        <v/>
      </c>
      <c r="AM52" s="11" t="str">
        <f t="shared" si="51"/>
        <v/>
      </c>
      <c r="AN52" s="11" t="str">
        <f t="shared" si="51"/>
        <v/>
      </c>
      <c r="AO52" s="11" t="str">
        <f t="shared" si="51"/>
        <v/>
      </c>
      <c r="AP52" s="21" t="str">
        <f t="shared" si="36"/>
        <v/>
      </c>
    </row>
    <row r="53" ht="16.5" customHeight="1">
      <c r="A53" s="32" t="s">
        <v>2347</v>
      </c>
      <c r="B53" s="32" t="s">
        <v>2348</v>
      </c>
      <c r="C53" s="32" t="s">
        <v>2415</v>
      </c>
      <c r="D53" s="32" t="s">
        <v>2416</v>
      </c>
      <c r="E53" s="32" t="s">
        <v>2417</v>
      </c>
      <c r="F53" s="4" t="s">
        <v>2418</v>
      </c>
      <c r="G53" s="4"/>
      <c r="H53" s="4"/>
      <c r="K53" s="18"/>
      <c r="L53" s="33"/>
      <c r="M53" s="20"/>
      <c r="N53" s="20"/>
      <c r="O53" s="20"/>
      <c r="P53" s="20"/>
      <c r="Q53" s="20"/>
      <c r="R53" s="20"/>
      <c r="S53" s="20"/>
      <c r="T53" s="20"/>
      <c r="U53" s="34"/>
      <c r="AF53" s="11" t="str">
        <f t="shared" si="34"/>
        <v/>
      </c>
      <c r="AG53" s="11" t="str">
        <f t="shared" ref="AG53:AO53" si="52">if(not(isblank(M53)),", "&amp;M53,"")</f>
        <v/>
      </c>
      <c r="AH53" s="11" t="str">
        <f t="shared" si="52"/>
        <v/>
      </c>
      <c r="AI53" s="11" t="str">
        <f t="shared" si="52"/>
        <v/>
      </c>
      <c r="AJ53" s="11" t="str">
        <f t="shared" si="52"/>
        <v/>
      </c>
      <c r="AK53" s="11" t="str">
        <f t="shared" si="52"/>
        <v/>
      </c>
      <c r="AL53" s="11" t="str">
        <f t="shared" si="52"/>
        <v/>
      </c>
      <c r="AM53" s="11" t="str">
        <f t="shared" si="52"/>
        <v/>
      </c>
      <c r="AN53" s="11" t="str">
        <f t="shared" si="52"/>
        <v/>
      </c>
      <c r="AO53" s="11" t="str">
        <f t="shared" si="52"/>
        <v/>
      </c>
      <c r="AP53" s="21" t="str">
        <f t="shared" si="36"/>
        <v/>
      </c>
    </row>
    <row r="54" ht="16.5" customHeight="1">
      <c r="A54" s="32" t="s">
        <v>2347</v>
      </c>
      <c r="B54" s="32" t="s">
        <v>2348</v>
      </c>
      <c r="C54" s="32" t="s">
        <v>2419</v>
      </c>
      <c r="D54" s="32" t="s">
        <v>2420</v>
      </c>
      <c r="E54" s="32" t="s">
        <v>2421</v>
      </c>
      <c r="F54" s="4" t="s">
        <v>2422</v>
      </c>
      <c r="G54" s="4"/>
      <c r="H54" s="4"/>
      <c r="K54" s="18"/>
      <c r="L54" s="33"/>
      <c r="M54" s="20"/>
      <c r="N54" s="20"/>
      <c r="O54" s="20"/>
      <c r="P54" s="20"/>
      <c r="Q54" s="20"/>
      <c r="R54" s="20"/>
      <c r="S54" s="20"/>
      <c r="T54" s="20"/>
      <c r="U54" s="34"/>
      <c r="AF54" s="11" t="str">
        <f t="shared" si="34"/>
        <v/>
      </c>
      <c r="AG54" s="11" t="str">
        <f t="shared" ref="AG54:AO54" si="53">if(not(isblank(M54)),", "&amp;M54,"")</f>
        <v/>
      </c>
      <c r="AH54" s="11" t="str">
        <f t="shared" si="53"/>
        <v/>
      </c>
      <c r="AI54" s="11" t="str">
        <f t="shared" si="53"/>
        <v/>
      </c>
      <c r="AJ54" s="11" t="str">
        <f t="shared" si="53"/>
        <v/>
      </c>
      <c r="AK54" s="11" t="str">
        <f t="shared" si="53"/>
        <v/>
      </c>
      <c r="AL54" s="11" t="str">
        <f t="shared" si="53"/>
        <v/>
      </c>
      <c r="AM54" s="11" t="str">
        <f t="shared" si="53"/>
        <v/>
      </c>
      <c r="AN54" s="11" t="str">
        <f t="shared" si="53"/>
        <v/>
      </c>
      <c r="AO54" s="11" t="str">
        <f t="shared" si="53"/>
        <v/>
      </c>
      <c r="AP54" s="21" t="str">
        <f t="shared" si="36"/>
        <v/>
      </c>
    </row>
    <row r="55" ht="16.5" customHeight="1">
      <c r="A55" s="32" t="s">
        <v>2347</v>
      </c>
      <c r="B55" s="32" t="s">
        <v>2423</v>
      </c>
      <c r="C55" s="32" t="s">
        <v>2424</v>
      </c>
      <c r="D55" s="32" t="s">
        <v>2425</v>
      </c>
      <c r="E55" s="32" t="s">
        <v>2426</v>
      </c>
      <c r="F55" s="4" t="s">
        <v>2427</v>
      </c>
      <c r="G55" s="4"/>
      <c r="H55" s="4"/>
      <c r="I55" s="11" t="s">
        <v>2428</v>
      </c>
      <c r="J55" s="11" t="s">
        <v>2429</v>
      </c>
      <c r="K55" s="18"/>
      <c r="L55" s="33"/>
      <c r="M55" s="20"/>
      <c r="N55" s="20"/>
      <c r="O55" s="20"/>
      <c r="P55" s="20"/>
      <c r="Q55" s="20"/>
      <c r="R55" s="20"/>
      <c r="S55" s="20"/>
      <c r="T55" s="20"/>
      <c r="U55" s="34"/>
      <c r="AF55" s="11" t="str">
        <f t="shared" si="34"/>
        <v/>
      </c>
      <c r="AG55" s="11" t="str">
        <f t="shared" ref="AG55:AO55" si="54">if(not(isblank(M55)),", "&amp;M55,"")</f>
        <v/>
      </c>
      <c r="AH55" s="11" t="str">
        <f t="shared" si="54"/>
        <v/>
      </c>
      <c r="AI55" s="11" t="str">
        <f t="shared" si="54"/>
        <v/>
      </c>
      <c r="AJ55" s="11" t="str">
        <f t="shared" si="54"/>
        <v/>
      </c>
      <c r="AK55" s="11" t="str">
        <f t="shared" si="54"/>
        <v/>
      </c>
      <c r="AL55" s="11" t="str">
        <f t="shared" si="54"/>
        <v/>
      </c>
      <c r="AM55" s="11" t="str">
        <f t="shared" si="54"/>
        <v/>
      </c>
      <c r="AN55" s="11" t="str">
        <f t="shared" si="54"/>
        <v/>
      </c>
      <c r="AO55" s="11" t="str">
        <f t="shared" si="54"/>
        <v/>
      </c>
      <c r="AP55" s="21" t="str">
        <f t="shared" si="36"/>
        <v/>
      </c>
    </row>
    <row r="56" ht="16.5" customHeight="1">
      <c r="A56" s="32" t="s">
        <v>2347</v>
      </c>
      <c r="B56" s="32" t="s">
        <v>2423</v>
      </c>
      <c r="C56" s="32" t="s">
        <v>2430</v>
      </c>
      <c r="D56" s="32" t="s">
        <v>2431</v>
      </c>
      <c r="E56" s="32" t="s">
        <v>2432</v>
      </c>
      <c r="F56" s="4" t="s">
        <v>2433</v>
      </c>
      <c r="G56" s="4"/>
      <c r="H56" s="4"/>
      <c r="I56" s="11" t="s">
        <v>2434</v>
      </c>
      <c r="J56" s="11" t="s">
        <v>2435</v>
      </c>
      <c r="K56" s="18"/>
      <c r="L56" s="33"/>
      <c r="M56" s="20"/>
      <c r="N56" s="20"/>
      <c r="O56" s="20"/>
      <c r="P56" s="20"/>
      <c r="Q56" s="20"/>
      <c r="R56" s="20"/>
      <c r="S56" s="20"/>
      <c r="T56" s="20"/>
      <c r="U56" s="34"/>
      <c r="AF56" s="11" t="str">
        <f t="shared" si="34"/>
        <v/>
      </c>
      <c r="AG56" s="11" t="str">
        <f t="shared" ref="AG56:AO56" si="55">if(not(isblank(M56)),", "&amp;M56,"")</f>
        <v/>
      </c>
      <c r="AH56" s="11" t="str">
        <f t="shared" si="55"/>
        <v/>
      </c>
      <c r="AI56" s="11" t="str">
        <f t="shared" si="55"/>
        <v/>
      </c>
      <c r="AJ56" s="11" t="str">
        <f t="shared" si="55"/>
        <v/>
      </c>
      <c r="AK56" s="11" t="str">
        <f t="shared" si="55"/>
        <v/>
      </c>
      <c r="AL56" s="11" t="str">
        <f t="shared" si="55"/>
        <v/>
      </c>
      <c r="AM56" s="11" t="str">
        <f t="shared" si="55"/>
        <v/>
      </c>
      <c r="AN56" s="11" t="str">
        <f t="shared" si="55"/>
        <v/>
      </c>
      <c r="AO56" s="11" t="str">
        <f t="shared" si="55"/>
        <v/>
      </c>
      <c r="AP56" s="21" t="str">
        <f t="shared" si="36"/>
        <v/>
      </c>
    </row>
    <row r="57" ht="16.5" customHeight="1">
      <c r="A57" s="32" t="s">
        <v>2347</v>
      </c>
      <c r="B57" s="32" t="s">
        <v>2348</v>
      </c>
      <c r="C57" s="32" t="s">
        <v>2436</v>
      </c>
      <c r="D57" s="32" t="s">
        <v>2437</v>
      </c>
      <c r="E57" s="32" t="s">
        <v>2438</v>
      </c>
      <c r="F57" s="4" t="s">
        <v>2439</v>
      </c>
      <c r="G57" s="4"/>
      <c r="H57" s="4"/>
      <c r="J57" s="11" t="s">
        <v>2440</v>
      </c>
      <c r="K57" s="18"/>
      <c r="L57" s="33"/>
      <c r="M57" s="20"/>
      <c r="N57" s="20"/>
      <c r="O57" s="20"/>
      <c r="P57" s="20"/>
      <c r="Q57" s="20"/>
      <c r="R57" s="20"/>
      <c r="S57" s="20"/>
      <c r="T57" s="20"/>
      <c r="U57" s="34"/>
      <c r="AF57" s="11" t="str">
        <f t="shared" si="34"/>
        <v/>
      </c>
      <c r="AG57" s="11" t="str">
        <f t="shared" ref="AG57:AO57" si="56">if(not(isblank(M57)),", "&amp;M57,"")</f>
        <v/>
      </c>
      <c r="AH57" s="11" t="str">
        <f t="shared" si="56"/>
        <v/>
      </c>
      <c r="AI57" s="11" t="str">
        <f t="shared" si="56"/>
        <v/>
      </c>
      <c r="AJ57" s="11" t="str">
        <f t="shared" si="56"/>
        <v/>
      </c>
      <c r="AK57" s="11" t="str">
        <f t="shared" si="56"/>
        <v/>
      </c>
      <c r="AL57" s="11" t="str">
        <f t="shared" si="56"/>
        <v/>
      </c>
      <c r="AM57" s="11" t="str">
        <f t="shared" si="56"/>
        <v/>
      </c>
      <c r="AN57" s="11" t="str">
        <f t="shared" si="56"/>
        <v/>
      </c>
      <c r="AO57" s="11" t="str">
        <f t="shared" si="56"/>
        <v/>
      </c>
      <c r="AP57" s="21" t="str">
        <f t="shared" si="36"/>
        <v/>
      </c>
    </row>
    <row r="58" ht="16.5" customHeight="1">
      <c r="A58" s="32" t="s">
        <v>2347</v>
      </c>
      <c r="B58" s="32" t="s">
        <v>2423</v>
      </c>
      <c r="C58" s="32" t="s">
        <v>2441</v>
      </c>
      <c r="D58" s="32" t="s">
        <v>2442</v>
      </c>
      <c r="E58" s="32" t="s">
        <v>2443</v>
      </c>
      <c r="F58" s="4" t="s">
        <v>2444</v>
      </c>
      <c r="G58" s="4"/>
      <c r="H58" s="4"/>
      <c r="I58" s="11" t="s">
        <v>2445</v>
      </c>
      <c r="K58" s="18"/>
      <c r="L58" s="33"/>
      <c r="M58" s="20"/>
      <c r="N58" s="20"/>
      <c r="O58" s="20"/>
      <c r="P58" s="20"/>
      <c r="Q58" s="20"/>
      <c r="R58" s="20"/>
      <c r="S58" s="20"/>
      <c r="T58" s="20"/>
      <c r="U58" s="34"/>
      <c r="AF58" s="11" t="str">
        <f t="shared" si="34"/>
        <v/>
      </c>
      <c r="AG58" s="11" t="str">
        <f t="shared" ref="AG58:AO58" si="57">if(not(isblank(M58)),", "&amp;M58,"")</f>
        <v/>
      </c>
      <c r="AH58" s="11" t="str">
        <f t="shared" si="57"/>
        <v/>
      </c>
      <c r="AI58" s="11" t="str">
        <f t="shared" si="57"/>
        <v/>
      </c>
      <c r="AJ58" s="11" t="str">
        <f t="shared" si="57"/>
        <v/>
      </c>
      <c r="AK58" s="11" t="str">
        <f t="shared" si="57"/>
        <v/>
      </c>
      <c r="AL58" s="11" t="str">
        <f t="shared" si="57"/>
        <v/>
      </c>
      <c r="AM58" s="11" t="str">
        <f t="shared" si="57"/>
        <v/>
      </c>
      <c r="AN58" s="11" t="str">
        <f t="shared" si="57"/>
        <v/>
      </c>
      <c r="AO58" s="11" t="str">
        <f t="shared" si="57"/>
        <v/>
      </c>
      <c r="AP58" s="21" t="str">
        <f t="shared" si="36"/>
        <v/>
      </c>
    </row>
    <row r="59" ht="16.5" customHeight="1">
      <c r="A59" s="32" t="s">
        <v>2347</v>
      </c>
      <c r="B59" s="32" t="s">
        <v>2423</v>
      </c>
      <c r="C59" s="32" t="s">
        <v>2446</v>
      </c>
      <c r="D59" s="32" t="s">
        <v>2447</v>
      </c>
      <c r="E59" s="32" t="s">
        <v>2448</v>
      </c>
      <c r="F59" s="4" t="s">
        <v>2449</v>
      </c>
      <c r="G59" s="4"/>
      <c r="H59" s="4"/>
      <c r="I59" s="11" t="s">
        <v>2450</v>
      </c>
      <c r="J59" s="11" t="s">
        <v>2451</v>
      </c>
      <c r="K59" s="18"/>
      <c r="L59" s="33"/>
      <c r="M59" s="20"/>
      <c r="N59" s="20"/>
      <c r="O59" s="20"/>
      <c r="P59" s="20"/>
      <c r="Q59" s="20"/>
      <c r="R59" s="20"/>
      <c r="S59" s="20"/>
      <c r="T59" s="20"/>
      <c r="U59" s="34"/>
      <c r="AF59" s="11" t="str">
        <f t="shared" si="34"/>
        <v/>
      </c>
      <c r="AG59" s="11" t="str">
        <f t="shared" ref="AG59:AO59" si="58">if(not(isblank(M59)),", "&amp;M59,"")</f>
        <v/>
      </c>
      <c r="AH59" s="11" t="str">
        <f t="shared" si="58"/>
        <v/>
      </c>
      <c r="AI59" s="11" t="str">
        <f t="shared" si="58"/>
        <v/>
      </c>
      <c r="AJ59" s="11" t="str">
        <f t="shared" si="58"/>
        <v/>
      </c>
      <c r="AK59" s="11" t="str">
        <f t="shared" si="58"/>
        <v/>
      </c>
      <c r="AL59" s="11" t="str">
        <f t="shared" si="58"/>
        <v/>
      </c>
      <c r="AM59" s="11" t="str">
        <f t="shared" si="58"/>
        <v/>
      </c>
      <c r="AN59" s="11" t="str">
        <f t="shared" si="58"/>
        <v/>
      </c>
      <c r="AO59" s="11" t="str">
        <f t="shared" si="58"/>
        <v/>
      </c>
      <c r="AP59" s="21" t="str">
        <f t="shared" si="36"/>
        <v/>
      </c>
    </row>
    <row r="60" ht="16.5" customHeight="1">
      <c r="A60" s="32" t="s">
        <v>2347</v>
      </c>
      <c r="B60" s="32" t="s">
        <v>2423</v>
      </c>
      <c r="C60" s="32" t="s">
        <v>2452</v>
      </c>
      <c r="D60" s="32" t="s">
        <v>2453</v>
      </c>
      <c r="E60" s="32" t="s">
        <v>2454</v>
      </c>
      <c r="F60" s="4" t="s">
        <v>2455</v>
      </c>
      <c r="G60" s="4"/>
      <c r="H60" s="4"/>
      <c r="K60" s="18"/>
      <c r="L60" s="33"/>
      <c r="M60" s="20"/>
      <c r="N60" s="20"/>
      <c r="O60" s="20"/>
      <c r="P60" s="20"/>
      <c r="Q60" s="20"/>
      <c r="R60" s="20"/>
      <c r="S60" s="20"/>
      <c r="T60" s="20"/>
      <c r="U60" s="34"/>
      <c r="AF60" s="11" t="str">
        <f t="shared" si="34"/>
        <v/>
      </c>
      <c r="AG60" s="11" t="str">
        <f t="shared" ref="AG60:AO60" si="59">if(not(isblank(M60)),", "&amp;M60,"")</f>
        <v/>
      </c>
      <c r="AH60" s="11" t="str">
        <f t="shared" si="59"/>
        <v/>
      </c>
      <c r="AI60" s="11" t="str">
        <f t="shared" si="59"/>
        <v/>
      </c>
      <c r="AJ60" s="11" t="str">
        <f t="shared" si="59"/>
        <v/>
      </c>
      <c r="AK60" s="11" t="str">
        <f t="shared" si="59"/>
        <v/>
      </c>
      <c r="AL60" s="11" t="str">
        <f t="shared" si="59"/>
        <v/>
      </c>
      <c r="AM60" s="11" t="str">
        <f t="shared" si="59"/>
        <v/>
      </c>
      <c r="AN60" s="11" t="str">
        <f t="shared" si="59"/>
        <v/>
      </c>
      <c r="AO60" s="11" t="str">
        <f t="shared" si="59"/>
        <v/>
      </c>
      <c r="AP60" s="21" t="str">
        <f t="shared" si="36"/>
        <v/>
      </c>
    </row>
    <row r="61" ht="16.5" customHeight="1">
      <c r="A61" s="32" t="s">
        <v>2347</v>
      </c>
      <c r="B61" s="32" t="s">
        <v>2423</v>
      </c>
      <c r="C61" s="32" t="s">
        <v>2456</v>
      </c>
      <c r="D61" s="32" t="s">
        <v>2457</v>
      </c>
      <c r="E61" s="32" t="s">
        <v>2458</v>
      </c>
      <c r="F61" s="4" t="s">
        <v>2459</v>
      </c>
      <c r="G61" s="4"/>
      <c r="H61" s="4"/>
      <c r="K61" s="18"/>
      <c r="L61" s="33"/>
      <c r="M61" s="20"/>
      <c r="N61" s="20"/>
      <c r="O61" s="20"/>
      <c r="P61" s="20"/>
      <c r="Q61" s="20"/>
      <c r="R61" s="20"/>
      <c r="S61" s="20"/>
      <c r="T61" s="20"/>
      <c r="U61" s="34"/>
      <c r="AF61" s="11" t="str">
        <f t="shared" si="34"/>
        <v/>
      </c>
      <c r="AG61" s="11" t="str">
        <f t="shared" ref="AG61:AO61" si="60">if(not(isblank(M61)),", "&amp;M61,"")</f>
        <v/>
      </c>
      <c r="AH61" s="11" t="str">
        <f t="shared" si="60"/>
        <v/>
      </c>
      <c r="AI61" s="11" t="str">
        <f t="shared" si="60"/>
        <v/>
      </c>
      <c r="AJ61" s="11" t="str">
        <f t="shared" si="60"/>
        <v/>
      </c>
      <c r="AK61" s="11" t="str">
        <f t="shared" si="60"/>
        <v/>
      </c>
      <c r="AL61" s="11" t="str">
        <f t="shared" si="60"/>
        <v/>
      </c>
      <c r="AM61" s="11" t="str">
        <f t="shared" si="60"/>
        <v/>
      </c>
      <c r="AN61" s="11" t="str">
        <f t="shared" si="60"/>
        <v/>
      </c>
      <c r="AO61" s="11" t="str">
        <f t="shared" si="60"/>
        <v/>
      </c>
      <c r="AP61" s="21" t="str">
        <f t="shared" si="36"/>
        <v/>
      </c>
    </row>
    <row r="62" ht="16.5" customHeight="1">
      <c r="A62" s="32" t="s">
        <v>2347</v>
      </c>
      <c r="B62" s="32" t="s">
        <v>2348</v>
      </c>
      <c r="C62" s="32" t="s">
        <v>2460</v>
      </c>
      <c r="D62" s="32" t="s">
        <v>2461</v>
      </c>
      <c r="E62" s="32" t="s">
        <v>2462</v>
      </c>
      <c r="F62" s="4" t="s">
        <v>2463</v>
      </c>
      <c r="G62" s="4"/>
      <c r="H62" s="4"/>
      <c r="K62" s="18"/>
      <c r="L62" s="33"/>
      <c r="M62" s="20"/>
      <c r="N62" s="20"/>
      <c r="O62" s="20"/>
      <c r="P62" s="20"/>
      <c r="Q62" s="20"/>
      <c r="R62" s="20"/>
      <c r="S62" s="20"/>
      <c r="T62" s="20"/>
      <c r="U62" s="34"/>
      <c r="AF62" s="11" t="str">
        <f t="shared" si="34"/>
        <v/>
      </c>
      <c r="AG62" s="11" t="str">
        <f t="shared" ref="AG62:AO62" si="61">if(not(isblank(M62)),", "&amp;M62,"")</f>
        <v/>
      </c>
      <c r="AH62" s="11" t="str">
        <f t="shared" si="61"/>
        <v/>
      </c>
      <c r="AI62" s="11" t="str">
        <f t="shared" si="61"/>
        <v/>
      </c>
      <c r="AJ62" s="11" t="str">
        <f t="shared" si="61"/>
        <v/>
      </c>
      <c r="AK62" s="11" t="str">
        <f t="shared" si="61"/>
        <v/>
      </c>
      <c r="AL62" s="11" t="str">
        <f t="shared" si="61"/>
        <v/>
      </c>
      <c r="AM62" s="11" t="str">
        <f t="shared" si="61"/>
        <v/>
      </c>
      <c r="AN62" s="11" t="str">
        <f t="shared" si="61"/>
        <v/>
      </c>
      <c r="AO62" s="11" t="str">
        <f t="shared" si="61"/>
        <v/>
      </c>
      <c r="AP62" s="21" t="str">
        <f t="shared" si="36"/>
        <v/>
      </c>
    </row>
    <row r="63" ht="16.5" customHeight="1">
      <c r="A63" s="32" t="s">
        <v>2347</v>
      </c>
      <c r="B63" s="32" t="s">
        <v>2423</v>
      </c>
      <c r="C63" s="32" t="s">
        <v>2464</v>
      </c>
      <c r="D63" s="32" t="s">
        <v>2465</v>
      </c>
      <c r="E63" s="32" t="s">
        <v>2466</v>
      </c>
      <c r="F63" s="4" t="s">
        <v>2467</v>
      </c>
      <c r="G63" s="4"/>
      <c r="H63" s="4"/>
      <c r="K63" s="18"/>
      <c r="L63" s="33"/>
      <c r="M63" s="20"/>
      <c r="N63" s="20"/>
      <c r="O63" s="20"/>
      <c r="P63" s="20"/>
      <c r="Q63" s="20"/>
      <c r="R63" s="20"/>
      <c r="S63" s="20"/>
      <c r="T63" s="20"/>
      <c r="U63" s="34"/>
      <c r="AF63" s="11" t="str">
        <f t="shared" si="34"/>
        <v/>
      </c>
      <c r="AG63" s="11" t="str">
        <f t="shared" ref="AG63:AO63" si="62">if(not(isblank(M63)),", "&amp;M63,"")</f>
        <v/>
      </c>
      <c r="AH63" s="11" t="str">
        <f t="shared" si="62"/>
        <v/>
      </c>
      <c r="AI63" s="11" t="str">
        <f t="shared" si="62"/>
        <v/>
      </c>
      <c r="AJ63" s="11" t="str">
        <f t="shared" si="62"/>
        <v/>
      </c>
      <c r="AK63" s="11" t="str">
        <f t="shared" si="62"/>
        <v/>
      </c>
      <c r="AL63" s="11" t="str">
        <f t="shared" si="62"/>
        <v/>
      </c>
      <c r="AM63" s="11" t="str">
        <f t="shared" si="62"/>
        <v/>
      </c>
      <c r="AN63" s="11" t="str">
        <f t="shared" si="62"/>
        <v/>
      </c>
      <c r="AO63" s="11" t="str">
        <f t="shared" si="62"/>
        <v/>
      </c>
      <c r="AP63" s="21" t="str">
        <f t="shared" si="36"/>
        <v/>
      </c>
    </row>
    <row r="64" ht="16.5" customHeight="1">
      <c r="A64" s="32" t="s">
        <v>2347</v>
      </c>
      <c r="B64" s="32" t="s">
        <v>2423</v>
      </c>
      <c r="C64" s="32" t="s">
        <v>2468</v>
      </c>
      <c r="D64" s="32" t="s">
        <v>2469</v>
      </c>
      <c r="E64" s="36"/>
      <c r="F64" s="4"/>
      <c r="G64" s="4"/>
      <c r="H64" s="4"/>
      <c r="K64" s="18"/>
      <c r="L64" s="33"/>
      <c r="M64" s="20"/>
      <c r="N64" s="20"/>
      <c r="O64" s="20"/>
      <c r="P64" s="20"/>
      <c r="Q64" s="20"/>
      <c r="R64" s="20"/>
      <c r="S64" s="20"/>
      <c r="T64" s="20"/>
      <c r="U64" s="34"/>
      <c r="AP64" s="21"/>
    </row>
    <row r="65" ht="16.5" customHeight="1">
      <c r="A65" s="32" t="s">
        <v>2347</v>
      </c>
      <c r="B65" s="32" t="s">
        <v>2423</v>
      </c>
      <c r="C65" s="32" t="s">
        <v>2470</v>
      </c>
      <c r="D65" s="32" t="s">
        <v>2471</v>
      </c>
      <c r="E65" s="36"/>
      <c r="F65" s="4"/>
      <c r="G65" s="4"/>
      <c r="H65" s="4"/>
      <c r="K65" s="18"/>
      <c r="L65" s="33"/>
      <c r="M65" s="20"/>
      <c r="N65" s="20"/>
      <c r="O65" s="20"/>
      <c r="P65" s="20"/>
      <c r="Q65" s="20"/>
      <c r="R65" s="20"/>
      <c r="S65" s="20"/>
      <c r="T65" s="20"/>
      <c r="U65" s="34"/>
      <c r="AP65" s="21"/>
    </row>
    <row r="66" ht="16.5" customHeight="1">
      <c r="A66" s="32" t="s">
        <v>2347</v>
      </c>
      <c r="B66" s="32" t="s">
        <v>2348</v>
      </c>
      <c r="C66" s="32" t="s">
        <v>2472</v>
      </c>
      <c r="D66" s="32" t="s">
        <v>2473</v>
      </c>
      <c r="E66" s="32" t="s">
        <v>2474</v>
      </c>
      <c r="F66" s="4" t="s">
        <v>2475</v>
      </c>
      <c r="G66" s="4"/>
      <c r="H66" s="4"/>
      <c r="K66" s="18"/>
      <c r="L66" s="33"/>
      <c r="M66" s="20"/>
      <c r="N66" s="20"/>
      <c r="O66" s="20"/>
      <c r="P66" s="20"/>
      <c r="Q66" s="20"/>
      <c r="R66" s="20"/>
      <c r="S66" s="20"/>
      <c r="T66" s="20"/>
      <c r="U66" s="34"/>
      <c r="AP66" s="21"/>
    </row>
    <row r="67" ht="16.5" customHeight="1">
      <c r="A67" s="32" t="s">
        <v>2476</v>
      </c>
      <c r="B67" s="32" t="s">
        <v>2477</v>
      </c>
      <c r="C67" s="32" t="s">
        <v>2478</v>
      </c>
      <c r="D67" s="32" t="s">
        <v>2479</v>
      </c>
      <c r="E67" s="32" t="s">
        <v>2480</v>
      </c>
      <c r="F67" s="4" t="s">
        <v>2481</v>
      </c>
      <c r="G67" s="4" t="s">
        <v>2482</v>
      </c>
      <c r="K67" s="18"/>
      <c r="L67" s="33"/>
      <c r="M67" s="20"/>
      <c r="N67" s="20"/>
      <c r="O67" s="20"/>
      <c r="P67" s="20"/>
      <c r="Q67" s="20"/>
      <c r="R67" s="20"/>
      <c r="S67" s="20"/>
      <c r="T67" s="20"/>
      <c r="U67" s="34"/>
      <c r="AF67" s="11" t="str">
        <f t="shared" ref="AF67:AF117" si="64">if(not(isblank(L67)),L67,"")</f>
        <v/>
      </c>
      <c r="AG67" s="11" t="str">
        <f t="shared" ref="AG67:AO67" si="63">if(not(isblank(M67)),", "&amp;M67,"")</f>
        <v/>
      </c>
      <c r="AH67" s="11" t="str">
        <f t="shared" si="63"/>
        <v/>
      </c>
      <c r="AI67" s="11" t="str">
        <f t="shared" si="63"/>
        <v/>
      </c>
      <c r="AJ67" s="11" t="str">
        <f t="shared" si="63"/>
        <v/>
      </c>
      <c r="AK67" s="11" t="str">
        <f t="shared" si="63"/>
        <v/>
      </c>
      <c r="AL67" s="11" t="str">
        <f t="shared" si="63"/>
        <v/>
      </c>
      <c r="AM67" s="11" t="str">
        <f t="shared" si="63"/>
        <v/>
      </c>
      <c r="AN67" s="11" t="str">
        <f t="shared" si="63"/>
        <v/>
      </c>
      <c r="AO67" s="11" t="str">
        <f t="shared" si="63"/>
        <v/>
      </c>
      <c r="AP67" s="21" t="str">
        <f t="shared" ref="AP67:AP117" si="66">if(isblank(L67),G67,AF67&amp;AG67&amp;AH67&amp;AI67&amp;AJ67&amp;AK67&amp;AL67&amp;AM67&amp;AN67&amp;AO67)</f>
        <v>01-brown, 01-green, 01-ecru, 01-light-green</v>
      </c>
    </row>
    <row r="68" ht="16.5" customHeight="1">
      <c r="A68" s="32" t="s">
        <v>2476</v>
      </c>
      <c r="B68" s="32" t="s">
        <v>2477</v>
      </c>
      <c r="C68" s="32" t="s">
        <v>2483</v>
      </c>
      <c r="D68" s="32" t="s">
        <v>2484</v>
      </c>
      <c r="E68" s="32" t="s">
        <v>2485</v>
      </c>
      <c r="F68" s="4" t="s">
        <v>2486</v>
      </c>
      <c r="G68" s="4" t="s">
        <v>2487</v>
      </c>
      <c r="H68" s="4"/>
      <c r="K68" s="18"/>
      <c r="L68" s="33"/>
      <c r="M68" s="20"/>
      <c r="N68" s="20"/>
      <c r="O68" s="20"/>
      <c r="P68" s="20"/>
      <c r="Q68" s="20"/>
      <c r="R68" s="20"/>
      <c r="S68" s="20"/>
      <c r="T68" s="20"/>
      <c r="U68" s="34"/>
      <c r="AF68" s="11" t="str">
        <f t="shared" si="64"/>
        <v/>
      </c>
      <c r="AG68" s="11" t="str">
        <f t="shared" ref="AG68:AO68" si="65">if(not(isblank(M68)),", "&amp;M68,"")</f>
        <v/>
      </c>
      <c r="AH68" s="11" t="str">
        <f t="shared" si="65"/>
        <v/>
      </c>
      <c r="AI68" s="11" t="str">
        <f t="shared" si="65"/>
        <v/>
      </c>
      <c r="AJ68" s="11" t="str">
        <f t="shared" si="65"/>
        <v/>
      </c>
      <c r="AK68" s="11" t="str">
        <f t="shared" si="65"/>
        <v/>
      </c>
      <c r="AL68" s="11" t="str">
        <f t="shared" si="65"/>
        <v/>
      </c>
      <c r="AM68" s="11" t="str">
        <f t="shared" si="65"/>
        <v/>
      </c>
      <c r="AN68" s="11" t="str">
        <f t="shared" si="65"/>
        <v/>
      </c>
      <c r="AO68" s="11" t="str">
        <f t="shared" si="65"/>
        <v/>
      </c>
      <c r="AP68" s="21" t="str">
        <f t="shared" si="66"/>
        <v>04-black-l, 04-green-l, 04-ecru-l</v>
      </c>
    </row>
    <row r="69" ht="16.5" customHeight="1">
      <c r="A69" s="32" t="s">
        <v>2476</v>
      </c>
      <c r="B69" s="32" t="s">
        <v>2477</v>
      </c>
      <c r="C69" s="32" t="s">
        <v>2488</v>
      </c>
      <c r="D69" s="32" t="s">
        <v>2489</v>
      </c>
      <c r="E69" s="32" t="s">
        <v>2490</v>
      </c>
      <c r="F69" s="4" t="s">
        <v>2491</v>
      </c>
      <c r="G69" s="4" t="s">
        <v>2492</v>
      </c>
      <c r="K69" s="18"/>
      <c r="L69" s="33"/>
      <c r="M69" s="20"/>
      <c r="N69" s="20"/>
      <c r="O69" s="20"/>
      <c r="P69" s="20"/>
      <c r="Q69" s="20"/>
      <c r="R69" s="20"/>
      <c r="S69" s="20"/>
      <c r="T69" s="20"/>
      <c r="U69" s="34"/>
      <c r="AF69" s="11" t="str">
        <f t="shared" si="64"/>
        <v/>
      </c>
      <c r="AG69" s="11" t="str">
        <f t="shared" ref="AG69:AO69" si="67">if(not(isblank(M69)),", "&amp;M69,"")</f>
        <v/>
      </c>
      <c r="AH69" s="11" t="str">
        <f t="shared" si="67"/>
        <v/>
      </c>
      <c r="AI69" s="11" t="str">
        <f t="shared" si="67"/>
        <v/>
      </c>
      <c r="AJ69" s="11" t="str">
        <f t="shared" si="67"/>
        <v/>
      </c>
      <c r="AK69" s="11" t="str">
        <f t="shared" si="67"/>
        <v/>
      </c>
      <c r="AL69" s="11" t="str">
        <f t="shared" si="67"/>
        <v/>
      </c>
      <c r="AM69" s="11" t="str">
        <f t="shared" si="67"/>
        <v/>
      </c>
      <c r="AN69" s="11" t="str">
        <f t="shared" si="67"/>
        <v/>
      </c>
      <c r="AO69" s="11" t="str">
        <f t="shared" si="67"/>
        <v/>
      </c>
      <c r="AP69" s="21" t="str">
        <f t="shared" si="66"/>
        <v>05-black, 05-brown, 05-clear, 05-dark-grey, 05-light-green</v>
      </c>
    </row>
    <row r="70" ht="16.5" customHeight="1">
      <c r="A70" s="32" t="s">
        <v>2476</v>
      </c>
      <c r="B70" s="32" t="s">
        <v>2477</v>
      </c>
      <c r="C70" s="32" t="s">
        <v>2493</v>
      </c>
      <c r="D70" s="32" t="s">
        <v>2494</v>
      </c>
      <c r="E70" s="32" t="s">
        <v>2495</v>
      </c>
      <c r="F70" s="4" t="s">
        <v>2496</v>
      </c>
      <c r="G70" s="4"/>
      <c r="H70" s="4"/>
      <c r="K70" s="18"/>
      <c r="L70" s="33"/>
      <c r="M70" s="20"/>
      <c r="N70" s="20"/>
      <c r="O70" s="20"/>
      <c r="P70" s="20"/>
      <c r="Q70" s="20"/>
      <c r="R70" s="20"/>
      <c r="S70" s="20"/>
      <c r="T70" s="20"/>
      <c r="U70" s="34"/>
      <c r="AF70" s="11" t="str">
        <f t="shared" si="64"/>
        <v/>
      </c>
      <c r="AG70" s="11" t="str">
        <f t="shared" ref="AG70:AO70" si="68">if(not(isblank(M70)),", "&amp;M70,"")</f>
        <v/>
      </c>
      <c r="AH70" s="11" t="str">
        <f t="shared" si="68"/>
        <v/>
      </c>
      <c r="AI70" s="11" t="str">
        <f t="shared" si="68"/>
        <v/>
      </c>
      <c r="AJ70" s="11" t="str">
        <f t="shared" si="68"/>
        <v/>
      </c>
      <c r="AK70" s="11" t="str">
        <f t="shared" si="68"/>
        <v/>
      </c>
      <c r="AL70" s="11" t="str">
        <f t="shared" si="68"/>
        <v/>
      </c>
      <c r="AM70" s="11" t="str">
        <f t="shared" si="68"/>
        <v/>
      </c>
      <c r="AN70" s="11" t="str">
        <f t="shared" si="68"/>
        <v/>
      </c>
      <c r="AO70" s="11" t="str">
        <f t="shared" si="68"/>
        <v/>
      </c>
      <c r="AP70" s="21" t="str">
        <f t="shared" si="66"/>
        <v/>
      </c>
    </row>
    <row r="71" ht="16.5" customHeight="1">
      <c r="A71" s="32" t="s">
        <v>2476</v>
      </c>
      <c r="B71" s="32" t="s">
        <v>2477</v>
      </c>
      <c r="C71" s="32" t="s">
        <v>2497</v>
      </c>
      <c r="D71" s="32" t="s">
        <v>2498</v>
      </c>
      <c r="E71" s="32" t="s">
        <v>2499</v>
      </c>
      <c r="F71" s="4" t="s">
        <v>2500</v>
      </c>
      <c r="G71" s="4" t="s">
        <v>2501</v>
      </c>
      <c r="H71" s="4"/>
      <c r="K71" s="18"/>
      <c r="L71" s="33"/>
      <c r="M71" s="20"/>
      <c r="N71" s="20"/>
      <c r="O71" s="20"/>
      <c r="P71" s="20"/>
      <c r="Q71" s="20"/>
      <c r="R71" s="20"/>
      <c r="S71" s="20"/>
      <c r="T71" s="20"/>
      <c r="U71" s="34"/>
      <c r="AF71" s="11" t="str">
        <f t="shared" si="64"/>
        <v/>
      </c>
      <c r="AG71" s="11" t="str">
        <f t="shared" ref="AG71:AO71" si="69">if(not(isblank(M71)),", "&amp;M71,"")</f>
        <v/>
      </c>
      <c r="AH71" s="11" t="str">
        <f t="shared" si="69"/>
        <v/>
      </c>
      <c r="AI71" s="11" t="str">
        <f t="shared" si="69"/>
        <v/>
      </c>
      <c r="AJ71" s="11" t="str">
        <f t="shared" si="69"/>
        <v/>
      </c>
      <c r="AK71" s="11" t="str">
        <f t="shared" si="69"/>
        <v/>
      </c>
      <c r="AL71" s="11" t="str">
        <f t="shared" si="69"/>
        <v/>
      </c>
      <c r="AM71" s="11" t="str">
        <f t="shared" si="69"/>
        <v/>
      </c>
      <c r="AN71" s="11" t="str">
        <f t="shared" si="69"/>
        <v/>
      </c>
      <c r="AO71" s="11" t="str">
        <f t="shared" si="69"/>
        <v/>
      </c>
      <c r="AP71" s="21" t="str">
        <f t="shared" si="66"/>
        <v>aviator-brown</v>
      </c>
    </row>
    <row r="72" ht="16.5" customHeight="1">
      <c r="A72" s="32" t="s">
        <v>2476</v>
      </c>
      <c r="B72" s="32" t="s">
        <v>2477</v>
      </c>
      <c r="C72" s="32" t="s">
        <v>2501</v>
      </c>
      <c r="D72" s="32" t="s">
        <v>2502</v>
      </c>
      <c r="E72" s="32" t="s">
        <v>2499</v>
      </c>
      <c r="F72" s="4" t="s">
        <v>2500</v>
      </c>
      <c r="G72" s="4" t="s">
        <v>2497</v>
      </c>
      <c r="H72" s="4"/>
      <c r="K72" s="18"/>
      <c r="L72" s="33"/>
      <c r="M72" s="20"/>
      <c r="N72" s="20"/>
      <c r="O72" s="20"/>
      <c r="P72" s="20"/>
      <c r="Q72" s="20"/>
      <c r="R72" s="20"/>
      <c r="S72" s="20"/>
      <c r="T72" s="20"/>
      <c r="U72" s="34"/>
      <c r="AF72" s="11" t="str">
        <f t="shared" si="64"/>
        <v/>
      </c>
      <c r="AG72" s="11" t="str">
        <f t="shared" ref="AG72:AO72" si="70">if(not(isblank(M72)),", "&amp;M72,"")</f>
        <v/>
      </c>
      <c r="AH72" s="11" t="str">
        <f t="shared" si="70"/>
        <v/>
      </c>
      <c r="AI72" s="11" t="str">
        <f t="shared" si="70"/>
        <v/>
      </c>
      <c r="AJ72" s="11" t="str">
        <f t="shared" si="70"/>
        <v/>
      </c>
      <c r="AK72" s="11" t="str">
        <f t="shared" si="70"/>
        <v/>
      </c>
      <c r="AL72" s="11" t="str">
        <f t="shared" si="70"/>
        <v/>
      </c>
      <c r="AM72" s="11" t="str">
        <f t="shared" si="70"/>
        <v/>
      </c>
      <c r="AN72" s="11" t="str">
        <f t="shared" si="70"/>
        <v/>
      </c>
      <c r="AO72" s="11" t="str">
        <f t="shared" si="70"/>
        <v/>
      </c>
      <c r="AP72" s="21" t="str">
        <f t="shared" si="66"/>
        <v>aviator-green</v>
      </c>
    </row>
    <row r="73" ht="16.5" customHeight="1">
      <c r="A73" s="32" t="s">
        <v>2476</v>
      </c>
      <c r="B73" s="32" t="s">
        <v>2477</v>
      </c>
      <c r="C73" s="32" t="s">
        <v>2503</v>
      </c>
      <c r="D73" s="32" t="s">
        <v>2504</v>
      </c>
      <c r="E73" s="32" t="s">
        <v>2505</v>
      </c>
      <c r="F73" s="4" t="s">
        <v>2506</v>
      </c>
      <c r="G73" s="4"/>
      <c r="H73" s="4"/>
      <c r="K73" s="18"/>
      <c r="L73" s="33"/>
      <c r="M73" s="33"/>
      <c r="N73" s="33"/>
      <c r="O73" s="33"/>
      <c r="P73" s="20"/>
      <c r="Q73" s="20"/>
      <c r="R73" s="20"/>
      <c r="S73" s="20"/>
      <c r="T73" s="20"/>
      <c r="U73" s="34"/>
      <c r="AF73" s="11" t="str">
        <f t="shared" si="64"/>
        <v/>
      </c>
      <c r="AG73" s="11" t="str">
        <f t="shared" ref="AG73:AO73" si="71">if(not(isblank(M73)),", "&amp;M73,"")</f>
        <v/>
      </c>
      <c r="AH73" s="11" t="str">
        <f t="shared" si="71"/>
        <v/>
      </c>
      <c r="AI73" s="11" t="str">
        <f t="shared" si="71"/>
        <v/>
      </c>
      <c r="AJ73" s="11" t="str">
        <f t="shared" si="71"/>
        <v/>
      </c>
      <c r="AK73" s="11" t="str">
        <f t="shared" si="71"/>
        <v/>
      </c>
      <c r="AL73" s="11" t="str">
        <f t="shared" si="71"/>
        <v/>
      </c>
      <c r="AM73" s="11" t="str">
        <f t="shared" si="71"/>
        <v/>
      </c>
      <c r="AN73" s="11" t="str">
        <f t="shared" si="71"/>
        <v/>
      </c>
      <c r="AO73" s="11" t="str">
        <f t="shared" si="71"/>
        <v/>
      </c>
      <c r="AP73" s="21" t="str">
        <f t="shared" si="66"/>
        <v/>
      </c>
    </row>
    <row r="74" ht="16.5" customHeight="1">
      <c r="A74" s="32" t="s">
        <v>2476</v>
      </c>
      <c r="B74" s="32" t="s">
        <v>2477</v>
      </c>
      <c r="C74" s="32" t="s">
        <v>2507</v>
      </c>
      <c r="D74" s="32" t="s">
        <v>2508</v>
      </c>
      <c r="E74" s="32" t="s">
        <v>2509</v>
      </c>
      <c r="F74" s="4" t="s">
        <v>2510</v>
      </c>
      <c r="G74" s="4" t="s">
        <v>2511</v>
      </c>
      <c r="K74" s="18"/>
      <c r="L74" s="33"/>
      <c r="M74" s="20"/>
      <c r="N74" s="20"/>
      <c r="O74" s="20"/>
      <c r="P74" s="20"/>
      <c r="Q74" s="20"/>
      <c r="R74" s="20"/>
      <c r="S74" s="20"/>
      <c r="T74" s="20"/>
      <c r="U74" s="34"/>
      <c r="AF74" s="11" t="str">
        <f t="shared" si="64"/>
        <v/>
      </c>
      <c r="AG74" s="11" t="str">
        <f t="shared" ref="AG74:AO74" si="72">if(not(isblank(M74)),", "&amp;M74,"")</f>
        <v/>
      </c>
      <c r="AH74" s="11" t="str">
        <f t="shared" si="72"/>
        <v/>
      </c>
      <c r="AI74" s="11" t="str">
        <f t="shared" si="72"/>
        <v/>
      </c>
      <c r="AJ74" s="11" t="str">
        <f t="shared" si="72"/>
        <v/>
      </c>
      <c r="AK74" s="11" t="str">
        <f t="shared" si="72"/>
        <v/>
      </c>
      <c r="AL74" s="11" t="str">
        <f t="shared" si="72"/>
        <v/>
      </c>
      <c r="AM74" s="11" t="str">
        <f t="shared" si="72"/>
        <v/>
      </c>
      <c r="AN74" s="11" t="str">
        <f t="shared" si="72"/>
        <v/>
      </c>
      <c r="AO74" s="11" t="str">
        <f t="shared" si="72"/>
        <v/>
      </c>
      <c r="AP74" s="21" t="str">
        <f t="shared" si="66"/>
        <v>01-2-black, 01-2-brown, 01-2-green, 01-2-light-brown, 01-2-sage</v>
      </c>
    </row>
    <row r="75" ht="16.5" customHeight="1">
      <c r="A75" s="32" t="s">
        <v>2476</v>
      </c>
      <c r="B75" s="32" t="s">
        <v>2477</v>
      </c>
      <c r="C75" s="32" t="s">
        <v>2512</v>
      </c>
      <c r="D75" s="32" t="s">
        <v>2513</v>
      </c>
      <c r="E75" s="32" t="s">
        <v>2509</v>
      </c>
      <c r="F75" s="4" t="s">
        <v>2510</v>
      </c>
      <c r="G75" s="4" t="s">
        <v>2511</v>
      </c>
      <c r="K75" s="18"/>
      <c r="L75" s="33"/>
      <c r="M75" s="20"/>
      <c r="N75" s="20"/>
      <c r="O75" s="20"/>
      <c r="P75" s="20"/>
      <c r="Q75" s="20"/>
      <c r="R75" s="20"/>
      <c r="S75" s="20"/>
      <c r="T75" s="20"/>
      <c r="U75" s="34"/>
      <c r="AF75" s="11" t="str">
        <f t="shared" si="64"/>
        <v/>
      </c>
      <c r="AG75" s="11" t="str">
        <f t="shared" ref="AG75:AO75" si="73">if(not(isblank(M75)),", "&amp;M75,"")</f>
        <v/>
      </c>
      <c r="AH75" s="11" t="str">
        <f t="shared" si="73"/>
        <v/>
      </c>
      <c r="AI75" s="11" t="str">
        <f t="shared" si="73"/>
        <v/>
      </c>
      <c r="AJ75" s="11" t="str">
        <f t="shared" si="73"/>
        <v/>
      </c>
      <c r="AK75" s="11" t="str">
        <f t="shared" si="73"/>
        <v/>
      </c>
      <c r="AL75" s="11" t="str">
        <f t="shared" si="73"/>
        <v/>
      </c>
      <c r="AM75" s="11" t="str">
        <f t="shared" si="73"/>
        <v/>
      </c>
      <c r="AN75" s="11" t="str">
        <f t="shared" si="73"/>
        <v/>
      </c>
      <c r="AO75" s="11" t="str">
        <f t="shared" si="73"/>
        <v/>
      </c>
      <c r="AP75" s="21" t="str">
        <f t="shared" si="66"/>
        <v>01-2-black, 01-2-brown, 01-2-green, 01-2-light-brown, 01-2-sage</v>
      </c>
    </row>
    <row r="76" ht="16.5" customHeight="1">
      <c r="A76" s="32" t="s">
        <v>2476</v>
      </c>
      <c r="B76" s="32" t="s">
        <v>2477</v>
      </c>
      <c r="C76" s="32" t="s">
        <v>2514</v>
      </c>
      <c r="D76" s="32" t="s">
        <v>2515</v>
      </c>
      <c r="E76" s="32" t="s">
        <v>2509</v>
      </c>
      <c r="F76" s="4" t="s">
        <v>2510</v>
      </c>
      <c r="G76" s="4" t="s">
        <v>2511</v>
      </c>
      <c r="K76" s="18"/>
      <c r="L76" s="33"/>
      <c r="M76" s="20"/>
      <c r="N76" s="20"/>
      <c r="O76" s="20"/>
      <c r="P76" s="20"/>
      <c r="Q76" s="20"/>
      <c r="R76" s="20"/>
      <c r="S76" s="20"/>
      <c r="T76" s="20"/>
      <c r="U76" s="34"/>
      <c r="AF76" s="11" t="str">
        <f t="shared" si="64"/>
        <v/>
      </c>
      <c r="AG76" s="11" t="str">
        <f t="shared" ref="AG76:AO76" si="74">if(not(isblank(M76)),", "&amp;M76,"")</f>
        <v/>
      </c>
      <c r="AH76" s="11" t="str">
        <f t="shared" si="74"/>
        <v/>
      </c>
      <c r="AI76" s="11" t="str">
        <f t="shared" si="74"/>
        <v/>
      </c>
      <c r="AJ76" s="11" t="str">
        <f t="shared" si="74"/>
        <v/>
      </c>
      <c r="AK76" s="11" t="str">
        <f t="shared" si="74"/>
        <v/>
      </c>
      <c r="AL76" s="11" t="str">
        <f t="shared" si="74"/>
        <v/>
      </c>
      <c r="AM76" s="11" t="str">
        <f t="shared" si="74"/>
        <v/>
      </c>
      <c r="AN76" s="11" t="str">
        <f t="shared" si="74"/>
        <v/>
      </c>
      <c r="AO76" s="11" t="str">
        <f t="shared" si="74"/>
        <v/>
      </c>
      <c r="AP76" s="21" t="str">
        <f t="shared" si="66"/>
        <v>01-2-black, 01-2-brown, 01-2-green, 01-2-light-brown, 01-2-sage</v>
      </c>
    </row>
    <row r="77" ht="16.5" customHeight="1">
      <c r="A77" s="32" t="s">
        <v>2476</v>
      </c>
      <c r="B77" s="32" t="s">
        <v>2477</v>
      </c>
      <c r="C77" s="32" t="s">
        <v>2516</v>
      </c>
      <c r="D77" s="32" t="s">
        <v>2517</v>
      </c>
      <c r="E77" s="32" t="s">
        <v>2509</v>
      </c>
      <c r="F77" s="4" t="s">
        <v>2510</v>
      </c>
      <c r="G77" s="4" t="s">
        <v>2511</v>
      </c>
      <c r="K77" s="18"/>
      <c r="L77" s="33"/>
      <c r="M77" s="20"/>
      <c r="N77" s="20"/>
      <c r="O77" s="20"/>
      <c r="P77" s="20"/>
      <c r="Q77" s="20"/>
      <c r="R77" s="20"/>
      <c r="S77" s="20"/>
      <c r="T77" s="20"/>
      <c r="U77" s="34"/>
      <c r="AF77" s="11" t="str">
        <f t="shared" si="64"/>
        <v/>
      </c>
      <c r="AG77" s="11" t="str">
        <f t="shared" ref="AG77:AO77" si="75">if(not(isblank(M77)),", "&amp;M77,"")</f>
        <v/>
      </c>
      <c r="AH77" s="11" t="str">
        <f t="shared" si="75"/>
        <v/>
      </c>
      <c r="AI77" s="11" t="str">
        <f t="shared" si="75"/>
        <v/>
      </c>
      <c r="AJ77" s="11" t="str">
        <f t="shared" si="75"/>
        <v/>
      </c>
      <c r="AK77" s="11" t="str">
        <f t="shared" si="75"/>
        <v/>
      </c>
      <c r="AL77" s="11" t="str">
        <f t="shared" si="75"/>
        <v/>
      </c>
      <c r="AM77" s="11" t="str">
        <f t="shared" si="75"/>
        <v/>
      </c>
      <c r="AN77" s="11" t="str">
        <f t="shared" si="75"/>
        <v/>
      </c>
      <c r="AO77" s="11" t="str">
        <f t="shared" si="75"/>
        <v/>
      </c>
      <c r="AP77" s="21" t="str">
        <f t="shared" si="66"/>
        <v>01-2-black, 01-2-brown, 01-2-green, 01-2-light-brown, 01-2-sage</v>
      </c>
    </row>
    <row r="78" ht="16.5" customHeight="1">
      <c r="A78" s="32" t="s">
        <v>2476</v>
      </c>
      <c r="B78" s="32" t="s">
        <v>2477</v>
      </c>
      <c r="C78" s="32" t="s">
        <v>2518</v>
      </c>
      <c r="D78" s="32" t="s">
        <v>2519</v>
      </c>
      <c r="E78" s="32" t="s">
        <v>2520</v>
      </c>
      <c r="F78" s="4" t="s">
        <v>2521</v>
      </c>
      <c r="G78" s="4" t="s">
        <v>2522</v>
      </c>
      <c r="K78" s="18"/>
      <c r="L78" s="33"/>
      <c r="M78" s="20"/>
      <c r="N78" s="20"/>
      <c r="O78" s="20"/>
      <c r="P78" s="20"/>
      <c r="Q78" s="20"/>
      <c r="R78" s="20"/>
      <c r="S78" s="20"/>
      <c r="T78" s="20"/>
      <c r="U78" s="34"/>
      <c r="AF78" s="11" t="str">
        <f t="shared" si="64"/>
        <v/>
      </c>
      <c r="AG78" s="11" t="str">
        <f t="shared" ref="AG78:AO78" si="76">if(not(isblank(M78)),", "&amp;M78,"")</f>
        <v/>
      </c>
      <c r="AH78" s="11" t="str">
        <f t="shared" si="76"/>
        <v/>
      </c>
      <c r="AI78" s="11" t="str">
        <f t="shared" si="76"/>
        <v/>
      </c>
      <c r="AJ78" s="11" t="str">
        <f t="shared" si="76"/>
        <v/>
      </c>
      <c r="AK78" s="11" t="str">
        <f t="shared" si="76"/>
        <v/>
      </c>
      <c r="AL78" s="11" t="str">
        <f t="shared" si="76"/>
        <v/>
      </c>
      <c r="AM78" s="11" t="str">
        <f t="shared" si="76"/>
        <v/>
      </c>
      <c r="AN78" s="11" t="str">
        <f t="shared" si="76"/>
        <v/>
      </c>
      <c r="AO78" s="11" t="str">
        <f t="shared" si="76"/>
        <v/>
      </c>
      <c r="AP78" s="21" t="str">
        <f t="shared" si="66"/>
        <v>04-2-l-black, 04-2-l-green, photocromic-04-solid-black</v>
      </c>
    </row>
    <row r="79" ht="16.5" customHeight="1">
      <c r="A79" s="32" t="s">
        <v>2476</v>
      </c>
      <c r="B79" s="32" t="s">
        <v>2477</v>
      </c>
      <c r="C79" s="32" t="s">
        <v>2523</v>
      </c>
      <c r="D79" s="32" t="s">
        <v>2524</v>
      </c>
      <c r="E79" s="32" t="s">
        <v>2525</v>
      </c>
      <c r="F79" s="4" t="s">
        <v>2526</v>
      </c>
      <c r="G79" s="4" t="s">
        <v>2527</v>
      </c>
      <c r="K79" s="18"/>
      <c r="L79" s="33"/>
      <c r="M79" s="20"/>
      <c r="N79" s="20"/>
      <c r="O79" s="20"/>
      <c r="P79" s="20"/>
      <c r="Q79" s="20"/>
      <c r="R79" s="20"/>
      <c r="S79" s="20"/>
      <c r="T79" s="20"/>
      <c r="U79" s="34"/>
      <c r="AF79" s="11" t="str">
        <f t="shared" si="64"/>
        <v/>
      </c>
      <c r="AG79" s="11" t="str">
        <f t="shared" ref="AG79:AO79" si="77">if(not(isblank(M79)),", "&amp;M79,"")</f>
        <v/>
      </c>
      <c r="AH79" s="11" t="str">
        <f t="shared" si="77"/>
        <v/>
      </c>
      <c r="AI79" s="11" t="str">
        <f t="shared" si="77"/>
        <v/>
      </c>
      <c r="AJ79" s="11" t="str">
        <f t="shared" si="77"/>
        <v/>
      </c>
      <c r="AK79" s="11" t="str">
        <f t="shared" si="77"/>
        <v/>
      </c>
      <c r="AL79" s="11" t="str">
        <f t="shared" si="77"/>
        <v/>
      </c>
      <c r="AM79" s="11" t="str">
        <f t="shared" si="77"/>
        <v/>
      </c>
      <c r="AN79" s="11" t="str">
        <f t="shared" si="77"/>
        <v/>
      </c>
      <c r="AO79" s="11" t="str">
        <f t="shared" si="77"/>
        <v/>
      </c>
      <c r="AP79" s="21" t="str">
        <f t="shared" si="66"/>
        <v>05-2-brown, 05-2-dark-grey, 05-2-light-brown, 05-2-sage</v>
      </c>
    </row>
    <row r="80" ht="16.5" customHeight="1">
      <c r="A80" s="32" t="s">
        <v>2476</v>
      </c>
      <c r="B80" s="32" t="s">
        <v>2477</v>
      </c>
      <c r="C80" s="32" t="s">
        <v>2528</v>
      </c>
      <c r="D80" s="32" t="s">
        <v>2529</v>
      </c>
      <c r="E80" s="32" t="s">
        <v>2525</v>
      </c>
      <c r="F80" s="4" t="s">
        <v>2526</v>
      </c>
      <c r="G80" s="4" t="s">
        <v>2530</v>
      </c>
      <c r="K80" s="18"/>
      <c r="L80" s="33"/>
      <c r="M80" s="20"/>
      <c r="N80" s="20"/>
      <c r="O80" s="20"/>
      <c r="P80" s="20"/>
      <c r="Q80" s="20"/>
      <c r="R80" s="20"/>
      <c r="S80" s="20"/>
      <c r="T80" s="20"/>
      <c r="U80" s="34"/>
      <c r="AF80" s="11" t="str">
        <f t="shared" si="64"/>
        <v/>
      </c>
      <c r="AG80" s="11" t="str">
        <f t="shared" ref="AG80:AO80" si="78">if(not(isblank(M80)),", "&amp;M80,"")</f>
        <v/>
      </c>
      <c r="AH80" s="11" t="str">
        <f t="shared" si="78"/>
        <v/>
      </c>
      <c r="AI80" s="11" t="str">
        <f t="shared" si="78"/>
        <v/>
      </c>
      <c r="AJ80" s="11" t="str">
        <f t="shared" si="78"/>
        <v/>
      </c>
      <c r="AK80" s="11" t="str">
        <f t="shared" si="78"/>
        <v/>
      </c>
      <c r="AL80" s="11" t="str">
        <f t="shared" si="78"/>
        <v/>
      </c>
      <c r="AM80" s="11" t="str">
        <f t="shared" si="78"/>
        <v/>
      </c>
      <c r="AN80" s="11" t="str">
        <f t="shared" si="78"/>
        <v/>
      </c>
      <c r="AO80" s="11" t="str">
        <f t="shared" si="78"/>
        <v/>
      </c>
      <c r="AP80" s="21" t="str">
        <f t="shared" si="66"/>
        <v>05-2-black, 05-2-dark-grey, 05-2-light-brown, 05-2-sage</v>
      </c>
    </row>
    <row r="81" ht="16.5" customHeight="1">
      <c r="A81" s="32" t="s">
        <v>2476</v>
      </c>
      <c r="B81" s="32" t="s">
        <v>2477</v>
      </c>
      <c r="C81" s="32" t="s">
        <v>2531</v>
      </c>
      <c r="D81" s="32" t="s">
        <v>2532</v>
      </c>
      <c r="E81" s="32" t="s">
        <v>2525</v>
      </c>
      <c r="F81" s="4" t="s">
        <v>2526</v>
      </c>
      <c r="G81" s="4" t="s">
        <v>2533</v>
      </c>
      <c r="K81" s="18"/>
      <c r="L81" s="35"/>
      <c r="M81" s="19"/>
      <c r="N81" s="20"/>
      <c r="O81" s="20"/>
      <c r="P81" s="20"/>
      <c r="Q81" s="20"/>
      <c r="R81" s="20"/>
      <c r="S81" s="20"/>
      <c r="T81" s="20"/>
      <c r="U81" s="34"/>
      <c r="AF81" s="11" t="str">
        <f t="shared" si="64"/>
        <v/>
      </c>
      <c r="AG81" s="11" t="str">
        <f t="shared" ref="AG81:AO81" si="79">if(not(isblank(M81)),", "&amp;M81,"")</f>
        <v/>
      </c>
      <c r="AH81" s="11" t="str">
        <f t="shared" si="79"/>
        <v/>
      </c>
      <c r="AI81" s="11" t="str">
        <f t="shared" si="79"/>
        <v/>
      </c>
      <c r="AJ81" s="11" t="str">
        <f t="shared" si="79"/>
        <v/>
      </c>
      <c r="AK81" s="11" t="str">
        <f t="shared" si="79"/>
        <v/>
      </c>
      <c r="AL81" s="11" t="str">
        <f t="shared" si="79"/>
        <v/>
      </c>
      <c r="AM81" s="11" t="str">
        <f t="shared" si="79"/>
        <v/>
      </c>
      <c r="AN81" s="11" t="str">
        <f t="shared" si="79"/>
        <v/>
      </c>
      <c r="AO81" s="11" t="str">
        <f t="shared" si="79"/>
        <v/>
      </c>
      <c r="AP81" s="21" t="str">
        <f t="shared" si="66"/>
        <v>05-2-black, 05-2-brown, 05-2-light-brown, 05-2-sage</v>
      </c>
    </row>
    <row r="82" ht="16.5" customHeight="1">
      <c r="A82" s="32" t="s">
        <v>2476</v>
      </c>
      <c r="B82" s="32" t="s">
        <v>2477</v>
      </c>
      <c r="C82" s="32" t="s">
        <v>2534</v>
      </c>
      <c r="D82" s="32" t="s">
        <v>2535</v>
      </c>
      <c r="E82" s="32" t="s">
        <v>2525</v>
      </c>
      <c r="F82" s="4" t="s">
        <v>2526</v>
      </c>
      <c r="G82" s="4" t="s">
        <v>2536</v>
      </c>
      <c r="K82" s="18"/>
      <c r="L82" s="35"/>
      <c r="M82" s="19"/>
      <c r="N82" s="20"/>
      <c r="O82" s="20"/>
      <c r="P82" s="20"/>
      <c r="Q82" s="20"/>
      <c r="R82" s="20"/>
      <c r="S82" s="20"/>
      <c r="T82" s="20"/>
      <c r="U82" s="34"/>
      <c r="AF82" s="11" t="str">
        <f t="shared" si="64"/>
        <v/>
      </c>
      <c r="AG82" s="11" t="str">
        <f t="shared" ref="AG82:AO82" si="80">if(not(isblank(M82)),", "&amp;M82,"")</f>
        <v/>
      </c>
      <c r="AH82" s="11" t="str">
        <f t="shared" si="80"/>
        <v/>
      </c>
      <c r="AI82" s="11" t="str">
        <f t="shared" si="80"/>
        <v/>
      </c>
      <c r="AJ82" s="11" t="str">
        <f t="shared" si="80"/>
        <v/>
      </c>
      <c r="AK82" s="11" t="str">
        <f t="shared" si="80"/>
        <v/>
      </c>
      <c r="AL82" s="11" t="str">
        <f t="shared" si="80"/>
        <v/>
      </c>
      <c r="AM82" s="11" t="str">
        <f t="shared" si="80"/>
        <v/>
      </c>
      <c r="AN82" s="11" t="str">
        <f t="shared" si="80"/>
        <v/>
      </c>
      <c r="AO82" s="11" t="str">
        <f t="shared" si="80"/>
        <v/>
      </c>
      <c r="AP82" s="21" t="str">
        <f t="shared" si="66"/>
        <v>05-2-black, 05-2-brown, 05-2-dark-grey, 05-2-sage</v>
      </c>
    </row>
    <row r="83" ht="16.5" customHeight="1">
      <c r="A83" s="32" t="s">
        <v>2476</v>
      </c>
      <c r="B83" s="32" t="s">
        <v>2477</v>
      </c>
      <c r="C83" s="32" t="s">
        <v>2537</v>
      </c>
      <c r="D83" s="32" t="s">
        <v>2538</v>
      </c>
      <c r="E83" s="32" t="s">
        <v>2525</v>
      </c>
      <c r="F83" s="4" t="s">
        <v>2526</v>
      </c>
      <c r="G83" s="4" t="s">
        <v>2539</v>
      </c>
      <c r="K83" s="18"/>
      <c r="L83" s="35"/>
      <c r="M83" s="19"/>
      <c r="N83" s="20"/>
      <c r="O83" s="20"/>
      <c r="P83" s="20"/>
      <c r="Q83" s="20"/>
      <c r="R83" s="20"/>
      <c r="S83" s="20"/>
      <c r="T83" s="20"/>
      <c r="U83" s="34"/>
      <c r="AF83" s="11" t="str">
        <f t="shared" si="64"/>
        <v/>
      </c>
      <c r="AG83" s="11" t="str">
        <f t="shared" ref="AG83:AO83" si="81">if(not(isblank(M83)),", "&amp;M83,"")</f>
        <v/>
      </c>
      <c r="AH83" s="11" t="str">
        <f t="shared" si="81"/>
        <v/>
      </c>
      <c r="AI83" s="11" t="str">
        <f t="shared" si="81"/>
        <v/>
      </c>
      <c r="AJ83" s="11" t="str">
        <f t="shared" si="81"/>
        <v/>
      </c>
      <c r="AK83" s="11" t="str">
        <f t="shared" si="81"/>
        <v/>
      </c>
      <c r="AL83" s="11" t="str">
        <f t="shared" si="81"/>
        <v/>
      </c>
      <c r="AM83" s="11" t="str">
        <f t="shared" si="81"/>
        <v/>
      </c>
      <c r="AN83" s="11" t="str">
        <f t="shared" si="81"/>
        <v/>
      </c>
      <c r="AO83" s="11" t="str">
        <f t="shared" si="81"/>
        <v/>
      </c>
      <c r="AP83" s="21" t="str">
        <f t="shared" si="66"/>
        <v>05-2-black, 05-2-brown, 05-2-dark-grey, 05-2-light-brown</v>
      </c>
    </row>
    <row r="84" ht="16.5" customHeight="1">
      <c r="A84" s="32" t="s">
        <v>2476</v>
      </c>
      <c r="B84" s="32" t="s">
        <v>2477</v>
      </c>
      <c r="C84" s="32" t="s">
        <v>2540</v>
      </c>
      <c r="D84" s="32" t="s">
        <v>2541</v>
      </c>
      <c r="E84" s="32" t="s">
        <v>2542</v>
      </c>
      <c r="F84" s="4" t="s">
        <v>2543</v>
      </c>
      <c r="G84" s="4"/>
      <c r="H84" s="4"/>
      <c r="K84" s="18"/>
      <c r="L84" s="33"/>
      <c r="M84" s="20"/>
      <c r="N84" s="20"/>
      <c r="O84" s="20"/>
      <c r="P84" s="20"/>
      <c r="Q84" s="20"/>
      <c r="R84" s="20"/>
      <c r="S84" s="20"/>
      <c r="T84" s="20"/>
      <c r="U84" s="34"/>
      <c r="AF84" s="11" t="str">
        <f t="shared" si="64"/>
        <v/>
      </c>
      <c r="AG84" s="11" t="str">
        <f t="shared" ref="AG84:AO84" si="82">if(not(isblank(M84)),", "&amp;M84,"")</f>
        <v/>
      </c>
      <c r="AH84" s="11" t="str">
        <f t="shared" si="82"/>
        <v/>
      </c>
      <c r="AI84" s="11" t="str">
        <f t="shared" si="82"/>
        <v/>
      </c>
      <c r="AJ84" s="11" t="str">
        <f t="shared" si="82"/>
        <v/>
      </c>
      <c r="AK84" s="11" t="str">
        <f t="shared" si="82"/>
        <v/>
      </c>
      <c r="AL84" s="11" t="str">
        <f t="shared" si="82"/>
        <v/>
      </c>
      <c r="AM84" s="11" t="str">
        <f t="shared" si="82"/>
        <v/>
      </c>
      <c r="AN84" s="11" t="str">
        <f t="shared" si="82"/>
        <v/>
      </c>
      <c r="AO84" s="11" t="str">
        <f t="shared" si="82"/>
        <v/>
      </c>
      <c r="AP84" s="21" t="str">
        <f t="shared" si="66"/>
        <v/>
      </c>
    </row>
    <row r="85" ht="16.5" customHeight="1">
      <c r="A85" s="32" t="s">
        <v>2476</v>
      </c>
      <c r="B85" s="32" t="s">
        <v>2477</v>
      </c>
      <c r="C85" s="32" t="s">
        <v>2544</v>
      </c>
      <c r="D85" s="32" t="s">
        <v>2545</v>
      </c>
      <c r="E85" s="32" t="s">
        <v>2546</v>
      </c>
      <c r="F85" s="4" t="s">
        <v>2547</v>
      </c>
      <c r="G85" s="4"/>
      <c r="H85" s="4"/>
      <c r="K85" s="18"/>
      <c r="L85" s="33"/>
      <c r="M85" s="20"/>
      <c r="N85" s="20"/>
      <c r="O85" s="20"/>
      <c r="P85" s="20"/>
      <c r="Q85" s="20"/>
      <c r="R85" s="20"/>
      <c r="S85" s="20"/>
      <c r="T85" s="20"/>
      <c r="U85" s="34"/>
      <c r="AF85" s="11" t="str">
        <f t="shared" si="64"/>
        <v/>
      </c>
      <c r="AG85" s="11" t="str">
        <f t="shared" ref="AG85:AO85" si="83">if(not(isblank(M85)),", "&amp;M85,"")</f>
        <v/>
      </c>
      <c r="AH85" s="11" t="str">
        <f t="shared" si="83"/>
        <v/>
      </c>
      <c r="AI85" s="11" t="str">
        <f t="shared" si="83"/>
        <v/>
      </c>
      <c r="AJ85" s="11" t="str">
        <f t="shared" si="83"/>
        <v/>
      </c>
      <c r="AK85" s="11" t="str">
        <f t="shared" si="83"/>
        <v/>
      </c>
      <c r="AL85" s="11" t="str">
        <f t="shared" si="83"/>
        <v/>
      </c>
      <c r="AM85" s="11" t="str">
        <f t="shared" si="83"/>
        <v/>
      </c>
      <c r="AN85" s="11" t="str">
        <f t="shared" si="83"/>
        <v/>
      </c>
      <c r="AO85" s="11" t="str">
        <f t="shared" si="83"/>
        <v/>
      </c>
      <c r="AP85" s="21" t="str">
        <f t="shared" si="66"/>
        <v/>
      </c>
    </row>
    <row r="86" ht="16.5" customHeight="1">
      <c r="A86" s="32" t="s">
        <v>2476</v>
      </c>
      <c r="B86" s="32" t="s">
        <v>2477</v>
      </c>
      <c r="C86" s="32" t="s">
        <v>2548</v>
      </c>
      <c r="D86" s="32" t="s">
        <v>2549</v>
      </c>
      <c r="E86" s="32" t="s">
        <v>2550</v>
      </c>
      <c r="F86" s="4" t="s">
        <v>2551</v>
      </c>
      <c r="G86" s="4"/>
      <c r="H86" s="4"/>
      <c r="K86" s="18"/>
      <c r="L86" s="33"/>
      <c r="M86" s="20"/>
      <c r="N86" s="20"/>
      <c r="O86" s="20"/>
      <c r="P86" s="20"/>
      <c r="Q86" s="20"/>
      <c r="R86" s="20"/>
      <c r="S86" s="20"/>
      <c r="T86" s="20"/>
      <c r="U86" s="34"/>
      <c r="AF86" s="11" t="str">
        <f t="shared" si="64"/>
        <v/>
      </c>
      <c r="AG86" s="11" t="str">
        <f t="shared" ref="AG86:AO86" si="84">if(not(isblank(M86)),", "&amp;M86,"")</f>
        <v/>
      </c>
      <c r="AH86" s="11" t="str">
        <f t="shared" si="84"/>
        <v/>
      </c>
      <c r="AI86" s="11" t="str">
        <f t="shared" si="84"/>
        <v/>
      </c>
      <c r="AJ86" s="11" t="str">
        <f t="shared" si="84"/>
        <v/>
      </c>
      <c r="AK86" s="11" t="str">
        <f t="shared" si="84"/>
        <v/>
      </c>
      <c r="AL86" s="11" t="str">
        <f t="shared" si="84"/>
        <v/>
      </c>
      <c r="AM86" s="11" t="str">
        <f t="shared" si="84"/>
        <v/>
      </c>
      <c r="AN86" s="11" t="str">
        <f t="shared" si="84"/>
        <v/>
      </c>
      <c r="AO86" s="11" t="str">
        <f t="shared" si="84"/>
        <v/>
      </c>
      <c r="AP86" s="21" t="str">
        <f t="shared" si="66"/>
        <v/>
      </c>
    </row>
    <row r="87" ht="16.5" customHeight="1">
      <c r="A87" s="32" t="s">
        <v>2476</v>
      </c>
      <c r="B87" s="32" t="s">
        <v>2477</v>
      </c>
      <c r="C87" s="32" t="s">
        <v>2552</v>
      </c>
      <c r="D87" s="32" t="s">
        <v>2553</v>
      </c>
      <c r="E87" s="32" t="s">
        <v>2554</v>
      </c>
      <c r="F87" s="4" t="s">
        <v>2555</v>
      </c>
      <c r="G87" s="4" t="s">
        <v>2556</v>
      </c>
      <c r="H87" s="4"/>
      <c r="K87" s="18"/>
      <c r="L87" s="33"/>
      <c r="M87" s="20"/>
      <c r="N87" s="20"/>
      <c r="O87" s="20"/>
      <c r="P87" s="20"/>
      <c r="Q87" s="20"/>
      <c r="R87" s="20"/>
      <c r="S87" s="20"/>
      <c r="T87" s="20"/>
      <c r="U87" s="34"/>
      <c r="AF87" s="11" t="str">
        <f t="shared" si="64"/>
        <v/>
      </c>
      <c r="AG87" s="11" t="str">
        <f t="shared" ref="AG87:AO87" si="85">if(not(isblank(M87)),", "&amp;M87,"")</f>
        <v/>
      </c>
      <c r="AH87" s="11" t="str">
        <f t="shared" si="85"/>
        <v/>
      </c>
      <c r="AI87" s="11" t="str">
        <f t="shared" si="85"/>
        <v/>
      </c>
      <c r="AJ87" s="11" t="str">
        <f t="shared" si="85"/>
        <v/>
      </c>
      <c r="AK87" s="11" t="str">
        <f t="shared" si="85"/>
        <v/>
      </c>
      <c r="AL87" s="11" t="str">
        <f t="shared" si="85"/>
        <v/>
      </c>
      <c r="AM87" s="11" t="str">
        <f t="shared" si="85"/>
        <v/>
      </c>
      <c r="AN87" s="11" t="str">
        <f t="shared" si="85"/>
        <v/>
      </c>
      <c r="AO87" s="11" t="str">
        <f t="shared" si="85"/>
        <v/>
      </c>
      <c r="AP87" s="21" t="str">
        <f t="shared" si="66"/>
        <v>12-tortoise</v>
      </c>
    </row>
    <row r="88" ht="16.5" customHeight="1">
      <c r="A88" s="32" t="s">
        <v>2476</v>
      </c>
      <c r="B88" s="32" t="s">
        <v>2477</v>
      </c>
      <c r="C88" s="32" t="s">
        <v>2556</v>
      </c>
      <c r="D88" s="32" t="s">
        <v>2557</v>
      </c>
      <c r="E88" s="32" t="s">
        <v>2554</v>
      </c>
      <c r="F88" s="4" t="s">
        <v>2558</v>
      </c>
      <c r="G88" s="4" t="s">
        <v>2552</v>
      </c>
      <c r="H88" s="4"/>
      <c r="K88" s="18"/>
      <c r="L88" s="33"/>
      <c r="M88" s="20"/>
      <c r="N88" s="20"/>
      <c r="O88" s="20"/>
      <c r="P88" s="20"/>
      <c r="Q88" s="20"/>
      <c r="R88" s="20"/>
      <c r="S88" s="20"/>
      <c r="T88" s="20"/>
      <c r="U88" s="34"/>
      <c r="AF88" s="11" t="str">
        <f t="shared" si="64"/>
        <v/>
      </c>
      <c r="AG88" s="11" t="str">
        <f t="shared" ref="AG88:AO88" si="86">if(not(isblank(M88)),", "&amp;M88,"")</f>
        <v/>
      </c>
      <c r="AH88" s="11" t="str">
        <f t="shared" si="86"/>
        <v/>
      </c>
      <c r="AI88" s="11" t="str">
        <f t="shared" si="86"/>
        <v/>
      </c>
      <c r="AJ88" s="11" t="str">
        <f t="shared" si="86"/>
        <v/>
      </c>
      <c r="AK88" s="11" t="str">
        <f t="shared" si="86"/>
        <v/>
      </c>
      <c r="AL88" s="11" t="str">
        <f t="shared" si="86"/>
        <v/>
      </c>
      <c r="AM88" s="11" t="str">
        <f t="shared" si="86"/>
        <v/>
      </c>
      <c r="AN88" s="11" t="str">
        <f t="shared" si="86"/>
        <v/>
      </c>
      <c r="AO88" s="11" t="str">
        <f t="shared" si="86"/>
        <v/>
      </c>
      <c r="AP88" s="21" t="str">
        <f t="shared" si="66"/>
        <v>12-black</v>
      </c>
    </row>
    <row r="89" ht="16.5" customHeight="1">
      <c r="A89" s="32" t="s">
        <v>2476</v>
      </c>
      <c r="B89" s="32" t="s">
        <v>2477</v>
      </c>
      <c r="C89" s="32" t="s">
        <v>2559</v>
      </c>
      <c r="D89" s="32" t="s">
        <v>2560</v>
      </c>
      <c r="E89" s="32" t="s">
        <v>2561</v>
      </c>
      <c r="F89" s="4" t="s">
        <v>2562</v>
      </c>
      <c r="G89" s="4" t="s">
        <v>2544</v>
      </c>
      <c r="H89" s="4"/>
      <c r="K89" s="18"/>
      <c r="L89" s="33"/>
      <c r="M89" s="20"/>
      <c r="N89" s="20"/>
      <c r="O89" s="20"/>
      <c r="P89" s="20"/>
      <c r="Q89" s="20"/>
      <c r="R89" s="20"/>
      <c r="S89" s="20"/>
      <c r="T89" s="20"/>
      <c r="U89" s="34"/>
      <c r="AF89" s="11" t="str">
        <f t="shared" si="64"/>
        <v/>
      </c>
      <c r="AG89" s="11" t="str">
        <f t="shared" ref="AG89:AO89" si="87">if(not(isblank(M89)),", "&amp;M89,"")</f>
        <v/>
      </c>
      <c r="AH89" s="11" t="str">
        <f t="shared" si="87"/>
        <v/>
      </c>
      <c r="AI89" s="11" t="str">
        <f t="shared" si="87"/>
        <v/>
      </c>
      <c r="AJ89" s="11" t="str">
        <f t="shared" si="87"/>
        <v/>
      </c>
      <c r="AK89" s="11" t="str">
        <f t="shared" si="87"/>
        <v/>
      </c>
      <c r="AL89" s="11" t="str">
        <f t="shared" si="87"/>
        <v/>
      </c>
      <c r="AM89" s="11" t="str">
        <f t="shared" si="87"/>
        <v/>
      </c>
      <c r="AN89" s="11" t="str">
        <f t="shared" si="87"/>
        <v/>
      </c>
      <c r="AO89" s="11" t="str">
        <f t="shared" si="87"/>
        <v/>
      </c>
      <c r="AP89" s="21" t="str">
        <f t="shared" si="66"/>
        <v>10-3-indigo</v>
      </c>
    </row>
    <row r="90" ht="16.5" customHeight="1">
      <c r="A90" s="32" t="s">
        <v>2476</v>
      </c>
      <c r="B90" s="32" t="s">
        <v>2477</v>
      </c>
      <c r="C90" s="32" t="s">
        <v>2563</v>
      </c>
      <c r="D90" s="32" t="s">
        <v>2564</v>
      </c>
      <c r="E90" s="32" t="s">
        <v>2565</v>
      </c>
      <c r="F90" s="4" t="s">
        <v>2566</v>
      </c>
      <c r="G90" s="4" t="s">
        <v>2567</v>
      </c>
      <c r="H90" s="4"/>
      <c r="K90" s="18"/>
      <c r="L90" s="33"/>
      <c r="M90" s="20"/>
      <c r="N90" s="20"/>
      <c r="O90" s="20"/>
      <c r="P90" s="20"/>
      <c r="Q90" s="20"/>
      <c r="R90" s="20"/>
      <c r="S90" s="20"/>
      <c r="T90" s="20"/>
      <c r="U90" s="34"/>
      <c r="AF90" s="11" t="str">
        <f t="shared" si="64"/>
        <v/>
      </c>
      <c r="AG90" s="11" t="str">
        <f t="shared" ref="AG90:AO90" si="88">if(not(isblank(M90)),", "&amp;M90,"")</f>
        <v/>
      </c>
      <c r="AH90" s="11" t="str">
        <f t="shared" si="88"/>
        <v/>
      </c>
      <c r="AI90" s="11" t="str">
        <f t="shared" si="88"/>
        <v/>
      </c>
      <c r="AJ90" s="11" t="str">
        <f t="shared" si="88"/>
        <v/>
      </c>
      <c r="AK90" s="11" t="str">
        <f t="shared" si="88"/>
        <v/>
      </c>
      <c r="AL90" s="11" t="str">
        <f t="shared" si="88"/>
        <v/>
      </c>
      <c r="AM90" s="11" t="str">
        <f t="shared" si="88"/>
        <v/>
      </c>
      <c r="AN90" s="11" t="str">
        <f t="shared" si="88"/>
        <v/>
      </c>
      <c r="AO90" s="11" t="str">
        <f t="shared" si="88"/>
        <v/>
      </c>
      <c r="AP90" s="21" t="str">
        <f t="shared" si="66"/>
        <v>reach-silver</v>
      </c>
    </row>
    <row r="91" ht="16.5" customHeight="1">
      <c r="A91" s="32" t="s">
        <v>2476</v>
      </c>
      <c r="B91" s="32" t="s">
        <v>2477</v>
      </c>
      <c r="C91" s="32" t="s">
        <v>2567</v>
      </c>
      <c r="D91" s="32" t="s">
        <v>2568</v>
      </c>
      <c r="E91" s="32" t="s">
        <v>2565</v>
      </c>
      <c r="F91" s="4" t="s">
        <v>2566</v>
      </c>
      <c r="G91" s="4" t="s">
        <v>2563</v>
      </c>
      <c r="H91" s="4"/>
      <c r="K91" s="18"/>
      <c r="L91" s="33"/>
      <c r="M91" s="20"/>
      <c r="N91" s="20"/>
      <c r="O91" s="20"/>
      <c r="P91" s="20"/>
      <c r="Q91" s="20"/>
      <c r="R91" s="20"/>
      <c r="S91" s="20"/>
      <c r="T91" s="20"/>
      <c r="U91" s="34"/>
      <c r="AF91" s="11" t="str">
        <f t="shared" si="64"/>
        <v/>
      </c>
      <c r="AG91" s="11" t="str">
        <f t="shared" ref="AG91:AO91" si="89">if(not(isblank(M91)),", "&amp;M91,"")</f>
        <v/>
      </c>
      <c r="AH91" s="11" t="str">
        <f t="shared" si="89"/>
        <v/>
      </c>
      <c r="AI91" s="11" t="str">
        <f t="shared" si="89"/>
        <v/>
      </c>
      <c r="AJ91" s="11" t="str">
        <f t="shared" si="89"/>
        <v/>
      </c>
      <c r="AK91" s="11" t="str">
        <f t="shared" si="89"/>
        <v/>
      </c>
      <c r="AL91" s="11" t="str">
        <f t="shared" si="89"/>
        <v/>
      </c>
      <c r="AM91" s="11" t="str">
        <f t="shared" si="89"/>
        <v/>
      </c>
      <c r="AN91" s="11" t="str">
        <f t="shared" si="89"/>
        <v/>
      </c>
      <c r="AO91" s="11" t="str">
        <f t="shared" si="89"/>
        <v/>
      </c>
      <c r="AP91" s="21" t="str">
        <f t="shared" si="66"/>
        <v>reach-matte-black</v>
      </c>
    </row>
    <row r="92" ht="16.5" customHeight="1">
      <c r="A92" s="32" t="s">
        <v>2476</v>
      </c>
      <c r="B92" s="32" t="s">
        <v>2477</v>
      </c>
      <c r="C92" s="32" t="s">
        <v>2569</v>
      </c>
      <c r="D92" s="32" t="s">
        <v>2570</v>
      </c>
      <c r="E92" s="32" t="s">
        <v>2571</v>
      </c>
      <c r="F92" s="4" t="s">
        <v>2572</v>
      </c>
      <c r="G92" s="4" t="s">
        <v>2573</v>
      </c>
      <c r="H92" s="4"/>
      <c r="K92" s="18"/>
      <c r="L92" s="33"/>
      <c r="M92" s="20"/>
      <c r="N92" s="20"/>
      <c r="O92" s="20"/>
      <c r="P92" s="20"/>
      <c r="Q92" s="20"/>
      <c r="R92" s="20"/>
      <c r="S92" s="20"/>
      <c r="T92" s="20"/>
      <c r="U92" s="34"/>
      <c r="AF92" s="11" t="str">
        <f t="shared" si="64"/>
        <v/>
      </c>
      <c r="AG92" s="11" t="str">
        <f t="shared" ref="AG92:AO92" si="90">if(not(isblank(M92)),", "&amp;M92,"")</f>
        <v/>
      </c>
      <c r="AH92" s="11" t="str">
        <f t="shared" si="90"/>
        <v/>
      </c>
      <c r="AI92" s="11" t="str">
        <f t="shared" si="90"/>
        <v/>
      </c>
      <c r="AJ92" s="11" t="str">
        <f t="shared" si="90"/>
        <v/>
      </c>
      <c r="AK92" s="11" t="str">
        <f t="shared" si="90"/>
        <v/>
      </c>
      <c r="AL92" s="11" t="str">
        <f t="shared" si="90"/>
        <v/>
      </c>
      <c r="AM92" s="11" t="str">
        <f t="shared" si="90"/>
        <v/>
      </c>
      <c r="AN92" s="11" t="str">
        <f t="shared" si="90"/>
        <v/>
      </c>
      <c r="AO92" s="11" t="str">
        <f t="shared" si="90"/>
        <v/>
      </c>
      <c r="AP92" s="21" t="str">
        <f t="shared" si="66"/>
        <v>rimless-oval-matte-black-red</v>
      </c>
    </row>
    <row r="93" ht="16.5" customHeight="1">
      <c r="A93" s="32" t="s">
        <v>2476</v>
      </c>
      <c r="B93" s="32" t="s">
        <v>2477</v>
      </c>
      <c r="C93" s="32" t="s">
        <v>2573</v>
      </c>
      <c r="D93" s="32" t="s">
        <v>2574</v>
      </c>
      <c r="E93" s="32" t="s">
        <v>2575</v>
      </c>
      <c r="F93" s="4" t="s">
        <v>2572</v>
      </c>
      <c r="G93" s="4" t="s">
        <v>2569</v>
      </c>
      <c r="H93" s="4"/>
      <c r="K93" s="18"/>
      <c r="L93" s="33"/>
      <c r="M93" s="20"/>
      <c r="N93" s="20"/>
      <c r="O93" s="20"/>
      <c r="P93" s="20"/>
      <c r="Q93" s="20"/>
      <c r="R93" s="20"/>
      <c r="S93" s="20"/>
      <c r="T93" s="20"/>
      <c r="U93" s="34"/>
      <c r="AF93" s="11" t="str">
        <f t="shared" si="64"/>
        <v/>
      </c>
      <c r="AG93" s="11" t="str">
        <f t="shared" ref="AG93:AO93" si="91">if(not(isblank(M93)),", "&amp;M93,"")</f>
        <v/>
      </c>
      <c r="AH93" s="11" t="str">
        <f t="shared" si="91"/>
        <v/>
      </c>
      <c r="AI93" s="11" t="str">
        <f t="shared" si="91"/>
        <v/>
      </c>
      <c r="AJ93" s="11" t="str">
        <f t="shared" si="91"/>
        <v/>
      </c>
      <c r="AK93" s="11" t="str">
        <f t="shared" si="91"/>
        <v/>
      </c>
      <c r="AL93" s="11" t="str">
        <f t="shared" si="91"/>
        <v/>
      </c>
      <c r="AM93" s="11" t="str">
        <f t="shared" si="91"/>
        <v/>
      </c>
      <c r="AN93" s="11" t="str">
        <f t="shared" si="91"/>
        <v/>
      </c>
      <c r="AO93" s="11" t="str">
        <f t="shared" si="91"/>
        <v/>
      </c>
      <c r="AP93" s="21" t="str">
        <f t="shared" si="66"/>
        <v>rimless-oval-matte-black</v>
      </c>
    </row>
    <row r="94" ht="16.5" customHeight="1">
      <c r="A94" s="32" t="s">
        <v>2476</v>
      </c>
      <c r="B94" s="32" t="s">
        <v>2477</v>
      </c>
      <c r="C94" s="32" t="s">
        <v>2576</v>
      </c>
      <c r="D94" s="32" t="s">
        <v>2577</v>
      </c>
      <c r="E94" s="32" t="s">
        <v>2578</v>
      </c>
      <c r="F94" s="4" t="s">
        <v>2579</v>
      </c>
      <c r="G94" s="4" t="s">
        <v>2580</v>
      </c>
      <c r="K94" s="18"/>
      <c r="L94" s="33"/>
      <c r="M94" s="20"/>
      <c r="N94" s="20"/>
      <c r="O94" s="20"/>
      <c r="P94" s="20"/>
      <c r="Q94" s="20"/>
      <c r="R94" s="20"/>
      <c r="S94" s="20"/>
      <c r="T94" s="20"/>
      <c r="U94" s="34"/>
      <c r="AF94" s="11" t="str">
        <f t="shared" si="64"/>
        <v/>
      </c>
      <c r="AG94" s="11" t="str">
        <f t="shared" ref="AG94:AO94" si="92">if(not(isblank(M94)),", "&amp;M94,"")</f>
        <v/>
      </c>
      <c r="AH94" s="11" t="str">
        <f t="shared" si="92"/>
        <v/>
      </c>
      <c r="AI94" s="11" t="str">
        <f t="shared" si="92"/>
        <v/>
      </c>
      <c r="AJ94" s="11" t="str">
        <f t="shared" si="92"/>
        <v/>
      </c>
      <c r="AK94" s="11" t="str">
        <f t="shared" si="92"/>
        <v/>
      </c>
      <c r="AL94" s="11" t="str">
        <f t="shared" si="92"/>
        <v/>
      </c>
      <c r="AM94" s="11" t="str">
        <f t="shared" si="92"/>
        <v/>
      </c>
      <c r="AN94" s="11" t="str">
        <f t="shared" si="92"/>
        <v/>
      </c>
      <c r="AO94" s="11" t="str">
        <f t="shared" si="92"/>
        <v/>
      </c>
      <c r="AP94" s="21" t="str">
        <f t="shared" si="66"/>
        <v>04-2-l-black, 04-2-l-green, 04-2-light-brown</v>
      </c>
    </row>
    <row r="95" ht="16.5" customHeight="1">
      <c r="A95" s="32" t="s">
        <v>2476</v>
      </c>
      <c r="B95" s="32" t="s">
        <v>2477</v>
      </c>
      <c r="C95" s="32" t="s">
        <v>2581</v>
      </c>
      <c r="D95" s="32" t="s">
        <v>2582</v>
      </c>
      <c r="E95" s="32" t="s">
        <v>2520</v>
      </c>
      <c r="F95" s="4" t="s">
        <v>2521</v>
      </c>
      <c r="G95" s="4" t="s">
        <v>2583</v>
      </c>
      <c r="K95" s="18"/>
      <c r="L95" s="33"/>
      <c r="M95" s="20"/>
      <c r="N95" s="20"/>
      <c r="O95" s="20"/>
      <c r="P95" s="20"/>
      <c r="Q95" s="20"/>
      <c r="R95" s="20"/>
      <c r="S95" s="20"/>
      <c r="T95" s="20"/>
      <c r="U95" s="34"/>
      <c r="AF95" s="11" t="str">
        <f t="shared" si="64"/>
        <v/>
      </c>
      <c r="AG95" s="11" t="str">
        <f t="shared" ref="AG95:AO95" si="93">if(not(isblank(M95)),", "&amp;M95,"")</f>
        <v/>
      </c>
      <c r="AH95" s="11" t="str">
        <f t="shared" si="93"/>
        <v/>
      </c>
      <c r="AI95" s="11" t="str">
        <f t="shared" si="93"/>
        <v/>
      </c>
      <c r="AJ95" s="11" t="str">
        <f t="shared" si="93"/>
        <v/>
      </c>
      <c r="AK95" s="11" t="str">
        <f t="shared" si="93"/>
        <v/>
      </c>
      <c r="AL95" s="11" t="str">
        <f t="shared" si="93"/>
        <v/>
      </c>
      <c r="AM95" s="11" t="str">
        <f t="shared" si="93"/>
        <v/>
      </c>
      <c r="AN95" s="11" t="str">
        <f t="shared" si="93"/>
        <v/>
      </c>
      <c r="AO95" s="11" t="str">
        <f t="shared" si="93"/>
        <v/>
      </c>
      <c r="AP95" s="21" t="str">
        <f t="shared" si="66"/>
        <v>04-2-l-green, 04-2-light-brown, photocromic-04-solid-black</v>
      </c>
    </row>
    <row r="96" ht="16.5" customHeight="1">
      <c r="A96" s="32" t="s">
        <v>2476</v>
      </c>
      <c r="B96" s="32" t="s">
        <v>2477</v>
      </c>
      <c r="C96" s="32" t="s">
        <v>2584</v>
      </c>
      <c r="D96" s="32" t="s">
        <v>2585</v>
      </c>
      <c r="E96" s="32" t="s">
        <v>2520</v>
      </c>
      <c r="F96" s="4" t="s">
        <v>2521</v>
      </c>
      <c r="G96" s="4" t="s">
        <v>2586</v>
      </c>
      <c r="K96" s="18"/>
      <c r="L96" s="33"/>
      <c r="M96" s="20"/>
      <c r="N96" s="20"/>
      <c r="O96" s="20"/>
      <c r="P96" s="20"/>
      <c r="Q96" s="20"/>
      <c r="R96" s="20"/>
      <c r="S96" s="20"/>
      <c r="T96" s="20"/>
      <c r="U96" s="34"/>
      <c r="AF96" s="11" t="str">
        <f t="shared" si="64"/>
        <v/>
      </c>
      <c r="AG96" s="11" t="str">
        <f t="shared" ref="AG96:AO96" si="94">if(not(isblank(M96)),", "&amp;M96,"")</f>
        <v/>
      </c>
      <c r="AH96" s="11" t="str">
        <f t="shared" si="94"/>
        <v/>
      </c>
      <c r="AI96" s="11" t="str">
        <f t="shared" si="94"/>
        <v/>
      </c>
      <c r="AJ96" s="11" t="str">
        <f t="shared" si="94"/>
        <v/>
      </c>
      <c r="AK96" s="11" t="str">
        <f t="shared" si="94"/>
        <v/>
      </c>
      <c r="AL96" s="11" t="str">
        <f t="shared" si="94"/>
        <v/>
      </c>
      <c r="AM96" s="11" t="str">
        <f t="shared" si="94"/>
        <v/>
      </c>
      <c r="AN96" s="11" t="str">
        <f t="shared" si="94"/>
        <v/>
      </c>
      <c r="AO96" s="11" t="str">
        <f t="shared" si="94"/>
        <v/>
      </c>
      <c r="AP96" s="21" t="str">
        <f t="shared" si="66"/>
        <v>04-2-l-black, 04-2-light-brown, photocromic-04-solid-black</v>
      </c>
    </row>
    <row r="97" ht="16.5" customHeight="1">
      <c r="A97" s="32" t="s">
        <v>2476</v>
      </c>
      <c r="B97" s="32" t="s">
        <v>2477</v>
      </c>
      <c r="C97" s="32" t="s">
        <v>2587</v>
      </c>
      <c r="D97" s="32" t="s">
        <v>2588</v>
      </c>
      <c r="E97" s="32" t="s">
        <v>2589</v>
      </c>
      <c r="F97" s="4" t="s">
        <v>2590</v>
      </c>
      <c r="G97" s="4" t="s">
        <v>2591</v>
      </c>
      <c r="H97" s="4"/>
      <c r="K97" s="18"/>
      <c r="L97" s="33"/>
      <c r="M97" s="20"/>
      <c r="N97" s="20"/>
      <c r="O97" s="20"/>
      <c r="P97" s="20"/>
      <c r="Q97" s="20"/>
      <c r="R97" s="20"/>
      <c r="S97" s="20"/>
      <c r="T97" s="20"/>
      <c r="U97" s="34"/>
      <c r="AF97" s="11" t="str">
        <f t="shared" si="64"/>
        <v/>
      </c>
      <c r="AG97" s="11" t="str">
        <f t="shared" ref="AG97:AO97" si="95">if(not(isblank(M97)),", "&amp;M97,"")</f>
        <v/>
      </c>
      <c r="AH97" s="11" t="str">
        <f t="shared" si="95"/>
        <v/>
      </c>
      <c r="AI97" s="11" t="str">
        <f t="shared" si="95"/>
        <v/>
      </c>
      <c r="AJ97" s="11" t="str">
        <f t="shared" si="95"/>
        <v/>
      </c>
      <c r="AK97" s="11" t="str">
        <f t="shared" si="95"/>
        <v/>
      </c>
      <c r="AL97" s="11" t="str">
        <f t="shared" si="95"/>
        <v/>
      </c>
      <c r="AM97" s="11" t="str">
        <f t="shared" si="95"/>
        <v/>
      </c>
      <c r="AN97" s="11" t="str">
        <f t="shared" si="95"/>
        <v/>
      </c>
      <c r="AO97" s="11" t="str">
        <f t="shared" si="95"/>
        <v/>
      </c>
      <c r="AP97" s="21" t="str">
        <f t="shared" si="66"/>
        <v>one-brown</v>
      </c>
    </row>
    <row r="98" ht="16.5" customHeight="1">
      <c r="A98" s="32" t="s">
        <v>2476</v>
      </c>
      <c r="B98" s="32" t="s">
        <v>2477</v>
      </c>
      <c r="C98" s="32" t="s">
        <v>2591</v>
      </c>
      <c r="D98" s="32" t="s">
        <v>2592</v>
      </c>
      <c r="E98" s="32" t="s">
        <v>2589</v>
      </c>
      <c r="F98" s="4" t="s">
        <v>2590</v>
      </c>
      <c r="G98" s="4" t="s">
        <v>2587</v>
      </c>
      <c r="H98" s="4"/>
      <c r="K98" s="18"/>
      <c r="L98" s="33"/>
      <c r="M98" s="20"/>
      <c r="N98" s="20"/>
      <c r="O98" s="20"/>
      <c r="P98" s="20"/>
      <c r="Q98" s="20"/>
      <c r="R98" s="20"/>
      <c r="S98" s="20"/>
      <c r="T98" s="20"/>
      <c r="U98" s="34"/>
      <c r="AF98" s="11" t="str">
        <f t="shared" si="64"/>
        <v/>
      </c>
      <c r="AG98" s="11" t="str">
        <f t="shared" ref="AG98:AO98" si="96">if(not(isblank(M98)),", "&amp;M98,"")</f>
        <v/>
      </c>
      <c r="AH98" s="11" t="str">
        <f t="shared" si="96"/>
        <v/>
      </c>
      <c r="AI98" s="11" t="str">
        <f t="shared" si="96"/>
        <v/>
      </c>
      <c r="AJ98" s="11" t="str">
        <f t="shared" si="96"/>
        <v/>
      </c>
      <c r="AK98" s="11" t="str">
        <f t="shared" si="96"/>
        <v/>
      </c>
      <c r="AL98" s="11" t="str">
        <f t="shared" si="96"/>
        <v/>
      </c>
      <c r="AM98" s="11" t="str">
        <f t="shared" si="96"/>
        <v/>
      </c>
      <c r="AN98" s="11" t="str">
        <f t="shared" si="96"/>
        <v/>
      </c>
      <c r="AO98" s="11" t="str">
        <f t="shared" si="96"/>
        <v/>
      </c>
      <c r="AP98" s="21" t="str">
        <f t="shared" si="66"/>
        <v>one-black</v>
      </c>
    </row>
    <row r="99" ht="16.5" customHeight="1">
      <c r="A99" s="32" t="s">
        <v>2593</v>
      </c>
      <c r="B99" s="32" t="s">
        <v>2594</v>
      </c>
      <c r="C99" s="32" t="s">
        <v>2595</v>
      </c>
      <c r="D99" s="32" t="s">
        <v>2596</v>
      </c>
      <c r="E99" s="32" t="s">
        <v>2597</v>
      </c>
      <c r="F99" s="4" t="s">
        <v>2598</v>
      </c>
      <c r="G99" s="4" t="s">
        <v>2599</v>
      </c>
      <c r="H99" s="4"/>
      <c r="K99" s="18"/>
      <c r="L99" s="33"/>
      <c r="M99" s="20"/>
      <c r="N99" s="20"/>
      <c r="O99" s="20"/>
      <c r="P99" s="20"/>
      <c r="Q99" s="20"/>
      <c r="R99" s="20"/>
      <c r="S99" s="20"/>
      <c r="T99" s="20"/>
      <c r="U99" s="34"/>
      <c r="AF99" s="11" t="str">
        <f t="shared" si="64"/>
        <v/>
      </c>
      <c r="AG99" s="11" t="str">
        <f t="shared" ref="AG99:AO99" si="97">if(not(isblank(M99)),", "&amp;M99,"")</f>
        <v/>
      </c>
      <c r="AH99" s="11" t="str">
        <f t="shared" si="97"/>
        <v/>
      </c>
      <c r="AI99" s="11" t="str">
        <f t="shared" si="97"/>
        <v/>
      </c>
      <c r="AJ99" s="11" t="str">
        <f t="shared" si="97"/>
        <v/>
      </c>
      <c r="AK99" s="11" t="str">
        <f t="shared" si="97"/>
        <v/>
      </c>
      <c r="AL99" s="11" t="str">
        <f t="shared" si="97"/>
        <v/>
      </c>
      <c r="AM99" s="11" t="str">
        <f t="shared" si="97"/>
        <v/>
      </c>
      <c r="AN99" s="11" t="str">
        <f t="shared" si="97"/>
        <v/>
      </c>
      <c r="AO99" s="11" t="str">
        <f t="shared" si="97"/>
        <v/>
      </c>
      <c r="AP99" s="21" t="str">
        <f t="shared" si="66"/>
        <v>trek-cup-black-quilted</v>
      </c>
    </row>
    <row r="100" ht="16.5" customHeight="1">
      <c r="A100" s="32" t="s">
        <v>2593</v>
      </c>
      <c r="B100" s="32" t="s">
        <v>2594</v>
      </c>
      <c r="C100" s="32" t="s">
        <v>2599</v>
      </c>
      <c r="D100" s="32" t="s">
        <v>2600</v>
      </c>
      <c r="E100" s="32" t="s">
        <v>2601</v>
      </c>
      <c r="F100" s="4" t="s">
        <v>2602</v>
      </c>
      <c r="G100" s="4" t="s">
        <v>2595</v>
      </c>
      <c r="H100" s="4"/>
      <c r="K100" s="18"/>
      <c r="L100" s="33"/>
      <c r="M100" s="20"/>
      <c r="N100" s="20"/>
      <c r="O100" s="20"/>
      <c r="P100" s="20"/>
      <c r="Q100" s="20"/>
      <c r="R100" s="20"/>
      <c r="S100" s="20"/>
      <c r="T100" s="20"/>
      <c r="U100" s="34"/>
      <c r="AF100" s="11" t="str">
        <f t="shared" si="64"/>
        <v/>
      </c>
      <c r="AG100" s="11" t="str">
        <f t="shared" ref="AG100:AO100" si="98">if(not(isblank(M100)),", "&amp;M100,"")</f>
        <v/>
      </c>
      <c r="AH100" s="11" t="str">
        <f t="shared" si="98"/>
        <v/>
      </c>
      <c r="AI100" s="11" t="str">
        <f t="shared" si="98"/>
        <v/>
      </c>
      <c r="AJ100" s="11" t="str">
        <f t="shared" si="98"/>
        <v/>
      </c>
      <c r="AK100" s="11" t="str">
        <f t="shared" si="98"/>
        <v/>
      </c>
      <c r="AL100" s="11" t="str">
        <f t="shared" si="98"/>
        <v/>
      </c>
      <c r="AM100" s="11" t="str">
        <f t="shared" si="98"/>
        <v/>
      </c>
      <c r="AN100" s="11" t="str">
        <f t="shared" si="98"/>
        <v/>
      </c>
      <c r="AO100" s="11" t="str">
        <f t="shared" si="98"/>
        <v/>
      </c>
      <c r="AP100" s="21" t="str">
        <f t="shared" si="66"/>
        <v>desert-trek-dark-grey</v>
      </c>
    </row>
    <row r="101" ht="16.5" customHeight="1">
      <c r="A101" s="32" t="s">
        <v>2593</v>
      </c>
      <c r="B101" s="32" t="s">
        <v>2594</v>
      </c>
      <c r="C101" s="32" t="s">
        <v>2603</v>
      </c>
      <c r="D101" s="32" t="s">
        <v>2604</v>
      </c>
      <c r="E101" s="32" t="s">
        <v>2605</v>
      </c>
      <c r="F101" s="4" t="s">
        <v>2606</v>
      </c>
      <c r="G101" s="4" t="s">
        <v>2607</v>
      </c>
      <c r="K101" s="18"/>
      <c r="L101" s="33"/>
      <c r="M101" s="20"/>
      <c r="N101" s="20"/>
      <c r="O101" s="20"/>
      <c r="P101" s="20"/>
      <c r="Q101" s="20"/>
      <c r="R101" s="20"/>
      <c r="S101" s="20"/>
      <c r="T101" s="20"/>
      <c r="U101" s="34"/>
      <c r="AF101" s="11" t="str">
        <f t="shared" si="64"/>
        <v/>
      </c>
      <c r="AG101" s="11" t="str">
        <f t="shared" ref="AG101:AO101" si="99">if(not(isblank(M101)),", "&amp;M101,"")</f>
        <v/>
      </c>
      <c r="AH101" s="11" t="str">
        <f t="shared" si="99"/>
        <v/>
      </c>
      <c r="AI101" s="11" t="str">
        <f t="shared" si="99"/>
        <v/>
      </c>
      <c r="AJ101" s="11" t="str">
        <f t="shared" si="99"/>
        <v/>
      </c>
      <c r="AK101" s="11" t="str">
        <f t="shared" si="99"/>
        <v/>
      </c>
      <c r="AL101" s="11" t="str">
        <f t="shared" si="99"/>
        <v/>
      </c>
      <c r="AM101" s="11" t="str">
        <f t="shared" si="99"/>
        <v/>
      </c>
      <c r="AN101" s="11" t="str">
        <f t="shared" si="99"/>
        <v/>
      </c>
      <c r="AO101" s="11" t="str">
        <f t="shared" si="99"/>
        <v/>
      </c>
      <c r="AP101" s="21" t="str">
        <f t="shared" si="66"/>
        <v>wallabee-maple-suede, wallabee-dark-brown-suede</v>
      </c>
    </row>
    <row r="102" ht="16.5" customHeight="1">
      <c r="A102" s="32" t="s">
        <v>2593</v>
      </c>
      <c r="B102" s="32" t="s">
        <v>2594</v>
      </c>
      <c r="C102" s="32" t="s">
        <v>2608</v>
      </c>
      <c r="D102" s="32" t="s">
        <v>2609</v>
      </c>
      <c r="E102" s="32" t="s">
        <v>2605</v>
      </c>
      <c r="F102" s="4" t="s">
        <v>2606</v>
      </c>
      <c r="G102" s="4" t="s">
        <v>2610</v>
      </c>
      <c r="K102" s="18"/>
      <c r="L102" s="33"/>
      <c r="M102" s="20"/>
      <c r="N102" s="20"/>
      <c r="O102" s="20"/>
      <c r="P102" s="20"/>
      <c r="Q102" s="20"/>
      <c r="R102" s="20"/>
      <c r="S102" s="20"/>
      <c r="T102" s="20"/>
      <c r="U102" s="34"/>
      <c r="AF102" s="11" t="str">
        <f t="shared" si="64"/>
        <v/>
      </c>
      <c r="AG102" s="11" t="str">
        <f t="shared" ref="AG102:AO102" si="100">if(not(isblank(M102)),", "&amp;M102,"")</f>
        <v/>
      </c>
      <c r="AH102" s="11" t="str">
        <f t="shared" si="100"/>
        <v/>
      </c>
      <c r="AI102" s="11" t="str">
        <f t="shared" si="100"/>
        <v/>
      </c>
      <c r="AJ102" s="11" t="str">
        <f t="shared" si="100"/>
        <v/>
      </c>
      <c r="AK102" s="11" t="str">
        <f t="shared" si="100"/>
        <v/>
      </c>
      <c r="AL102" s="11" t="str">
        <f t="shared" si="100"/>
        <v/>
      </c>
      <c r="AM102" s="11" t="str">
        <f t="shared" si="100"/>
        <v/>
      </c>
      <c r="AN102" s="11" t="str">
        <f t="shared" si="100"/>
        <v/>
      </c>
      <c r="AO102" s="11" t="str">
        <f t="shared" si="100"/>
        <v/>
      </c>
      <c r="AP102" s="21" t="str">
        <f t="shared" si="66"/>
        <v>wallabee-maple-suede, wallabee-black-sde</v>
      </c>
    </row>
    <row r="103" ht="16.5" customHeight="1">
      <c r="A103" s="32" t="s">
        <v>2593</v>
      </c>
      <c r="B103" s="32" t="s">
        <v>2594</v>
      </c>
      <c r="C103" s="32" t="s">
        <v>2611</v>
      </c>
      <c r="D103" s="32" t="s">
        <v>2612</v>
      </c>
      <c r="E103" s="32" t="s">
        <v>2605</v>
      </c>
      <c r="F103" s="4" t="s">
        <v>2606</v>
      </c>
      <c r="G103" s="4" t="s">
        <v>2613</v>
      </c>
      <c r="K103" s="18"/>
      <c r="L103" s="33"/>
      <c r="M103" s="20"/>
      <c r="N103" s="20"/>
      <c r="O103" s="20"/>
      <c r="P103" s="20"/>
      <c r="Q103" s="20"/>
      <c r="R103" s="20"/>
      <c r="S103" s="20"/>
      <c r="T103" s="20"/>
      <c r="U103" s="34"/>
      <c r="AF103" s="11" t="str">
        <f t="shared" si="64"/>
        <v/>
      </c>
      <c r="AG103" s="11" t="str">
        <f t="shared" ref="AG103:AO103" si="101">if(not(isblank(M103)),", "&amp;M103,"")</f>
        <v/>
      </c>
      <c r="AH103" s="11" t="str">
        <f t="shared" si="101"/>
        <v/>
      </c>
      <c r="AI103" s="11" t="str">
        <f t="shared" si="101"/>
        <v/>
      </c>
      <c r="AJ103" s="11" t="str">
        <f t="shared" si="101"/>
        <v/>
      </c>
      <c r="AK103" s="11" t="str">
        <f t="shared" si="101"/>
        <v/>
      </c>
      <c r="AL103" s="11" t="str">
        <f t="shared" si="101"/>
        <v/>
      </c>
      <c r="AM103" s="11" t="str">
        <f t="shared" si="101"/>
        <v/>
      </c>
      <c r="AN103" s="11" t="str">
        <f t="shared" si="101"/>
        <v/>
      </c>
      <c r="AO103" s="11" t="str">
        <f t="shared" si="101"/>
        <v/>
      </c>
      <c r="AP103" s="21" t="str">
        <f t="shared" si="66"/>
        <v>wallabee-black-sde, wallabee-dark-brown-suede</v>
      </c>
    </row>
    <row r="104" ht="16.5" customHeight="1">
      <c r="A104" s="32" t="s">
        <v>2614</v>
      </c>
      <c r="B104" s="32" t="s">
        <v>2615</v>
      </c>
      <c r="C104" s="32" t="s">
        <v>2616</v>
      </c>
      <c r="D104" s="32" t="s">
        <v>2617</v>
      </c>
      <c r="E104" s="32" t="s">
        <v>2618</v>
      </c>
      <c r="F104" s="4" t="s">
        <v>2619</v>
      </c>
      <c r="G104" s="4"/>
      <c r="H104" s="4"/>
      <c r="K104" s="18"/>
      <c r="L104" s="33"/>
      <c r="M104" s="20"/>
      <c r="N104" s="20"/>
      <c r="O104" s="20"/>
      <c r="P104" s="20"/>
      <c r="Q104" s="20"/>
      <c r="R104" s="20"/>
      <c r="S104" s="20"/>
      <c r="T104" s="20"/>
      <c r="U104" s="34"/>
      <c r="AF104" s="11" t="str">
        <f t="shared" si="64"/>
        <v/>
      </c>
      <c r="AG104" s="11" t="str">
        <f t="shared" ref="AG104:AO104" si="102">if(not(isblank(M104)),", "&amp;M104,"")</f>
        <v/>
      </c>
      <c r="AH104" s="11" t="str">
        <f t="shared" si="102"/>
        <v/>
      </c>
      <c r="AI104" s="11" t="str">
        <f t="shared" si="102"/>
        <v/>
      </c>
      <c r="AJ104" s="11" t="str">
        <f t="shared" si="102"/>
        <v/>
      </c>
      <c r="AK104" s="11" t="str">
        <f t="shared" si="102"/>
        <v/>
      </c>
      <c r="AL104" s="11" t="str">
        <f t="shared" si="102"/>
        <v/>
      </c>
      <c r="AM104" s="11" t="str">
        <f t="shared" si="102"/>
        <v/>
      </c>
      <c r="AN104" s="11" t="str">
        <f t="shared" si="102"/>
        <v/>
      </c>
      <c r="AO104" s="11" t="str">
        <f t="shared" si="102"/>
        <v/>
      </c>
      <c r="AP104" s="21" t="str">
        <f t="shared" si="66"/>
        <v/>
      </c>
    </row>
    <row r="105" ht="16.5" customHeight="1">
      <c r="A105" s="32" t="s">
        <v>2614</v>
      </c>
      <c r="B105" s="32" t="s">
        <v>2615</v>
      </c>
      <c r="C105" s="32" t="s">
        <v>2620</v>
      </c>
      <c r="D105" s="32" t="s">
        <v>2621</v>
      </c>
      <c r="E105" s="32" t="s">
        <v>2622</v>
      </c>
      <c r="F105" s="4" t="s">
        <v>2623</v>
      </c>
      <c r="G105" s="4"/>
      <c r="H105" s="4"/>
      <c r="K105" s="18"/>
      <c r="L105" s="33"/>
      <c r="M105" s="20"/>
      <c r="N105" s="20"/>
      <c r="O105" s="20"/>
      <c r="P105" s="20"/>
      <c r="Q105" s="20"/>
      <c r="R105" s="20"/>
      <c r="S105" s="20"/>
      <c r="T105" s="20"/>
      <c r="U105" s="34"/>
      <c r="AF105" s="11" t="str">
        <f t="shared" si="64"/>
        <v/>
      </c>
      <c r="AG105" s="11" t="str">
        <f t="shared" ref="AG105:AO105" si="103">if(not(isblank(M105)),", "&amp;M105,"")</f>
        <v/>
      </c>
      <c r="AH105" s="11" t="str">
        <f t="shared" si="103"/>
        <v/>
      </c>
      <c r="AI105" s="11" t="str">
        <f t="shared" si="103"/>
        <v/>
      </c>
      <c r="AJ105" s="11" t="str">
        <f t="shared" si="103"/>
        <v/>
      </c>
      <c r="AK105" s="11" t="str">
        <f t="shared" si="103"/>
        <v/>
      </c>
      <c r="AL105" s="11" t="str">
        <f t="shared" si="103"/>
        <v/>
      </c>
      <c r="AM105" s="11" t="str">
        <f t="shared" si="103"/>
        <v/>
      </c>
      <c r="AN105" s="11" t="str">
        <f t="shared" si="103"/>
        <v/>
      </c>
      <c r="AO105" s="11" t="str">
        <f t="shared" si="103"/>
        <v/>
      </c>
      <c r="AP105" s="21" t="str">
        <f t="shared" si="66"/>
        <v/>
      </c>
    </row>
    <row r="106" ht="16.5" customHeight="1">
      <c r="A106" s="32" t="s">
        <v>2614</v>
      </c>
      <c r="B106" s="32" t="s">
        <v>2624</v>
      </c>
      <c r="C106" s="32" t="s">
        <v>2625</v>
      </c>
      <c r="D106" s="32" t="s">
        <v>2626</v>
      </c>
      <c r="E106" s="32" t="s">
        <v>2627</v>
      </c>
      <c r="F106" s="4" t="s">
        <v>2628</v>
      </c>
      <c r="G106" s="4" t="s">
        <v>2629</v>
      </c>
      <c r="K106" s="18"/>
      <c r="L106" s="33"/>
      <c r="M106" s="20"/>
      <c r="N106" s="20"/>
      <c r="O106" s="20"/>
      <c r="P106" s="20"/>
      <c r="Q106" s="20"/>
      <c r="R106" s="20"/>
      <c r="S106" s="20"/>
      <c r="T106" s="20"/>
      <c r="U106" s="34"/>
      <c r="AF106" s="11" t="str">
        <f t="shared" si="64"/>
        <v/>
      </c>
      <c r="AG106" s="11" t="str">
        <f t="shared" ref="AG106:AO106" si="104">if(not(isblank(M106)),", "&amp;M106,"")</f>
        <v/>
      </c>
      <c r="AH106" s="11" t="str">
        <f t="shared" si="104"/>
        <v/>
      </c>
      <c r="AI106" s="11" t="str">
        <f t="shared" si="104"/>
        <v/>
      </c>
      <c r="AJ106" s="11" t="str">
        <f t="shared" si="104"/>
        <v/>
      </c>
      <c r="AK106" s="11" t="str">
        <f t="shared" si="104"/>
        <v/>
      </c>
      <c r="AL106" s="11" t="str">
        <f t="shared" si="104"/>
        <v/>
      </c>
      <c r="AM106" s="11" t="str">
        <f t="shared" si="104"/>
        <v/>
      </c>
      <c r="AN106" s="11" t="str">
        <f t="shared" si="104"/>
        <v/>
      </c>
      <c r="AO106" s="11" t="str">
        <f t="shared" si="104"/>
        <v/>
      </c>
      <c r="AP106" s="21" t="str">
        <f t="shared" si="66"/>
        <v>cornaro-gomma-rust, cornaro-black, cornaro-purple</v>
      </c>
    </row>
    <row r="107" ht="16.5" customHeight="1">
      <c r="A107" s="32" t="s">
        <v>2614</v>
      </c>
      <c r="B107" s="32" t="s">
        <v>2615</v>
      </c>
      <c r="C107" s="32" t="s">
        <v>2630</v>
      </c>
      <c r="D107" s="32" t="s">
        <v>2631</v>
      </c>
      <c r="E107" s="32" t="s">
        <v>2632</v>
      </c>
      <c r="F107" s="4" t="s">
        <v>2633</v>
      </c>
      <c r="G107" s="4" t="s">
        <v>2634</v>
      </c>
      <c r="K107" s="18"/>
      <c r="L107" s="33"/>
      <c r="M107" s="20"/>
      <c r="N107" s="20"/>
      <c r="O107" s="20"/>
      <c r="P107" s="20"/>
      <c r="Q107" s="20"/>
      <c r="R107" s="20"/>
      <c r="S107" s="20"/>
      <c r="T107" s="20"/>
      <c r="U107" s="34"/>
      <c r="AF107" s="11" t="str">
        <f t="shared" si="64"/>
        <v/>
      </c>
      <c r="AG107" s="11" t="str">
        <f t="shared" ref="AG107:AO107" si="105">if(not(isblank(M107)),", "&amp;M107,"")</f>
        <v/>
      </c>
      <c r="AH107" s="11" t="str">
        <f t="shared" si="105"/>
        <v/>
      </c>
      <c r="AI107" s="11" t="str">
        <f t="shared" si="105"/>
        <v/>
      </c>
      <c r="AJ107" s="11" t="str">
        <f t="shared" si="105"/>
        <v/>
      </c>
      <c r="AK107" s="11" t="str">
        <f t="shared" si="105"/>
        <v/>
      </c>
      <c r="AL107" s="11" t="str">
        <f t="shared" si="105"/>
        <v/>
      </c>
      <c r="AM107" s="11" t="str">
        <f t="shared" si="105"/>
        <v/>
      </c>
      <c r="AN107" s="11" t="str">
        <f t="shared" si="105"/>
        <v/>
      </c>
      <c r="AO107" s="11" t="str">
        <f t="shared" si="105"/>
        <v/>
      </c>
      <c r="AP107" s="21" t="str">
        <f t="shared" si="66"/>
        <v>roccia-vet-gomma-cognac, roccia-vet-black-suede</v>
      </c>
    </row>
    <row r="108" ht="16.5" customHeight="1">
      <c r="A108" s="32" t="s">
        <v>2614</v>
      </c>
      <c r="B108" s="32" t="s">
        <v>2635</v>
      </c>
      <c r="C108" s="32" t="s">
        <v>2636</v>
      </c>
      <c r="D108" s="32" t="s">
        <v>2637</v>
      </c>
      <c r="E108" s="32" t="s">
        <v>2638</v>
      </c>
      <c r="F108" s="4" t="s">
        <v>2639</v>
      </c>
      <c r="G108" s="4"/>
      <c r="H108" s="4"/>
      <c r="K108" s="18"/>
      <c r="L108" s="35" t="s">
        <v>2640</v>
      </c>
      <c r="M108" s="19" t="s">
        <v>2641</v>
      </c>
      <c r="N108" s="20"/>
      <c r="O108" s="20"/>
      <c r="P108" s="20"/>
      <c r="Q108" s="20"/>
      <c r="R108" s="20"/>
      <c r="S108" s="20"/>
      <c r="T108" s="20"/>
      <c r="U108" s="34"/>
      <c r="AF108" s="11" t="str">
        <f t="shared" si="64"/>
        <v>ys1025-thornham-01-navy</v>
      </c>
      <c r="AG108" s="11" t="str">
        <f t="shared" ref="AG108:AO108" si="106">if(not(isblank(M108)),", "&amp;M108,"")</f>
        <v>, thornham-mid-grey-fleck</v>
      </c>
      <c r="AH108" s="11" t="str">
        <f t="shared" si="106"/>
        <v/>
      </c>
      <c r="AI108" s="11" t="str">
        <f t="shared" si="106"/>
        <v/>
      </c>
      <c r="AJ108" s="11" t="str">
        <f t="shared" si="106"/>
        <v/>
      </c>
      <c r="AK108" s="11" t="str">
        <f t="shared" si="106"/>
        <v/>
      </c>
      <c r="AL108" s="11" t="str">
        <f t="shared" si="106"/>
        <v/>
      </c>
      <c r="AM108" s="11" t="str">
        <f t="shared" si="106"/>
        <v/>
      </c>
      <c r="AN108" s="11" t="str">
        <f t="shared" si="106"/>
        <v/>
      </c>
      <c r="AO108" s="11" t="str">
        <f t="shared" si="106"/>
        <v/>
      </c>
      <c r="AP108" s="21" t="str">
        <f t="shared" si="66"/>
        <v>ys1025-thornham-01-navy, thornham-mid-grey-fleck</v>
      </c>
    </row>
    <row r="109" ht="16.5" customHeight="1">
      <c r="A109" s="32" t="s">
        <v>2614</v>
      </c>
      <c r="B109" s="32" t="s">
        <v>2594</v>
      </c>
      <c r="C109" s="32" t="s">
        <v>2642</v>
      </c>
      <c r="D109" s="32" t="s">
        <v>2643</v>
      </c>
      <c r="E109" s="32" t="s">
        <v>2644</v>
      </c>
      <c r="F109" s="4" t="s">
        <v>2645</v>
      </c>
      <c r="G109" s="4" t="s">
        <v>2646</v>
      </c>
      <c r="H109" s="4"/>
      <c r="K109" s="18"/>
      <c r="L109" s="35" t="s">
        <v>2640</v>
      </c>
      <c r="M109" s="19" t="s">
        <v>2647</v>
      </c>
      <c r="N109" s="20"/>
      <c r="O109" s="20"/>
      <c r="P109" s="20"/>
      <c r="Q109" s="20"/>
      <c r="R109" s="20"/>
      <c r="S109" s="20"/>
      <c r="T109" s="20"/>
      <c r="U109" s="34"/>
      <c r="AF109" s="11" t="str">
        <f t="shared" si="64"/>
        <v>ys1025-thornham-01-navy</v>
      </c>
      <c r="AG109" s="11" t="str">
        <f t="shared" ref="AG109:AO109" si="107">if(not(isblank(M109)),", "&amp;M109,"")</f>
        <v>, thornham-dark-brown-fleck</v>
      </c>
      <c r="AH109" s="11" t="str">
        <f t="shared" si="107"/>
        <v/>
      </c>
      <c r="AI109" s="11" t="str">
        <f t="shared" si="107"/>
        <v/>
      </c>
      <c r="AJ109" s="11" t="str">
        <f t="shared" si="107"/>
        <v/>
      </c>
      <c r="AK109" s="11" t="str">
        <f t="shared" si="107"/>
        <v/>
      </c>
      <c r="AL109" s="11" t="str">
        <f t="shared" si="107"/>
        <v/>
      </c>
      <c r="AM109" s="11" t="str">
        <f t="shared" si="107"/>
        <v/>
      </c>
      <c r="AN109" s="11" t="str">
        <f t="shared" si="107"/>
        <v/>
      </c>
      <c r="AO109" s="11" t="str">
        <f t="shared" si="107"/>
        <v/>
      </c>
      <c r="AP109" s="21" t="str">
        <f t="shared" si="66"/>
        <v>ys1025-thornham-01-navy, thornham-dark-brown-fleck</v>
      </c>
    </row>
    <row r="110" ht="16.5" customHeight="1">
      <c r="A110" s="32" t="s">
        <v>2614</v>
      </c>
      <c r="B110" s="32" t="s">
        <v>2594</v>
      </c>
      <c r="C110" s="32" t="s">
        <v>2646</v>
      </c>
      <c r="D110" s="32" t="s">
        <v>2648</v>
      </c>
      <c r="E110" s="32" t="s">
        <v>2644</v>
      </c>
      <c r="F110" s="4" t="s">
        <v>2649</v>
      </c>
      <c r="G110" s="4" t="s">
        <v>2642</v>
      </c>
      <c r="H110" s="4"/>
      <c r="K110" s="18"/>
      <c r="L110" s="35" t="s">
        <v>2647</v>
      </c>
      <c r="M110" s="19" t="s">
        <v>2641</v>
      </c>
      <c r="N110" s="20"/>
      <c r="O110" s="20"/>
      <c r="P110" s="20"/>
      <c r="Q110" s="20"/>
      <c r="R110" s="20"/>
      <c r="S110" s="20"/>
      <c r="T110" s="20"/>
      <c r="U110" s="34"/>
      <c r="AF110" s="11" t="str">
        <f t="shared" si="64"/>
        <v>thornham-dark-brown-fleck</v>
      </c>
      <c r="AG110" s="11" t="str">
        <f t="shared" ref="AG110:AO110" si="108">if(not(isblank(M110)),", "&amp;M110,"")</f>
        <v>, thornham-mid-grey-fleck</v>
      </c>
      <c r="AH110" s="11" t="str">
        <f t="shared" si="108"/>
        <v/>
      </c>
      <c r="AI110" s="11" t="str">
        <f t="shared" si="108"/>
        <v/>
      </c>
      <c r="AJ110" s="11" t="str">
        <f t="shared" si="108"/>
        <v/>
      </c>
      <c r="AK110" s="11" t="str">
        <f t="shared" si="108"/>
        <v/>
      </c>
      <c r="AL110" s="11" t="str">
        <f t="shared" si="108"/>
        <v/>
      </c>
      <c r="AM110" s="11" t="str">
        <f t="shared" si="108"/>
        <v/>
      </c>
      <c r="AN110" s="11" t="str">
        <f t="shared" si="108"/>
        <v/>
      </c>
      <c r="AO110" s="11" t="str">
        <f t="shared" si="108"/>
        <v/>
      </c>
      <c r="AP110" s="21" t="str">
        <f t="shared" si="66"/>
        <v>thornham-dark-brown-fleck, thornham-mid-grey-fleck</v>
      </c>
    </row>
    <row r="111" ht="16.5" customHeight="1">
      <c r="A111" s="32" t="s">
        <v>2614</v>
      </c>
      <c r="B111" s="32" t="s">
        <v>2594</v>
      </c>
      <c r="C111" s="32" t="s">
        <v>2650</v>
      </c>
      <c r="D111" s="32" t="s">
        <v>2651</v>
      </c>
      <c r="E111" s="32" t="s">
        <v>2652</v>
      </c>
      <c r="F111" s="4" t="s">
        <v>2628</v>
      </c>
      <c r="G111" s="4" t="s">
        <v>2653</v>
      </c>
      <c r="H111" s="4"/>
      <c r="K111" s="18"/>
      <c r="L111" s="33"/>
      <c r="M111" s="20"/>
      <c r="N111" s="20"/>
      <c r="O111" s="20"/>
      <c r="P111" s="20"/>
      <c r="Q111" s="20"/>
      <c r="R111" s="20"/>
      <c r="S111" s="20"/>
      <c r="T111" s="20"/>
      <c r="U111" s="34"/>
      <c r="AF111" s="11" t="str">
        <f t="shared" si="64"/>
        <v/>
      </c>
      <c r="AG111" s="11" t="str">
        <f t="shared" ref="AG111:AO111" si="109">if(not(isblank(M111)),", "&amp;M111,"")</f>
        <v/>
      </c>
      <c r="AH111" s="11" t="str">
        <f t="shared" si="109"/>
        <v/>
      </c>
      <c r="AI111" s="11" t="str">
        <f t="shared" si="109"/>
        <v/>
      </c>
      <c r="AJ111" s="11" t="str">
        <f t="shared" si="109"/>
        <v/>
      </c>
      <c r="AK111" s="11" t="str">
        <f t="shared" si="109"/>
        <v/>
      </c>
      <c r="AL111" s="11" t="str">
        <f t="shared" si="109"/>
        <v/>
      </c>
      <c r="AM111" s="11" t="str">
        <f t="shared" si="109"/>
        <v/>
      </c>
      <c r="AN111" s="11" t="str">
        <f t="shared" si="109"/>
        <v/>
      </c>
      <c r="AO111" s="11" t="str">
        <f t="shared" si="109"/>
        <v/>
      </c>
      <c r="AP111" s="21" t="str">
        <f t="shared" si="66"/>
        <v>cornaro-gomma-cognac</v>
      </c>
    </row>
    <row r="112" ht="16.5" customHeight="1">
      <c r="A112" s="32" t="s">
        <v>2614</v>
      </c>
      <c r="B112" s="32" t="s">
        <v>179</v>
      </c>
      <c r="C112" s="32" t="s">
        <v>2653</v>
      </c>
      <c r="D112" s="32" t="s">
        <v>2654</v>
      </c>
      <c r="E112" s="32" t="s">
        <v>2655</v>
      </c>
      <c r="F112" s="4" t="s">
        <v>2656</v>
      </c>
      <c r="G112" s="4" t="s">
        <v>2657</v>
      </c>
      <c r="K112" s="18"/>
      <c r="L112" s="33"/>
      <c r="M112" s="20"/>
      <c r="N112" s="20"/>
      <c r="O112" s="20"/>
      <c r="P112" s="20"/>
      <c r="Q112" s="20"/>
      <c r="R112" s="20"/>
      <c r="S112" s="20"/>
      <c r="T112" s="20"/>
      <c r="U112" s="34"/>
      <c r="AF112" s="11" t="str">
        <f t="shared" si="64"/>
        <v/>
      </c>
      <c r="AG112" s="11" t="str">
        <f t="shared" ref="AG112:AO112" si="110">if(not(isblank(M112)),", "&amp;M112,"")</f>
        <v/>
      </c>
      <c r="AH112" s="11" t="str">
        <f t="shared" si="110"/>
        <v/>
      </c>
      <c r="AI112" s="11" t="str">
        <f t="shared" si="110"/>
        <v/>
      </c>
      <c r="AJ112" s="11" t="str">
        <f t="shared" si="110"/>
        <v/>
      </c>
      <c r="AK112" s="11" t="str">
        <f t="shared" si="110"/>
        <v/>
      </c>
      <c r="AL112" s="11" t="str">
        <f t="shared" si="110"/>
        <v/>
      </c>
      <c r="AM112" s="11" t="str">
        <f t="shared" si="110"/>
        <v/>
      </c>
      <c r="AN112" s="11" t="str">
        <f t="shared" si="110"/>
        <v/>
      </c>
      <c r="AO112" s="11" t="str">
        <f t="shared" si="110"/>
        <v/>
      </c>
      <c r="AP112" s="21" t="str">
        <f t="shared" si="66"/>
        <v>cornaro-gomma-rust, cornaro-dark-brown, cornaro-black, cornaro-olive-femme</v>
      </c>
    </row>
    <row r="113" ht="16.5" customHeight="1">
      <c r="A113" s="32" t="s">
        <v>2614</v>
      </c>
      <c r="B113" s="32" t="s">
        <v>2624</v>
      </c>
      <c r="C113" s="32" t="s">
        <v>2658</v>
      </c>
      <c r="D113" s="32" t="s">
        <v>2659</v>
      </c>
      <c r="E113" s="32" t="s">
        <v>2660</v>
      </c>
      <c r="F113" s="4" t="s">
        <v>2661</v>
      </c>
      <c r="G113" s="4" t="s">
        <v>2662</v>
      </c>
      <c r="K113" s="18"/>
      <c r="L113" s="33"/>
      <c r="M113" s="20"/>
      <c r="N113" s="20"/>
      <c r="O113" s="20"/>
      <c r="P113" s="20"/>
      <c r="Q113" s="20"/>
      <c r="R113" s="20"/>
      <c r="S113" s="20"/>
      <c r="T113" s="20"/>
      <c r="U113" s="34"/>
      <c r="AF113" s="11" t="str">
        <f t="shared" si="64"/>
        <v/>
      </c>
      <c r="AG113" s="11" t="str">
        <f t="shared" ref="AG113:AO113" si="111">if(not(isblank(M113)),", "&amp;M113,"")</f>
        <v/>
      </c>
      <c r="AH113" s="11" t="str">
        <f t="shared" si="111"/>
        <v/>
      </c>
      <c r="AI113" s="11" t="str">
        <f t="shared" si="111"/>
        <v/>
      </c>
      <c r="AJ113" s="11" t="str">
        <f t="shared" si="111"/>
        <v/>
      </c>
      <c r="AK113" s="11" t="str">
        <f t="shared" si="111"/>
        <v/>
      </c>
      <c r="AL113" s="11" t="str">
        <f t="shared" si="111"/>
        <v/>
      </c>
      <c r="AM113" s="11" t="str">
        <f t="shared" si="111"/>
        <v/>
      </c>
      <c r="AN113" s="11" t="str">
        <f t="shared" si="111"/>
        <v/>
      </c>
      <c r="AO113" s="11" t="str">
        <f t="shared" si="111"/>
        <v/>
      </c>
      <c r="AP113" s="21" t="str">
        <f t="shared" si="66"/>
        <v>cornaro-gomma-cognac, cornaro-black, cornaro-olive-femme, cornaro-purple</v>
      </c>
    </row>
    <row r="114" ht="16.5" customHeight="1">
      <c r="A114" s="32" t="s">
        <v>2614</v>
      </c>
      <c r="B114" s="32" t="s">
        <v>2663</v>
      </c>
      <c r="C114" s="32" t="s">
        <v>2664</v>
      </c>
      <c r="D114" s="32" t="s">
        <v>2665</v>
      </c>
      <c r="E114" s="32" t="s">
        <v>2666</v>
      </c>
      <c r="F114" s="4" t="s">
        <v>2667</v>
      </c>
      <c r="G114" s="4" t="s">
        <v>2668</v>
      </c>
      <c r="K114" s="18"/>
      <c r="L114" s="33"/>
      <c r="M114" s="20"/>
      <c r="N114" s="20"/>
      <c r="O114" s="20"/>
      <c r="P114" s="20"/>
      <c r="Q114" s="20"/>
      <c r="R114" s="20"/>
      <c r="S114" s="20"/>
      <c r="T114" s="20"/>
      <c r="U114" s="34"/>
      <c r="AF114" s="11" t="str">
        <f t="shared" si="64"/>
        <v/>
      </c>
      <c r="AG114" s="11" t="str">
        <f t="shared" ref="AG114:AO114" si="112">if(not(isblank(M114)),", "&amp;M114,"")</f>
        <v/>
      </c>
      <c r="AH114" s="11" t="str">
        <f t="shared" si="112"/>
        <v/>
      </c>
      <c r="AI114" s="11" t="str">
        <f t="shared" si="112"/>
        <v/>
      </c>
      <c r="AJ114" s="11" t="str">
        <f t="shared" si="112"/>
        <v/>
      </c>
      <c r="AK114" s="11" t="str">
        <f t="shared" si="112"/>
        <v/>
      </c>
      <c r="AL114" s="11" t="str">
        <f t="shared" si="112"/>
        <v/>
      </c>
      <c r="AM114" s="11" t="str">
        <f t="shared" si="112"/>
        <v/>
      </c>
      <c r="AN114" s="11" t="str">
        <f t="shared" si="112"/>
        <v/>
      </c>
      <c r="AO114" s="11" t="str">
        <f t="shared" si="112"/>
        <v/>
      </c>
      <c r="AP114" s="21" t="str">
        <f t="shared" si="66"/>
        <v>roccia-vet-gomma-cognac, roccia-vet-sport-black</v>
      </c>
    </row>
    <row r="115" ht="16.5" customHeight="1">
      <c r="A115" s="32" t="s">
        <v>2614</v>
      </c>
      <c r="B115" s="32" t="s">
        <v>2615</v>
      </c>
      <c r="C115" s="32" t="s">
        <v>2669</v>
      </c>
      <c r="D115" s="32" t="s">
        <v>2670</v>
      </c>
      <c r="E115" s="32" t="s">
        <v>2671</v>
      </c>
      <c r="F115" s="4" t="s">
        <v>2672</v>
      </c>
      <c r="G115" s="4" t="s">
        <v>2673</v>
      </c>
      <c r="K115" s="18"/>
      <c r="L115" s="33"/>
      <c r="M115" s="20"/>
      <c r="N115" s="20"/>
      <c r="O115" s="20"/>
      <c r="P115" s="20"/>
      <c r="Q115" s="20"/>
      <c r="R115" s="20"/>
      <c r="S115" s="20"/>
      <c r="T115" s="20"/>
      <c r="U115" s="34"/>
      <c r="AF115" s="11" t="str">
        <f t="shared" si="64"/>
        <v/>
      </c>
      <c r="AG115" s="11" t="str">
        <f t="shared" ref="AG115:AO115" si="113">if(not(isblank(M115)),", "&amp;M115,"")</f>
        <v/>
      </c>
      <c r="AH115" s="11" t="str">
        <f t="shared" si="113"/>
        <v/>
      </c>
      <c r="AI115" s="11" t="str">
        <f t="shared" si="113"/>
        <v/>
      </c>
      <c r="AJ115" s="11" t="str">
        <f t="shared" si="113"/>
        <v/>
      </c>
      <c r="AK115" s="11" t="str">
        <f t="shared" si="113"/>
        <v/>
      </c>
      <c r="AL115" s="11" t="str">
        <f t="shared" si="113"/>
        <v/>
      </c>
      <c r="AM115" s="11" t="str">
        <f t="shared" si="113"/>
        <v/>
      </c>
      <c r="AN115" s="11" t="str">
        <f t="shared" si="113"/>
        <v/>
      </c>
      <c r="AO115" s="11" t="str">
        <f t="shared" si="113"/>
        <v/>
      </c>
      <c r="AP115" s="21" t="str">
        <f t="shared" si="66"/>
        <v>roccia-vet-black-suede, roccia-vet-sport-black</v>
      </c>
    </row>
    <row r="116" ht="16.5" customHeight="1">
      <c r="A116" s="32" t="s">
        <v>2614</v>
      </c>
      <c r="B116" s="32" t="s">
        <v>2624</v>
      </c>
      <c r="C116" s="32" t="s">
        <v>2674</v>
      </c>
      <c r="D116" s="32" t="s">
        <v>2675</v>
      </c>
      <c r="E116" s="32" t="s">
        <v>2627</v>
      </c>
      <c r="F116" s="4" t="s">
        <v>2628</v>
      </c>
      <c r="G116" s="4" t="s">
        <v>2676</v>
      </c>
      <c r="K116" s="18"/>
      <c r="L116" s="35" t="s">
        <v>2677</v>
      </c>
      <c r="M116" s="37" t="s">
        <v>1782</v>
      </c>
      <c r="N116" s="37" t="s">
        <v>2677</v>
      </c>
      <c r="O116" s="19" t="s">
        <v>2678</v>
      </c>
      <c r="P116" s="20"/>
      <c r="Q116" s="20"/>
      <c r="R116" s="20"/>
      <c r="S116" s="20"/>
      <c r="T116" s="20"/>
      <c r="U116" s="34"/>
      <c r="AF116" s="11" t="str">
        <f t="shared" si="64"/>
        <v>aiden-blue-check-pop</v>
      </c>
      <c r="AG116" s="11" t="str">
        <f t="shared" ref="AG116:AO116" si="114">if(not(isblank(M116)),", "&amp;M116,"")</f>
        <v>, aiden-white-ox</v>
      </c>
      <c r="AH116" s="11" t="str">
        <f t="shared" si="114"/>
        <v>, aiden-blue-check-pop</v>
      </c>
      <c r="AI116" s="11" t="str">
        <f t="shared" si="114"/>
        <v>, aiden-grey-oxford</v>
      </c>
      <c r="AJ116" s="11" t="str">
        <f t="shared" si="114"/>
        <v/>
      </c>
      <c r="AK116" s="11" t="str">
        <f t="shared" si="114"/>
        <v/>
      </c>
      <c r="AL116" s="11" t="str">
        <f t="shared" si="114"/>
        <v/>
      </c>
      <c r="AM116" s="11" t="str">
        <f t="shared" si="114"/>
        <v/>
      </c>
      <c r="AN116" s="11" t="str">
        <f t="shared" si="114"/>
        <v/>
      </c>
      <c r="AO116" s="11" t="str">
        <f t="shared" si="114"/>
        <v/>
      </c>
      <c r="AP116" s="21" t="str">
        <f t="shared" si="66"/>
        <v>aiden-blue-check-pop, aiden-white-ox, aiden-blue-check-pop, aiden-grey-oxford</v>
      </c>
    </row>
    <row r="117" ht="16.5" customHeight="1">
      <c r="A117" s="32" t="s">
        <v>2614</v>
      </c>
      <c r="B117" s="32" t="s">
        <v>2624</v>
      </c>
      <c r="C117" s="32" t="s">
        <v>2679</v>
      </c>
      <c r="D117" s="32" t="s">
        <v>2680</v>
      </c>
      <c r="E117" s="32" t="s">
        <v>2627</v>
      </c>
      <c r="F117" s="4" t="s">
        <v>2628</v>
      </c>
      <c r="G117" s="4" t="s">
        <v>2681</v>
      </c>
      <c r="K117" s="18"/>
      <c r="L117" s="35" t="s">
        <v>2677</v>
      </c>
      <c r="M117" s="19" t="s">
        <v>2677</v>
      </c>
      <c r="N117" s="19" t="s">
        <v>2682</v>
      </c>
      <c r="O117" s="19" t="s">
        <v>2678</v>
      </c>
      <c r="P117" s="20"/>
      <c r="Q117" s="20"/>
      <c r="R117" s="20"/>
      <c r="S117" s="20"/>
      <c r="T117" s="20"/>
      <c r="U117" s="34"/>
      <c r="AF117" s="11" t="str">
        <f t="shared" si="64"/>
        <v>aiden-blue-check-pop</v>
      </c>
      <c r="AG117" s="11" t="str">
        <f t="shared" ref="AG117:AO117" si="115">if(not(isblank(M117)),", "&amp;M117,"")</f>
        <v>, aiden-blue-check-pop</v>
      </c>
      <c r="AH117" s="11" t="str">
        <f t="shared" si="115"/>
        <v>, aiden-brown-stripe-pop</v>
      </c>
      <c r="AI117" s="11" t="str">
        <f t="shared" si="115"/>
        <v>, aiden-grey-oxford</v>
      </c>
      <c r="AJ117" s="11" t="str">
        <f t="shared" si="115"/>
        <v/>
      </c>
      <c r="AK117" s="11" t="str">
        <f t="shared" si="115"/>
        <v/>
      </c>
      <c r="AL117" s="11" t="str">
        <f t="shared" si="115"/>
        <v/>
      </c>
      <c r="AM117" s="11" t="str">
        <f t="shared" si="115"/>
        <v/>
      </c>
      <c r="AN117" s="11" t="str">
        <f t="shared" si="115"/>
        <v/>
      </c>
      <c r="AO117" s="11" t="str">
        <f t="shared" si="115"/>
        <v/>
      </c>
      <c r="AP117" s="21" t="str">
        <f t="shared" si="66"/>
        <v>aiden-blue-check-pop, aiden-blue-check-pop, aiden-brown-stripe-pop, aiden-grey-oxford</v>
      </c>
    </row>
    <row r="118" ht="16.5" customHeight="1">
      <c r="A118" s="32" t="s">
        <v>2614</v>
      </c>
      <c r="B118" s="32" t="s">
        <v>2683</v>
      </c>
      <c r="C118" s="32" t="s">
        <v>2684</v>
      </c>
      <c r="D118" s="32" t="s">
        <v>2685</v>
      </c>
      <c r="E118" s="32" t="s">
        <v>2686</v>
      </c>
      <c r="F118" s="4" t="s">
        <v>2687</v>
      </c>
      <c r="G118" s="4"/>
      <c r="H118" s="4"/>
      <c r="K118" s="18"/>
      <c r="L118" s="33"/>
      <c r="M118" s="20"/>
      <c r="N118" s="20"/>
      <c r="O118" s="20"/>
      <c r="P118" s="20"/>
      <c r="Q118" s="20"/>
      <c r="R118" s="20"/>
      <c r="S118" s="20"/>
      <c r="T118" s="20"/>
      <c r="U118" s="34"/>
      <c r="AP118" s="21"/>
    </row>
    <row r="119" ht="16.5" customHeight="1">
      <c r="A119" s="32" t="s">
        <v>2688</v>
      </c>
      <c r="B119" s="32" t="s">
        <v>2689</v>
      </c>
      <c r="C119" s="32" t="s">
        <v>2690</v>
      </c>
      <c r="D119" s="32" t="s">
        <v>2691</v>
      </c>
      <c r="E119" s="36"/>
      <c r="F119" s="4"/>
      <c r="G119" s="4"/>
      <c r="H119" s="4"/>
      <c r="K119" s="18"/>
      <c r="L119" s="33"/>
      <c r="M119" s="20"/>
      <c r="N119" s="20"/>
      <c r="O119" s="20"/>
      <c r="P119" s="20"/>
      <c r="Q119" s="20"/>
      <c r="R119" s="20"/>
      <c r="S119" s="20"/>
      <c r="T119" s="20"/>
      <c r="U119" s="34"/>
      <c r="AF119" s="11" t="str">
        <f t="shared" ref="AF119:AF262" si="117">if(not(isblank(L119)),L119,"")</f>
        <v/>
      </c>
      <c r="AG119" s="11" t="str">
        <f t="shared" ref="AG119:AO119" si="116">if(not(isblank(M119)),", "&amp;M119,"")</f>
        <v/>
      </c>
      <c r="AH119" s="11" t="str">
        <f t="shared" si="116"/>
        <v/>
      </c>
      <c r="AI119" s="11" t="str">
        <f t="shared" si="116"/>
        <v/>
      </c>
      <c r="AJ119" s="11" t="str">
        <f t="shared" si="116"/>
        <v/>
      </c>
      <c r="AK119" s="11" t="str">
        <f t="shared" si="116"/>
        <v/>
      </c>
      <c r="AL119" s="11" t="str">
        <f t="shared" si="116"/>
        <v/>
      </c>
      <c r="AM119" s="11" t="str">
        <f t="shared" si="116"/>
        <v/>
      </c>
      <c r="AN119" s="11" t="str">
        <f t="shared" si="116"/>
        <v/>
      </c>
      <c r="AO119" s="11" t="str">
        <f t="shared" si="116"/>
        <v/>
      </c>
      <c r="AP119" s="21" t="str">
        <f t="shared" ref="AP119:AP262" si="119">if(isblank(L119),G119,AF119&amp;AG119&amp;AH119&amp;AI119&amp;AJ119&amp;AK119&amp;AL119&amp;AM119&amp;AN119&amp;AO119)</f>
        <v/>
      </c>
    </row>
    <row r="120" ht="16.5" customHeight="1">
      <c r="A120" s="32" t="s">
        <v>2688</v>
      </c>
      <c r="B120" s="32" t="s">
        <v>2689</v>
      </c>
      <c r="C120" s="32" t="s">
        <v>2692</v>
      </c>
      <c r="D120" s="32" t="s">
        <v>2693</v>
      </c>
      <c r="E120" s="36"/>
      <c r="F120" s="4"/>
      <c r="G120" s="4"/>
      <c r="H120" s="4"/>
      <c r="K120" s="18"/>
      <c r="L120" s="33"/>
      <c r="M120" s="20"/>
      <c r="N120" s="20"/>
      <c r="O120" s="20"/>
      <c r="P120" s="20"/>
      <c r="Q120" s="20"/>
      <c r="R120" s="20"/>
      <c r="S120" s="20"/>
      <c r="T120" s="20"/>
      <c r="U120" s="34"/>
      <c r="AF120" s="11" t="str">
        <f t="shared" si="117"/>
        <v/>
      </c>
      <c r="AG120" s="11" t="str">
        <f t="shared" ref="AG120:AO120" si="118">if(not(isblank(M120)),", "&amp;M120,"")</f>
        <v/>
      </c>
      <c r="AH120" s="11" t="str">
        <f t="shared" si="118"/>
        <v/>
      </c>
      <c r="AI120" s="11" t="str">
        <f t="shared" si="118"/>
        <v/>
      </c>
      <c r="AJ120" s="11" t="str">
        <f t="shared" si="118"/>
        <v/>
      </c>
      <c r="AK120" s="11" t="str">
        <f t="shared" si="118"/>
        <v/>
      </c>
      <c r="AL120" s="11" t="str">
        <f t="shared" si="118"/>
        <v/>
      </c>
      <c r="AM120" s="11" t="str">
        <f t="shared" si="118"/>
        <v/>
      </c>
      <c r="AN120" s="11" t="str">
        <f t="shared" si="118"/>
        <v/>
      </c>
      <c r="AO120" s="11" t="str">
        <f t="shared" si="118"/>
        <v/>
      </c>
      <c r="AP120" s="21" t="str">
        <f t="shared" si="119"/>
        <v/>
      </c>
    </row>
    <row r="121" ht="16.5" customHeight="1">
      <c r="A121" s="32" t="s">
        <v>2694</v>
      </c>
      <c r="B121" s="32" t="s">
        <v>2689</v>
      </c>
      <c r="C121" s="32" t="s">
        <v>2695</v>
      </c>
      <c r="D121" s="32" t="s">
        <v>2696</v>
      </c>
      <c r="E121" s="36"/>
      <c r="F121" s="4"/>
      <c r="G121" s="4"/>
      <c r="H121" s="4"/>
      <c r="K121" s="18"/>
      <c r="L121" s="33"/>
      <c r="M121" s="20"/>
      <c r="N121" s="20"/>
      <c r="O121" s="20"/>
      <c r="P121" s="20"/>
      <c r="Q121" s="20"/>
      <c r="R121" s="20"/>
      <c r="S121" s="20"/>
      <c r="T121" s="20"/>
      <c r="U121" s="34"/>
      <c r="AF121" s="11" t="str">
        <f t="shared" si="117"/>
        <v/>
      </c>
      <c r="AG121" s="11" t="str">
        <f t="shared" ref="AG121:AO121" si="120">if(not(isblank(M121)),", "&amp;M121,"")</f>
        <v/>
      </c>
      <c r="AH121" s="11" t="str">
        <f t="shared" si="120"/>
        <v/>
      </c>
      <c r="AI121" s="11" t="str">
        <f t="shared" si="120"/>
        <v/>
      </c>
      <c r="AJ121" s="11" t="str">
        <f t="shared" si="120"/>
        <v/>
      </c>
      <c r="AK121" s="11" t="str">
        <f t="shared" si="120"/>
        <v/>
      </c>
      <c r="AL121" s="11" t="str">
        <f t="shared" si="120"/>
        <v/>
      </c>
      <c r="AM121" s="11" t="str">
        <f t="shared" si="120"/>
        <v/>
      </c>
      <c r="AN121" s="11" t="str">
        <f t="shared" si="120"/>
        <v/>
      </c>
      <c r="AO121" s="11" t="str">
        <f t="shared" si="120"/>
        <v/>
      </c>
      <c r="AP121" s="21" t="str">
        <f t="shared" si="119"/>
        <v/>
      </c>
    </row>
    <row r="122" ht="16.5" customHeight="1">
      <c r="A122" s="32" t="s">
        <v>2697</v>
      </c>
      <c r="B122" s="32" t="s">
        <v>2697</v>
      </c>
      <c r="C122" s="32" t="s">
        <v>2698</v>
      </c>
      <c r="D122" s="32" t="s">
        <v>2699</v>
      </c>
      <c r="E122" s="36"/>
      <c r="F122" s="4"/>
      <c r="G122" s="4"/>
      <c r="H122" s="4"/>
      <c r="K122" s="18"/>
      <c r="L122" s="33"/>
      <c r="M122" s="20"/>
      <c r="N122" s="20"/>
      <c r="O122" s="20"/>
      <c r="P122" s="20"/>
      <c r="Q122" s="20"/>
      <c r="R122" s="20"/>
      <c r="S122" s="20"/>
      <c r="T122" s="20"/>
      <c r="U122" s="34"/>
      <c r="AF122" s="11" t="str">
        <f t="shared" si="117"/>
        <v/>
      </c>
      <c r="AG122" s="11" t="str">
        <f t="shared" ref="AG122:AO122" si="121">if(not(isblank(M122)),", "&amp;M122,"")</f>
        <v/>
      </c>
      <c r="AH122" s="11" t="str">
        <f t="shared" si="121"/>
        <v/>
      </c>
      <c r="AI122" s="11" t="str">
        <f t="shared" si="121"/>
        <v/>
      </c>
      <c r="AJ122" s="11" t="str">
        <f t="shared" si="121"/>
        <v/>
      </c>
      <c r="AK122" s="11" t="str">
        <f t="shared" si="121"/>
        <v/>
      </c>
      <c r="AL122" s="11" t="str">
        <f t="shared" si="121"/>
        <v/>
      </c>
      <c r="AM122" s="11" t="str">
        <f t="shared" si="121"/>
        <v/>
      </c>
      <c r="AN122" s="11" t="str">
        <f t="shared" si="121"/>
        <v/>
      </c>
      <c r="AO122" s="11" t="str">
        <f t="shared" si="121"/>
        <v/>
      </c>
      <c r="AP122" s="21" t="str">
        <f t="shared" si="119"/>
        <v/>
      </c>
    </row>
    <row r="123" ht="16.5" customHeight="1">
      <c r="A123" s="32" t="s">
        <v>2697</v>
      </c>
      <c r="B123" s="32" t="s">
        <v>2697</v>
      </c>
      <c r="C123" s="32" t="s">
        <v>2700</v>
      </c>
      <c r="D123" s="32" t="s">
        <v>2701</v>
      </c>
      <c r="E123" s="36"/>
      <c r="F123" s="4"/>
      <c r="G123" s="4"/>
      <c r="H123" s="4"/>
      <c r="K123" s="18"/>
      <c r="L123" s="33"/>
      <c r="M123" s="20"/>
      <c r="N123" s="20"/>
      <c r="O123" s="20"/>
      <c r="P123" s="20"/>
      <c r="Q123" s="20"/>
      <c r="R123" s="20"/>
      <c r="S123" s="20"/>
      <c r="T123" s="20"/>
      <c r="U123" s="34"/>
      <c r="AF123" s="11" t="str">
        <f t="shared" si="117"/>
        <v/>
      </c>
      <c r="AG123" s="11" t="str">
        <f t="shared" ref="AG123:AO123" si="122">if(not(isblank(M123)),", "&amp;M123,"")</f>
        <v/>
      </c>
      <c r="AH123" s="11" t="str">
        <f t="shared" si="122"/>
        <v/>
      </c>
      <c r="AI123" s="11" t="str">
        <f t="shared" si="122"/>
        <v/>
      </c>
      <c r="AJ123" s="11" t="str">
        <f t="shared" si="122"/>
        <v/>
      </c>
      <c r="AK123" s="11" t="str">
        <f t="shared" si="122"/>
        <v/>
      </c>
      <c r="AL123" s="11" t="str">
        <f t="shared" si="122"/>
        <v/>
      </c>
      <c r="AM123" s="11" t="str">
        <f t="shared" si="122"/>
        <v/>
      </c>
      <c r="AN123" s="11" t="str">
        <f t="shared" si="122"/>
        <v/>
      </c>
      <c r="AO123" s="11" t="str">
        <f t="shared" si="122"/>
        <v/>
      </c>
      <c r="AP123" s="21" t="str">
        <f t="shared" si="119"/>
        <v/>
      </c>
    </row>
    <row r="124" ht="16.5" customHeight="1">
      <c r="A124" s="32" t="s">
        <v>2697</v>
      </c>
      <c r="B124" s="32" t="s">
        <v>2697</v>
      </c>
      <c r="C124" s="32" t="s">
        <v>2702</v>
      </c>
      <c r="D124" s="32" t="s">
        <v>2703</v>
      </c>
      <c r="E124" s="36"/>
      <c r="F124" s="4"/>
      <c r="G124" s="4"/>
      <c r="H124" s="4"/>
      <c r="K124" s="18"/>
      <c r="L124" s="33"/>
      <c r="M124" s="20"/>
      <c r="N124" s="20"/>
      <c r="O124" s="20"/>
      <c r="P124" s="20"/>
      <c r="Q124" s="20"/>
      <c r="R124" s="20"/>
      <c r="S124" s="20"/>
      <c r="T124" s="20"/>
      <c r="U124" s="34"/>
      <c r="AF124" s="11" t="str">
        <f t="shared" si="117"/>
        <v/>
      </c>
      <c r="AG124" s="11" t="str">
        <f t="shared" ref="AG124:AO124" si="123">if(not(isblank(M124)),", "&amp;M124,"")</f>
        <v/>
      </c>
      <c r="AH124" s="11" t="str">
        <f t="shared" si="123"/>
        <v/>
      </c>
      <c r="AI124" s="11" t="str">
        <f t="shared" si="123"/>
        <v/>
      </c>
      <c r="AJ124" s="11" t="str">
        <f t="shared" si="123"/>
        <v/>
      </c>
      <c r="AK124" s="11" t="str">
        <f t="shared" si="123"/>
        <v/>
      </c>
      <c r="AL124" s="11" t="str">
        <f t="shared" si="123"/>
        <v/>
      </c>
      <c r="AM124" s="11" t="str">
        <f t="shared" si="123"/>
        <v/>
      </c>
      <c r="AN124" s="11" t="str">
        <f t="shared" si="123"/>
        <v/>
      </c>
      <c r="AO124" s="11" t="str">
        <f t="shared" si="123"/>
        <v/>
      </c>
      <c r="AP124" s="21" t="str">
        <f t="shared" si="119"/>
        <v/>
      </c>
    </row>
    <row r="125" ht="16.5" customHeight="1">
      <c r="A125" s="32" t="s">
        <v>2697</v>
      </c>
      <c r="B125" s="32" t="s">
        <v>2697</v>
      </c>
      <c r="C125" s="32" t="s">
        <v>2704</v>
      </c>
      <c r="D125" s="32" t="s">
        <v>2705</v>
      </c>
      <c r="E125" s="36"/>
      <c r="F125" s="4"/>
      <c r="G125" s="4"/>
      <c r="H125" s="4"/>
      <c r="K125" s="18"/>
      <c r="L125" s="33"/>
      <c r="M125" s="20"/>
      <c r="N125" s="20"/>
      <c r="O125" s="20"/>
      <c r="P125" s="20"/>
      <c r="Q125" s="20"/>
      <c r="R125" s="20"/>
      <c r="S125" s="20"/>
      <c r="T125" s="20"/>
      <c r="U125" s="34"/>
      <c r="AF125" s="11" t="str">
        <f t="shared" si="117"/>
        <v/>
      </c>
      <c r="AG125" s="11" t="str">
        <f t="shared" ref="AG125:AO125" si="124">if(not(isblank(M125)),", "&amp;M125,"")</f>
        <v/>
      </c>
      <c r="AH125" s="11" t="str">
        <f t="shared" si="124"/>
        <v/>
      </c>
      <c r="AI125" s="11" t="str">
        <f t="shared" si="124"/>
        <v/>
      </c>
      <c r="AJ125" s="11" t="str">
        <f t="shared" si="124"/>
        <v/>
      </c>
      <c r="AK125" s="11" t="str">
        <f t="shared" si="124"/>
        <v/>
      </c>
      <c r="AL125" s="11" t="str">
        <f t="shared" si="124"/>
        <v/>
      </c>
      <c r="AM125" s="11" t="str">
        <f t="shared" si="124"/>
        <v/>
      </c>
      <c r="AN125" s="11" t="str">
        <f t="shared" si="124"/>
        <v/>
      </c>
      <c r="AO125" s="11" t="str">
        <f t="shared" si="124"/>
        <v/>
      </c>
      <c r="AP125" s="21" t="str">
        <f t="shared" si="119"/>
        <v/>
      </c>
    </row>
    <row r="126" ht="16.5" customHeight="1">
      <c r="A126" s="32" t="s">
        <v>2697</v>
      </c>
      <c r="B126" s="32" t="s">
        <v>2697</v>
      </c>
      <c r="C126" s="32" t="s">
        <v>2706</v>
      </c>
      <c r="D126" s="32" t="s">
        <v>2707</v>
      </c>
      <c r="E126" s="36"/>
      <c r="F126" s="4"/>
      <c r="G126" s="4"/>
      <c r="H126" s="4"/>
      <c r="K126" s="18"/>
      <c r="L126" s="33"/>
      <c r="M126" s="20"/>
      <c r="N126" s="20"/>
      <c r="O126" s="20"/>
      <c r="P126" s="20"/>
      <c r="Q126" s="20"/>
      <c r="R126" s="20"/>
      <c r="S126" s="20"/>
      <c r="T126" s="20"/>
      <c r="U126" s="34"/>
      <c r="AF126" s="11" t="str">
        <f t="shared" si="117"/>
        <v/>
      </c>
      <c r="AG126" s="11" t="str">
        <f t="shared" ref="AG126:AO126" si="125">if(not(isblank(M126)),", "&amp;M126,"")</f>
        <v/>
      </c>
      <c r="AH126" s="11" t="str">
        <f t="shared" si="125"/>
        <v/>
      </c>
      <c r="AI126" s="11" t="str">
        <f t="shared" si="125"/>
        <v/>
      </c>
      <c r="AJ126" s="11" t="str">
        <f t="shared" si="125"/>
        <v/>
      </c>
      <c r="AK126" s="11" t="str">
        <f t="shared" si="125"/>
        <v/>
      </c>
      <c r="AL126" s="11" t="str">
        <f t="shared" si="125"/>
        <v/>
      </c>
      <c r="AM126" s="11" t="str">
        <f t="shared" si="125"/>
        <v/>
      </c>
      <c r="AN126" s="11" t="str">
        <f t="shared" si="125"/>
        <v/>
      </c>
      <c r="AO126" s="11" t="str">
        <f t="shared" si="125"/>
        <v/>
      </c>
      <c r="AP126" s="21" t="str">
        <f t="shared" si="119"/>
        <v/>
      </c>
    </row>
    <row r="127" ht="16.5" customHeight="1">
      <c r="A127" s="32" t="s">
        <v>2697</v>
      </c>
      <c r="B127" s="32" t="s">
        <v>2697</v>
      </c>
      <c r="C127" s="32" t="s">
        <v>2708</v>
      </c>
      <c r="D127" s="32" t="s">
        <v>2709</v>
      </c>
      <c r="E127" s="36"/>
      <c r="F127" s="4"/>
      <c r="G127" s="4"/>
      <c r="H127" s="4"/>
      <c r="K127" s="18"/>
      <c r="L127" s="33"/>
      <c r="M127" s="20"/>
      <c r="N127" s="20"/>
      <c r="O127" s="20"/>
      <c r="P127" s="20"/>
      <c r="Q127" s="20"/>
      <c r="R127" s="20"/>
      <c r="S127" s="20"/>
      <c r="T127" s="20"/>
      <c r="U127" s="34"/>
      <c r="AF127" s="11" t="str">
        <f t="shared" si="117"/>
        <v/>
      </c>
      <c r="AG127" s="11" t="str">
        <f t="shared" ref="AG127:AO127" si="126">if(not(isblank(M127)),", "&amp;M127,"")</f>
        <v/>
      </c>
      <c r="AH127" s="11" t="str">
        <f t="shared" si="126"/>
        <v/>
      </c>
      <c r="AI127" s="11" t="str">
        <f t="shared" si="126"/>
        <v/>
      </c>
      <c r="AJ127" s="11" t="str">
        <f t="shared" si="126"/>
        <v/>
      </c>
      <c r="AK127" s="11" t="str">
        <f t="shared" si="126"/>
        <v/>
      </c>
      <c r="AL127" s="11" t="str">
        <f t="shared" si="126"/>
        <v/>
      </c>
      <c r="AM127" s="11" t="str">
        <f t="shared" si="126"/>
        <v/>
      </c>
      <c r="AN127" s="11" t="str">
        <f t="shared" si="126"/>
        <v/>
      </c>
      <c r="AO127" s="11" t="str">
        <f t="shared" si="126"/>
        <v/>
      </c>
      <c r="AP127" s="21" t="str">
        <f t="shared" si="119"/>
        <v/>
      </c>
    </row>
    <row r="128" ht="16.5" customHeight="1">
      <c r="A128" s="32" t="s">
        <v>2697</v>
      </c>
      <c r="B128" s="32" t="s">
        <v>2697</v>
      </c>
      <c r="C128" s="32" t="s">
        <v>2710</v>
      </c>
      <c r="D128" s="32" t="s">
        <v>2711</v>
      </c>
      <c r="E128" s="36"/>
      <c r="F128" s="4"/>
      <c r="G128" s="4"/>
      <c r="H128" s="4"/>
      <c r="K128" s="18"/>
      <c r="L128" s="33"/>
      <c r="M128" s="20"/>
      <c r="N128" s="20"/>
      <c r="O128" s="20"/>
      <c r="P128" s="20"/>
      <c r="Q128" s="20"/>
      <c r="R128" s="20"/>
      <c r="S128" s="20"/>
      <c r="T128" s="20"/>
      <c r="U128" s="34"/>
      <c r="AF128" s="11" t="str">
        <f t="shared" si="117"/>
        <v/>
      </c>
      <c r="AG128" s="11" t="str">
        <f t="shared" ref="AG128:AO128" si="127">if(not(isblank(M128)),", "&amp;M128,"")</f>
        <v/>
      </c>
      <c r="AH128" s="11" t="str">
        <f t="shared" si="127"/>
        <v/>
      </c>
      <c r="AI128" s="11" t="str">
        <f t="shared" si="127"/>
        <v/>
      </c>
      <c r="AJ128" s="11" t="str">
        <f t="shared" si="127"/>
        <v/>
      </c>
      <c r="AK128" s="11" t="str">
        <f t="shared" si="127"/>
        <v/>
      </c>
      <c r="AL128" s="11" t="str">
        <f t="shared" si="127"/>
        <v/>
      </c>
      <c r="AM128" s="11" t="str">
        <f t="shared" si="127"/>
        <v/>
      </c>
      <c r="AN128" s="11" t="str">
        <f t="shared" si="127"/>
        <v/>
      </c>
      <c r="AO128" s="11" t="str">
        <f t="shared" si="127"/>
        <v/>
      </c>
      <c r="AP128" s="21" t="str">
        <f t="shared" si="119"/>
        <v/>
      </c>
    </row>
    <row r="129" ht="16.5" customHeight="1">
      <c r="A129" s="32" t="s">
        <v>2697</v>
      </c>
      <c r="B129" s="32" t="s">
        <v>2697</v>
      </c>
      <c r="C129" s="32" t="s">
        <v>2712</v>
      </c>
      <c r="D129" s="32" t="s">
        <v>2713</v>
      </c>
      <c r="E129" s="36"/>
      <c r="F129" s="4"/>
      <c r="G129" s="4"/>
      <c r="H129" s="4"/>
      <c r="K129" s="18"/>
      <c r="L129" s="33"/>
      <c r="M129" s="20"/>
      <c r="N129" s="20"/>
      <c r="O129" s="20"/>
      <c r="P129" s="20"/>
      <c r="Q129" s="20"/>
      <c r="R129" s="20"/>
      <c r="S129" s="20"/>
      <c r="T129" s="20"/>
      <c r="U129" s="34"/>
      <c r="AF129" s="11" t="str">
        <f t="shared" si="117"/>
        <v/>
      </c>
      <c r="AG129" s="11" t="str">
        <f t="shared" ref="AG129:AO129" si="128">if(not(isblank(M129)),", "&amp;M129,"")</f>
        <v/>
      </c>
      <c r="AH129" s="11" t="str">
        <f t="shared" si="128"/>
        <v/>
      </c>
      <c r="AI129" s="11" t="str">
        <f t="shared" si="128"/>
        <v/>
      </c>
      <c r="AJ129" s="11" t="str">
        <f t="shared" si="128"/>
        <v/>
      </c>
      <c r="AK129" s="11" t="str">
        <f t="shared" si="128"/>
        <v/>
      </c>
      <c r="AL129" s="11" t="str">
        <f t="shared" si="128"/>
        <v/>
      </c>
      <c r="AM129" s="11" t="str">
        <f t="shared" si="128"/>
        <v/>
      </c>
      <c r="AN129" s="11" t="str">
        <f t="shared" si="128"/>
        <v/>
      </c>
      <c r="AO129" s="11" t="str">
        <f t="shared" si="128"/>
        <v/>
      </c>
      <c r="AP129" s="21" t="str">
        <f t="shared" si="119"/>
        <v/>
      </c>
    </row>
    <row r="130" ht="16.5" customHeight="1">
      <c r="A130" s="32" t="s">
        <v>2697</v>
      </c>
      <c r="B130" s="32" t="s">
        <v>2697</v>
      </c>
      <c r="C130" s="32" t="s">
        <v>2714</v>
      </c>
      <c r="D130" s="32" t="s">
        <v>2715</v>
      </c>
      <c r="E130" s="36"/>
      <c r="F130" s="4"/>
      <c r="G130" s="4"/>
      <c r="H130" s="4"/>
      <c r="K130" s="18"/>
      <c r="L130" s="33"/>
      <c r="M130" s="20"/>
      <c r="N130" s="20"/>
      <c r="O130" s="20"/>
      <c r="P130" s="20"/>
      <c r="Q130" s="20"/>
      <c r="R130" s="20"/>
      <c r="S130" s="20"/>
      <c r="T130" s="20"/>
      <c r="U130" s="34"/>
      <c r="AF130" s="11" t="str">
        <f t="shared" si="117"/>
        <v/>
      </c>
      <c r="AG130" s="11" t="str">
        <f t="shared" ref="AG130:AO130" si="129">if(not(isblank(M130)),", "&amp;M130,"")</f>
        <v/>
      </c>
      <c r="AH130" s="11" t="str">
        <f t="shared" si="129"/>
        <v/>
      </c>
      <c r="AI130" s="11" t="str">
        <f t="shared" si="129"/>
        <v/>
      </c>
      <c r="AJ130" s="11" t="str">
        <f t="shared" si="129"/>
        <v/>
      </c>
      <c r="AK130" s="11" t="str">
        <f t="shared" si="129"/>
        <v/>
      </c>
      <c r="AL130" s="11" t="str">
        <f t="shared" si="129"/>
        <v/>
      </c>
      <c r="AM130" s="11" t="str">
        <f t="shared" si="129"/>
        <v/>
      </c>
      <c r="AN130" s="11" t="str">
        <f t="shared" si="129"/>
        <v/>
      </c>
      <c r="AO130" s="11" t="str">
        <f t="shared" si="129"/>
        <v/>
      </c>
      <c r="AP130" s="21" t="str">
        <f t="shared" si="119"/>
        <v/>
      </c>
    </row>
    <row r="131" ht="16.5" customHeight="1">
      <c r="A131" s="32" t="s">
        <v>2697</v>
      </c>
      <c r="B131" s="32" t="s">
        <v>2697</v>
      </c>
      <c r="C131" s="32" t="s">
        <v>2716</v>
      </c>
      <c r="D131" s="32" t="s">
        <v>2717</v>
      </c>
      <c r="E131" s="36"/>
      <c r="F131" s="4"/>
      <c r="G131" s="4"/>
      <c r="H131" s="4"/>
      <c r="K131" s="18"/>
      <c r="L131" s="33"/>
      <c r="M131" s="20"/>
      <c r="N131" s="20"/>
      <c r="O131" s="20"/>
      <c r="P131" s="20"/>
      <c r="Q131" s="20"/>
      <c r="R131" s="20"/>
      <c r="S131" s="20"/>
      <c r="T131" s="20"/>
      <c r="U131" s="34"/>
      <c r="AF131" s="11" t="str">
        <f t="shared" si="117"/>
        <v/>
      </c>
      <c r="AG131" s="11" t="str">
        <f t="shared" ref="AG131:AO131" si="130">if(not(isblank(M131)),", "&amp;M131,"")</f>
        <v/>
      </c>
      <c r="AH131" s="11" t="str">
        <f t="shared" si="130"/>
        <v/>
      </c>
      <c r="AI131" s="11" t="str">
        <f t="shared" si="130"/>
        <v/>
      </c>
      <c r="AJ131" s="11" t="str">
        <f t="shared" si="130"/>
        <v/>
      </c>
      <c r="AK131" s="11" t="str">
        <f t="shared" si="130"/>
        <v/>
      </c>
      <c r="AL131" s="11" t="str">
        <f t="shared" si="130"/>
        <v/>
      </c>
      <c r="AM131" s="11" t="str">
        <f t="shared" si="130"/>
        <v/>
      </c>
      <c r="AN131" s="11" t="str">
        <f t="shared" si="130"/>
        <v/>
      </c>
      <c r="AO131" s="11" t="str">
        <f t="shared" si="130"/>
        <v/>
      </c>
      <c r="AP131" s="21" t="str">
        <f t="shared" si="119"/>
        <v/>
      </c>
    </row>
    <row r="132" ht="16.5" customHeight="1">
      <c r="A132" s="32" t="s">
        <v>2697</v>
      </c>
      <c r="B132" s="32" t="s">
        <v>2697</v>
      </c>
      <c r="C132" s="32" t="s">
        <v>2718</v>
      </c>
      <c r="D132" s="32" t="s">
        <v>2719</v>
      </c>
      <c r="E132" s="36"/>
      <c r="F132" s="4"/>
      <c r="G132" s="4"/>
      <c r="H132" s="4"/>
      <c r="K132" s="18"/>
      <c r="L132" s="33"/>
      <c r="M132" s="20"/>
      <c r="N132" s="20"/>
      <c r="O132" s="20"/>
      <c r="P132" s="20"/>
      <c r="Q132" s="20"/>
      <c r="R132" s="20"/>
      <c r="S132" s="20"/>
      <c r="T132" s="20"/>
      <c r="U132" s="34"/>
      <c r="AF132" s="11" t="str">
        <f t="shared" si="117"/>
        <v/>
      </c>
      <c r="AG132" s="11" t="str">
        <f t="shared" ref="AG132:AO132" si="131">if(not(isblank(M132)),", "&amp;M132,"")</f>
        <v/>
      </c>
      <c r="AH132" s="11" t="str">
        <f t="shared" si="131"/>
        <v/>
      </c>
      <c r="AI132" s="11" t="str">
        <f t="shared" si="131"/>
        <v/>
      </c>
      <c r="AJ132" s="11" t="str">
        <f t="shared" si="131"/>
        <v/>
      </c>
      <c r="AK132" s="11" t="str">
        <f t="shared" si="131"/>
        <v/>
      </c>
      <c r="AL132" s="11" t="str">
        <f t="shared" si="131"/>
        <v/>
      </c>
      <c r="AM132" s="11" t="str">
        <f t="shared" si="131"/>
        <v/>
      </c>
      <c r="AN132" s="11" t="str">
        <f t="shared" si="131"/>
        <v/>
      </c>
      <c r="AO132" s="11" t="str">
        <f t="shared" si="131"/>
        <v/>
      </c>
      <c r="AP132" s="21" t="str">
        <f t="shared" si="119"/>
        <v/>
      </c>
    </row>
    <row r="133" ht="16.5" customHeight="1">
      <c r="A133" s="32" t="s">
        <v>2697</v>
      </c>
      <c r="B133" s="32" t="s">
        <v>2697</v>
      </c>
      <c r="C133" s="32" t="s">
        <v>2720</v>
      </c>
      <c r="D133" s="32" t="s">
        <v>2721</v>
      </c>
      <c r="E133" s="36"/>
      <c r="F133" s="4"/>
      <c r="G133" s="4"/>
      <c r="H133" s="4"/>
      <c r="K133" s="18"/>
      <c r="L133" s="33"/>
      <c r="M133" s="20"/>
      <c r="N133" s="20"/>
      <c r="O133" s="20"/>
      <c r="P133" s="20"/>
      <c r="Q133" s="20"/>
      <c r="R133" s="20"/>
      <c r="S133" s="20"/>
      <c r="T133" s="20"/>
      <c r="U133" s="34"/>
      <c r="AF133" s="11" t="str">
        <f t="shared" si="117"/>
        <v/>
      </c>
      <c r="AG133" s="11" t="str">
        <f t="shared" ref="AG133:AO133" si="132">if(not(isblank(M133)),", "&amp;M133,"")</f>
        <v/>
      </c>
      <c r="AH133" s="11" t="str">
        <f t="shared" si="132"/>
        <v/>
      </c>
      <c r="AI133" s="11" t="str">
        <f t="shared" si="132"/>
        <v/>
      </c>
      <c r="AJ133" s="11" t="str">
        <f t="shared" si="132"/>
        <v/>
      </c>
      <c r="AK133" s="11" t="str">
        <f t="shared" si="132"/>
        <v/>
      </c>
      <c r="AL133" s="11" t="str">
        <f t="shared" si="132"/>
        <v/>
      </c>
      <c r="AM133" s="11" t="str">
        <f t="shared" si="132"/>
        <v/>
      </c>
      <c r="AN133" s="11" t="str">
        <f t="shared" si="132"/>
        <v/>
      </c>
      <c r="AO133" s="11" t="str">
        <f t="shared" si="132"/>
        <v/>
      </c>
      <c r="AP133" s="21" t="str">
        <f t="shared" si="119"/>
        <v/>
      </c>
    </row>
    <row r="134" ht="16.5" customHeight="1">
      <c r="A134" s="32" t="s">
        <v>2697</v>
      </c>
      <c r="B134" s="32" t="s">
        <v>2697</v>
      </c>
      <c r="C134" s="32" t="s">
        <v>2722</v>
      </c>
      <c r="D134" s="32" t="s">
        <v>2723</v>
      </c>
      <c r="E134" s="36"/>
      <c r="F134" s="4"/>
      <c r="G134" s="4"/>
      <c r="H134" s="4"/>
      <c r="K134" s="18"/>
      <c r="L134" s="33"/>
      <c r="M134" s="20"/>
      <c r="N134" s="20"/>
      <c r="O134" s="20"/>
      <c r="P134" s="20"/>
      <c r="Q134" s="20"/>
      <c r="R134" s="20"/>
      <c r="S134" s="20"/>
      <c r="T134" s="20"/>
      <c r="U134" s="34"/>
      <c r="AF134" s="11" t="str">
        <f t="shared" si="117"/>
        <v/>
      </c>
      <c r="AG134" s="11" t="str">
        <f t="shared" ref="AG134:AO134" si="133">if(not(isblank(M134)),", "&amp;M134,"")</f>
        <v/>
      </c>
      <c r="AH134" s="11" t="str">
        <f t="shared" si="133"/>
        <v/>
      </c>
      <c r="AI134" s="11" t="str">
        <f t="shared" si="133"/>
        <v/>
      </c>
      <c r="AJ134" s="11" t="str">
        <f t="shared" si="133"/>
        <v/>
      </c>
      <c r="AK134" s="11" t="str">
        <f t="shared" si="133"/>
        <v/>
      </c>
      <c r="AL134" s="11" t="str">
        <f t="shared" si="133"/>
        <v/>
      </c>
      <c r="AM134" s="11" t="str">
        <f t="shared" si="133"/>
        <v/>
      </c>
      <c r="AN134" s="11" t="str">
        <f t="shared" si="133"/>
        <v/>
      </c>
      <c r="AO134" s="11" t="str">
        <f t="shared" si="133"/>
        <v/>
      </c>
      <c r="AP134" s="21" t="str">
        <f t="shared" si="119"/>
        <v/>
      </c>
    </row>
    <row r="135" ht="16.5" customHeight="1">
      <c r="A135" s="32" t="s">
        <v>2697</v>
      </c>
      <c r="B135" s="32" t="s">
        <v>2697</v>
      </c>
      <c r="C135" s="32" t="s">
        <v>2724</v>
      </c>
      <c r="D135" s="32" t="s">
        <v>2725</v>
      </c>
      <c r="E135" s="36"/>
      <c r="F135" s="4"/>
      <c r="G135" s="4"/>
      <c r="H135" s="4"/>
      <c r="K135" s="18"/>
      <c r="L135" s="33"/>
      <c r="M135" s="20"/>
      <c r="N135" s="20"/>
      <c r="O135" s="20"/>
      <c r="P135" s="20"/>
      <c r="Q135" s="20"/>
      <c r="R135" s="20"/>
      <c r="S135" s="20"/>
      <c r="T135" s="20"/>
      <c r="U135" s="34"/>
      <c r="AF135" s="11" t="str">
        <f t="shared" si="117"/>
        <v/>
      </c>
      <c r="AG135" s="11" t="str">
        <f t="shared" ref="AG135:AO135" si="134">if(not(isblank(M135)),", "&amp;M135,"")</f>
        <v/>
      </c>
      <c r="AH135" s="11" t="str">
        <f t="shared" si="134"/>
        <v/>
      </c>
      <c r="AI135" s="11" t="str">
        <f t="shared" si="134"/>
        <v/>
      </c>
      <c r="AJ135" s="11" t="str">
        <f t="shared" si="134"/>
        <v/>
      </c>
      <c r="AK135" s="11" t="str">
        <f t="shared" si="134"/>
        <v/>
      </c>
      <c r="AL135" s="11" t="str">
        <f t="shared" si="134"/>
        <v/>
      </c>
      <c r="AM135" s="11" t="str">
        <f t="shared" si="134"/>
        <v/>
      </c>
      <c r="AN135" s="11" t="str">
        <f t="shared" si="134"/>
        <v/>
      </c>
      <c r="AO135" s="11" t="str">
        <f t="shared" si="134"/>
        <v/>
      </c>
      <c r="AP135" s="21" t="str">
        <f t="shared" si="119"/>
        <v/>
      </c>
    </row>
    <row r="136" ht="16.5" customHeight="1">
      <c r="A136" s="32" t="s">
        <v>2697</v>
      </c>
      <c r="B136" s="32" t="s">
        <v>2697</v>
      </c>
      <c r="C136" s="32" t="s">
        <v>2726</v>
      </c>
      <c r="D136" s="32" t="s">
        <v>2727</v>
      </c>
      <c r="E136" s="36"/>
      <c r="F136" s="4"/>
      <c r="G136" s="4"/>
      <c r="H136" s="4"/>
      <c r="K136" s="18"/>
      <c r="L136" s="33"/>
      <c r="M136" s="20"/>
      <c r="N136" s="20"/>
      <c r="O136" s="20"/>
      <c r="P136" s="20"/>
      <c r="Q136" s="20"/>
      <c r="R136" s="20"/>
      <c r="S136" s="20"/>
      <c r="T136" s="20"/>
      <c r="U136" s="34"/>
      <c r="AF136" s="11" t="str">
        <f t="shared" si="117"/>
        <v/>
      </c>
      <c r="AG136" s="11" t="str">
        <f t="shared" ref="AG136:AO136" si="135">if(not(isblank(M136)),", "&amp;M136,"")</f>
        <v/>
      </c>
      <c r="AH136" s="11" t="str">
        <f t="shared" si="135"/>
        <v/>
      </c>
      <c r="AI136" s="11" t="str">
        <f t="shared" si="135"/>
        <v/>
      </c>
      <c r="AJ136" s="11" t="str">
        <f t="shared" si="135"/>
        <v/>
      </c>
      <c r="AK136" s="11" t="str">
        <f t="shared" si="135"/>
        <v/>
      </c>
      <c r="AL136" s="11" t="str">
        <f t="shared" si="135"/>
        <v/>
      </c>
      <c r="AM136" s="11" t="str">
        <f t="shared" si="135"/>
        <v/>
      </c>
      <c r="AN136" s="11" t="str">
        <f t="shared" si="135"/>
        <v/>
      </c>
      <c r="AO136" s="11" t="str">
        <f t="shared" si="135"/>
        <v/>
      </c>
      <c r="AP136" s="21" t="str">
        <f t="shared" si="119"/>
        <v/>
      </c>
    </row>
    <row r="137" ht="16.5" customHeight="1">
      <c r="A137" s="32" t="s">
        <v>2697</v>
      </c>
      <c r="B137" s="32" t="s">
        <v>2697</v>
      </c>
      <c r="C137" s="32" t="s">
        <v>2728</v>
      </c>
      <c r="D137" s="32" t="s">
        <v>2729</v>
      </c>
      <c r="E137" s="36"/>
      <c r="F137" s="4"/>
      <c r="G137" s="4"/>
      <c r="H137" s="4"/>
      <c r="K137" s="18"/>
      <c r="L137" s="33"/>
      <c r="M137" s="20"/>
      <c r="N137" s="20"/>
      <c r="O137" s="20"/>
      <c r="P137" s="20"/>
      <c r="Q137" s="20"/>
      <c r="R137" s="20"/>
      <c r="S137" s="20"/>
      <c r="T137" s="20"/>
      <c r="U137" s="34"/>
      <c r="AF137" s="11" t="str">
        <f t="shared" si="117"/>
        <v/>
      </c>
      <c r="AG137" s="11" t="str">
        <f t="shared" ref="AG137:AO137" si="136">if(not(isblank(M137)),", "&amp;M137,"")</f>
        <v/>
      </c>
      <c r="AH137" s="11" t="str">
        <f t="shared" si="136"/>
        <v/>
      </c>
      <c r="AI137" s="11" t="str">
        <f t="shared" si="136"/>
        <v/>
      </c>
      <c r="AJ137" s="11" t="str">
        <f t="shared" si="136"/>
        <v/>
      </c>
      <c r="AK137" s="11" t="str">
        <f t="shared" si="136"/>
        <v/>
      </c>
      <c r="AL137" s="11" t="str">
        <f t="shared" si="136"/>
        <v/>
      </c>
      <c r="AM137" s="11" t="str">
        <f t="shared" si="136"/>
        <v/>
      </c>
      <c r="AN137" s="11" t="str">
        <f t="shared" si="136"/>
        <v/>
      </c>
      <c r="AO137" s="11" t="str">
        <f t="shared" si="136"/>
        <v/>
      </c>
      <c r="AP137" s="21" t="str">
        <f t="shared" si="119"/>
        <v/>
      </c>
    </row>
    <row r="138" ht="16.5" customHeight="1">
      <c r="A138" s="32" t="s">
        <v>2697</v>
      </c>
      <c r="B138" s="32" t="s">
        <v>2697</v>
      </c>
      <c r="C138" s="32" t="s">
        <v>2730</v>
      </c>
      <c r="D138" s="32" t="s">
        <v>2731</v>
      </c>
      <c r="E138" s="36"/>
      <c r="F138" s="4"/>
      <c r="G138" s="4"/>
      <c r="H138" s="4"/>
      <c r="K138" s="18"/>
      <c r="L138" s="33"/>
      <c r="M138" s="20"/>
      <c r="N138" s="20"/>
      <c r="O138" s="20"/>
      <c r="P138" s="20"/>
      <c r="Q138" s="20"/>
      <c r="R138" s="20"/>
      <c r="S138" s="20"/>
      <c r="T138" s="20"/>
      <c r="U138" s="34"/>
      <c r="AF138" s="11" t="str">
        <f t="shared" si="117"/>
        <v/>
      </c>
      <c r="AG138" s="11" t="str">
        <f t="shared" ref="AG138:AO138" si="137">if(not(isblank(M138)),", "&amp;M138,"")</f>
        <v/>
      </c>
      <c r="AH138" s="11" t="str">
        <f t="shared" si="137"/>
        <v/>
      </c>
      <c r="AI138" s="11" t="str">
        <f t="shared" si="137"/>
        <v/>
      </c>
      <c r="AJ138" s="11" t="str">
        <f t="shared" si="137"/>
        <v/>
      </c>
      <c r="AK138" s="11" t="str">
        <f t="shared" si="137"/>
        <v/>
      </c>
      <c r="AL138" s="11" t="str">
        <f t="shared" si="137"/>
        <v/>
      </c>
      <c r="AM138" s="11" t="str">
        <f t="shared" si="137"/>
        <v/>
      </c>
      <c r="AN138" s="11" t="str">
        <f t="shared" si="137"/>
        <v/>
      </c>
      <c r="AO138" s="11" t="str">
        <f t="shared" si="137"/>
        <v/>
      </c>
      <c r="AP138" s="21" t="str">
        <f t="shared" si="119"/>
        <v/>
      </c>
    </row>
    <row r="139" ht="16.5" customHeight="1">
      <c r="A139" s="32" t="s">
        <v>2697</v>
      </c>
      <c r="B139" s="32" t="s">
        <v>2697</v>
      </c>
      <c r="C139" s="32" t="s">
        <v>2732</v>
      </c>
      <c r="D139" s="32" t="s">
        <v>2733</v>
      </c>
      <c r="E139" s="36"/>
      <c r="F139" s="4"/>
      <c r="G139" s="4"/>
      <c r="H139" s="4"/>
      <c r="K139" s="18"/>
      <c r="L139" s="33"/>
      <c r="M139" s="20"/>
      <c r="N139" s="20"/>
      <c r="O139" s="20"/>
      <c r="P139" s="20"/>
      <c r="Q139" s="20"/>
      <c r="R139" s="20"/>
      <c r="S139" s="20"/>
      <c r="T139" s="20"/>
      <c r="U139" s="34"/>
      <c r="AF139" s="11" t="str">
        <f t="shared" si="117"/>
        <v/>
      </c>
      <c r="AG139" s="11" t="str">
        <f t="shared" ref="AG139:AO139" si="138">if(not(isblank(M139)),", "&amp;M139,"")</f>
        <v/>
      </c>
      <c r="AH139" s="11" t="str">
        <f t="shared" si="138"/>
        <v/>
      </c>
      <c r="AI139" s="11" t="str">
        <f t="shared" si="138"/>
        <v/>
      </c>
      <c r="AJ139" s="11" t="str">
        <f t="shared" si="138"/>
        <v/>
      </c>
      <c r="AK139" s="11" t="str">
        <f t="shared" si="138"/>
        <v/>
      </c>
      <c r="AL139" s="11" t="str">
        <f t="shared" si="138"/>
        <v/>
      </c>
      <c r="AM139" s="11" t="str">
        <f t="shared" si="138"/>
        <v/>
      </c>
      <c r="AN139" s="11" t="str">
        <f t="shared" si="138"/>
        <v/>
      </c>
      <c r="AO139" s="11" t="str">
        <f t="shared" si="138"/>
        <v/>
      </c>
      <c r="AP139" s="21" t="str">
        <f t="shared" si="119"/>
        <v/>
      </c>
    </row>
    <row r="140" ht="16.5" customHeight="1">
      <c r="A140" s="32" t="s">
        <v>2697</v>
      </c>
      <c r="B140" s="32" t="s">
        <v>2697</v>
      </c>
      <c r="C140" s="32" t="s">
        <v>2734</v>
      </c>
      <c r="D140" s="32" t="s">
        <v>2735</v>
      </c>
      <c r="E140" s="36"/>
      <c r="F140" s="4"/>
      <c r="G140" s="4"/>
      <c r="H140" s="4"/>
      <c r="K140" s="18"/>
      <c r="L140" s="33"/>
      <c r="M140" s="20"/>
      <c r="N140" s="20"/>
      <c r="O140" s="20"/>
      <c r="P140" s="20"/>
      <c r="Q140" s="20"/>
      <c r="R140" s="20"/>
      <c r="S140" s="20"/>
      <c r="T140" s="20"/>
      <c r="U140" s="34"/>
      <c r="AF140" s="11" t="str">
        <f t="shared" si="117"/>
        <v/>
      </c>
      <c r="AG140" s="11" t="str">
        <f t="shared" ref="AG140:AO140" si="139">if(not(isblank(M140)),", "&amp;M140,"")</f>
        <v/>
      </c>
      <c r="AH140" s="11" t="str">
        <f t="shared" si="139"/>
        <v/>
      </c>
      <c r="AI140" s="11" t="str">
        <f t="shared" si="139"/>
        <v/>
      </c>
      <c r="AJ140" s="11" t="str">
        <f t="shared" si="139"/>
        <v/>
      </c>
      <c r="AK140" s="11" t="str">
        <f t="shared" si="139"/>
        <v/>
      </c>
      <c r="AL140" s="11" t="str">
        <f t="shared" si="139"/>
        <v/>
      </c>
      <c r="AM140" s="11" t="str">
        <f t="shared" si="139"/>
        <v/>
      </c>
      <c r="AN140" s="11" t="str">
        <f t="shared" si="139"/>
        <v/>
      </c>
      <c r="AO140" s="11" t="str">
        <f t="shared" si="139"/>
        <v/>
      </c>
      <c r="AP140" s="21" t="str">
        <f t="shared" si="119"/>
        <v/>
      </c>
    </row>
    <row r="141" ht="16.5" customHeight="1">
      <c r="A141" s="32" t="s">
        <v>2697</v>
      </c>
      <c r="B141" s="32" t="s">
        <v>2697</v>
      </c>
      <c r="C141" s="32" t="s">
        <v>2736</v>
      </c>
      <c r="D141" s="32" t="s">
        <v>2737</v>
      </c>
      <c r="E141" s="36"/>
      <c r="F141" s="4"/>
      <c r="G141" s="4"/>
      <c r="H141" s="4"/>
      <c r="K141" s="18"/>
      <c r="L141" s="33"/>
      <c r="M141" s="20"/>
      <c r="N141" s="20"/>
      <c r="O141" s="20"/>
      <c r="P141" s="20"/>
      <c r="Q141" s="20"/>
      <c r="R141" s="20"/>
      <c r="S141" s="20"/>
      <c r="T141" s="20"/>
      <c r="U141" s="34"/>
      <c r="AF141" s="11" t="str">
        <f t="shared" si="117"/>
        <v/>
      </c>
      <c r="AG141" s="11" t="str">
        <f t="shared" ref="AG141:AO141" si="140">if(not(isblank(M141)),", "&amp;M141,"")</f>
        <v/>
      </c>
      <c r="AH141" s="11" t="str">
        <f t="shared" si="140"/>
        <v/>
      </c>
      <c r="AI141" s="11" t="str">
        <f t="shared" si="140"/>
        <v/>
      </c>
      <c r="AJ141" s="11" t="str">
        <f t="shared" si="140"/>
        <v/>
      </c>
      <c r="AK141" s="11" t="str">
        <f t="shared" si="140"/>
        <v/>
      </c>
      <c r="AL141" s="11" t="str">
        <f t="shared" si="140"/>
        <v/>
      </c>
      <c r="AM141" s="11" t="str">
        <f t="shared" si="140"/>
        <v/>
      </c>
      <c r="AN141" s="11" t="str">
        <f t="shared" si="140"/>
        <v/>
      </c>
      <c r="AO141" s="11" t="str">
        <f t="shared" si="140"/>
        <v/>
      </c>
      <c r="AP141" s="21" t="str">
        <f t="shared" si="119"/>
        <v/>
      </c>
    </row>
    <row r="142" ht="16.5" customHeight="1">
      <c r="A142" s="32" t="s">
        <v>2697</v>
      </c>
      <c r="B142" s="32" t="s">
        <v>2697</v>
      </c>
      <c r="C142" s="32" t="s">
        <v>2738</v>
      </c>
      <c r="D142" s="32" t="s">
        <v>2739</v>
      </c>
      <c r="E142" s="36"/>
      <c r="F142" s="4"/>
      <c r="G142" s="4"/>
      <c r="H142" s="4"/>
      <c r="K142" s="18"/>
      <c r="L142" s="33"/>
      <c r="M142" s="20"/>
      <c r="N142" s="20"/>
      <c r="O142" s="20"/>
      <c r="P142" s="20"/>
      <c r="Q142" s="20"/>
      <c r="R142" s="20"/>
      <c r="S142" s="20"/>
      <c r="T142" s="20"/>
      <c r="U142" s="34"/>
      <c r="AF142" s="11" t="str">
        <f t="shared" si="117"/>
        <v/>
      </c>
      <c r="AG142" s="11" t="str">
        <f t="shared" ref="AG142:AO142" si="141">if(not(isblank(M142)),", "&amp;M142,"")</f>
        <v/>
      </c>
      <c r="AH142" s="11" t="str">
        <f t="shared" si="141"/>
        <v/>
      </c>
      <c r="AI142" s="11" t="str">
        <f t="shared" si="141"/>
        <v/>
      </c>
      <c r="AJ142" s="11" t="str">
        <f t="shared" si="141"/>
        <v/>
      </c>
      <c r="AK142" s="11" t="str">
        <f t="shared" si="141"/>
        <v/>
      </c>
      <c r="AL142" s="11" t="str">
        <f t="shared" si="141"/>
        <v/>
      </c>
      <c r="AM142" s="11" t="str">
        <f t="shared" si="141"/>
        <v/>
      </c>
      <c r="AN142" s="11" t="str">
        <f t="shared" si="141"/>
        <v/>
      </c>
      <c r="AO142" s="11" t="str">
        <f t="shared" si="141"/>
        <v/>
      </c>
      <c r="AP142" s="21" t="str">
        <f t="shared" si="119"/>
        <v/>
      </c>
    </row>
    <row r="143" ht="16.5" customHeight="1">
      <c r="A143" s="32" t="s">
        <v>2697</v>
      </c>
      <c r="B143" s="32" t="s">
        <v>2697</v>
      </c>
      <c r="C143" s="32" t="s">
        <v>2740</v>
      </c>
      <c r="D143" s="32" t="s">
        <v>2741</v>
      </c>
      <c r="E143" s="36"/>
      <c r="F143" s="4"/>
      <c r="G143" s="4"/>
      <c r="H143" s="4"/>
      <c r="K143" s="18"/>
      <c r="L143" s="33"/>
      <c r="M143" s="20"/>
      <c r="N143" s="20"/>
      <c r="O143" s="20"/>
      <c r="P143" s="20"/>
      <c r="Q143" s="20"/>
      <c r="R143" s="20"/>
      <c r="S143" s="20"/>
      <c r="T143" s="20"/>
      <c r="U143" s="34"/>
      <c r="AF143" s="11" t="str">
        <f t="shared" si="117"/>
        <v/>
      </c>
      <c r="AG143" s="11" t="str">
        <f t="shared" ref="AG143:AO143" si="142">if(not(isblank(M143)),", "&amp;M143,"")</f>
        <v/>
      </c>
      <c r="AH143" s="11" t="str">
        <f t="shared" si="142"/>
        <v/>
      </c>
      <c r="AI143" s="11" t="str">
        <f t="shared" si="142"/>
        <v/>
      </c>
      <c r="AJ143" s="11" t="str">
        <f t="shared" si="142"/>
        <v/>
      </c>
      <c r="AK143" s="11" t="str">
        <f t="shared" si="142"/>
        <v/>
      </c>
      <c r="AL143" s="11" t="str">
        <f t="shared" si="142"/>
        <v/>
      </c>
      <c r="AM143" s="11" t="str">
        <f t="shared" si="142"/>
        <v/>
      </c>
      <c r="AN143" s="11" t="str">
        <f t="shared" si="142"/>
        <v/>
      </c>
      <c r="AO143" s="11" t="str">
        <f t="shared" si="142"/>
        <v/>
      </c>
      <c r="AP143" s="21" t="str">
        <f t="shared" si="119"/>
        <v/>
      </c>
    </row>
    <row r="144" ht="16.5" customHeight="1">
      <c r="A144" s="32" t="s">
        <v>2697</v>
      </c>
      <c r="B144" s="32" t="s">
        <v>2697</v>
      </c>
      <c r="C144" s="32" t="s">
        <v>2742</v>
      </c>
      <c r="D144" s="32" t="s">
        <v>2743</v>
      </c>
      <c r="E144" s="36"/>
      <c r="F144" s="4"/>
      <c r="G144" s="4"/>
      <c r="H144" s="4"/>
      <c r="K144" s="18"/>
      <c r="L144" s="33"/>
      <c r="M144" s="20"/>
      <c r="N144" s="20"/>
      <c r="O144" s="20"/>
      <c r="P144" s="20"/>
      <c r="Q144" s="20"/>
      <c r="R144" s="20"/>
      <c r="S144" s="20"/>
      <c r="T144" s="20"/>
      <c r="U144" s="34"/>
      <c r="AF144" s="11" t="str">
        <f t="shared" si="117"/>
        <v/>
      </c>
      <c r="AG144" s="11" t="str">
        <f t="shared" ref="AG144:AO144" si="143">if(not(isblank(M144)),", "&amp;M144,"")</f>
        <v/>
      </c>
      <c r="AH144" s="11" t="str">
        <f t="shared" si="143"/>
        <v/>
      </c>
      <c r="AI144" s="11" t="str">
        <f t="shared" si="143"/>
        <v/>
      </c>
      <c r="AJ144" s="11" t="str">
        <f t="shared" si="143"/>
        <v/>
      </c>
      <c r="AK144" s="11" t="str">
        <f t="shared" si="143"/>
        <v/>
      </c>
      <c r="AL144" s="11" t="str">
        <f t="shared" si="143"/>
        <v/>
      </c>
      <c r="AM144" s="11" t="str">
        <f t="shared" si="143"/>
        <v/>
      </c>
      <c r="AN144" s="11" t="str">
        <f t="shared" si="143"/>
        <v/>
      </c>
      <c r="AO144" s="11" t="str">
        <f t="shared" si="143"/>
        <v/>
      </c>
      <c r="AP144" s="21" t="str">
        <f t="shared" si="119"/>
        <v/>
      </c>
    </row>
    <row r="145" ht="16.5" customHeight="1">
      <c r="A145" s="32" t="s">
        <v>2697</v>
      </c>
      <c r="B145" s="32" t="s">
        <v>2697</v>
      </c>
      <c r="C145" s="32" t="s">
        <v>2744</v>
      </c>
      <c r="D145" s="32" t="s">
        <v>2745</v>
      </c>
      <c r="E145" s="36"/>
      <c r="F145" s="4"/>
      <c r="G145" s="4"/>
      <c r="H145" s="4"/>
      <c r="K145" s="18"/>
      <c r="L145" s="33"/>
      <c r="M145" s="20"/>
      <c r="N145" s="20"/>
      <c r="O145" s="20"/>
      <c r="P145" s="20"/>
      <c r="Q145" s="20"/>
      <c r="R145" s="20"/>
      <c r="S145" s="20"/>
      <c r="T145" s="20"/>
      <c r="U145" s="34"/>
      <c r="AF145" s="11" t="str">
        <f t="shared" si="117"/>
        <v/>
      </c>
      <c r="AG145" s="11" t="str">
        <f t="shared" ref="AG145:AO145" si="144">if(not(isblank(M145)),", "&amp;M145,"")</f>
        <v/>
      </c>
      <c r="AH145" s="11" t="str">
        <f t="shared" si="144"/>
        <v/>
      </c>
      <c r="AI145" s="11" t="str">
        <f t="shared" si="144"/>
        <v/>
      </c>
      <c r="AJ145" s="11" t="str">
        <f t="shared" si="144"/>
        <v/>
      </c>
      <c r="AK145" s="11" t="str">
        <f t="shared" si="144"/>
        <v/>
      </c>
      <c r="AL145" s="11" t="str">
        <f t="shared" si="144"/>
        <v/>
      </c>
      <c r="AM145" s="11" t="str">
        <f t="shared" si="144"/>
        <v/>
      </c>
      <c r="AN145" s="11" t="str">
        <f t="shared" si="144"/>
        <v/>
      </c>
      <c r="AO145" s="11" t="str">
        <f t="shared" si="144"/>
        <v/>
      </c>
      <c r="AP145" s="21" t="str">
        <f t="shared" si="119"/>
        <v/>
      </c>
    </row>
    <row r="146" ht="16.5" customHeight="1">
      <c r="A146" s="32" t="s">
        <v>2697</v>
      </c>
      <c r="B146" s="32" t="s">
        <v>2697</v>
      </c>
      <c r="C146" s="32" t="s">
        <v>2746</v>
      </c>
      <c r="D146" s="32" t="s">
        <v>2747</v>
      </c>
      <c r="E146" s="36"/>
      <c r="F146" s="4"/>
      <c r="G146" s="4"/>
      <c r="H146" s="4"/>
      <c r="K146" s="18"/>
      <c r="L146" s="33"/>
      <c r="M146" s="20"/>
      <c r="N146" s="20"/>
      <c r="O146" s="20"/>
      <c r="P146" s="20"/>
      <c r="Q146" s="20"/>
      <c r="R146" s="20"/>
      <c r="S146" s="20"/>
      <c r="T146" s="20"/>
      <c r="U146" s="34"/>
      <c r="AF146" s="11" t="str">
        <f t="shared" si="117"/>
        <v/>
      </c>
      <c r="AG146" s="11" t="str">
        <f t="shared" ref="AG146:AO146" si="145">if(not(isblank(M146)),", "&amp;M146,"")</f>
        <v/>
      </c>
      <c r="AH146" s="11" t="str">
        <f t="shared" si="145"/>
        <v/>
      </c>
      <c r="AI146" s="11" t="str">
        <f t="shared" si="145"/>
        <v/>
      </c>
      <c r="AJ146" s="11" t="str">
        <f t="shared" si="145"/>
        <v/>
      </c>
      <c r="AK146" s="11" t="str">
        <f t="shared" si="145"/>
        <v/>
      </c>
      <c r="AL146" s="11" t="str">
        <f t="shared" si="145"/>
        <v/>
      </c>
      <c r="AM146" s="11" t="str">
        <f t="shared" si="145"/>
        <v/>
      </c>
      <c r="AN146" s="11" t="str">
        <f t="shared" si="145"/>
        <v/>
      </c>
      <c r="AO146" s="11" t="str">
        <f t="shared" si="145"/>
        <v/>
      </c>
      <c r="AP146" s="21" t="str">
        <f t="shared" si="119"/>
        <v/>
      </c>
    </row>
    <row r="147" ht="16.5" customHeight="1">
      <c r="A147" s="32" t="s">
        <v>2697</v>
      </c>
      <c r="B147" s="32" t="s">
        <v>2697</v>
      </c>
      <c r="C147" s="32" t="s">
        <v>2748</v>
      </c>
      <c r="D147" s="32" t="s">
        <v>2749</v>
      </c>
      <c r="E147" s="36"/>
      <c r="F147" s="4"/>
      <c r="G147" s="4"/>
      <c r="H147" s="4"/>
      <c r="K147" s="18"/>
      <c r="L147" s="33"/>
      <c r="M147" s="20"/>
      <c r="N147" s="20"/>
      <c r="O147" s="20"/>
      <c r="P147" s="20"/>
      <c r="Q147" s="20"/>
      <c r="R147" s="20"/>
      <c r="S147" s="20"/>
      <c r="T147" s="20"/>
      <c r="U147" s="34"/>
      <c r="AF147" s="11" t="str">
        <f t="shared" si="117"/>
        <v/>
      </c>
      <c r="AG147" s="11" t="str">
        <f t="shared" ref="AG147:AO147" si="146">if(not(isblank(M147)),", "&amp;M147,"")</f>
        <v/>
      </c>
      <c r="AH147" s="11" t="str">
        <f t="shared" si="146"/>
        <v/>
      </c>
      <c r="AI147" s="11" t="str">
        <f t="shared" si="146"/>
        <v/>
      </c>
      <c r="AJ147" s="11" t="str">
        <f t="shared" si="146"/>
        <v/>
      </c>
      <c r="AK147" s="11" t="str">
        <f t="shared" si="146"/>
        <v/>
      </c>
      <c r="AL147" s="11" t="str">
        <f t="shared" si="146"/>
        <v/>
      </c>
      <c r="AM147" s="11" t="str">
        <f t="shared" si="146"/>
        <v/>
      </c>
      <c r="AN147" s="11" t="str">
        <f t="shared" si="146"/>
        <v/>
      </c>
      <c r="AO147" s="11" t="str">
        <f t="shared" si="146"/>
        <v/>
      </c>
      <c r="AP147" s="21" t="str">
        <f t="shared" si="119"/>
        <v/>
      </c>
    </row>
    <row r="148" ht="16.5" customHeight="1">
      <c r="A148" s="32" t="s">
        <v>2697</v>
      </c>
      <c r="B148" s="32" t="s">
        <v>2697</v>
      </c>
      <c r="C148" s="32" t="s">
        <v>2750</v>
      </c>
      <c r="D148" s="32" t="s">
        <v>2751</v>
      </c>
      <c r="E148" s="36"/>
      <c r="F148" s="4"/>
      <c r="G148" s="4"/>
      <c r="H148" s="4"/>
      <c r="K148" s="18"/>
      <c r="L148" s="33"/>
      <c r="M148" s="20"/>
      <c r="N148" s="20"/>
      <c r="O148" s="20"/>
      <c r="P148" s="20"/>
      <c r="Q148" s="20"/>
      <c r="R148" s="20"/>
      <c r="S148" s="20"/>
      <c r="T148" s="20"/>
      <c r="U148" s="34"/>
      <c r="AF148" s="11" t="str">
        <f t="shared" si="117"/>
        <v/>
      </c>
      <c r="AG148" s="11" t="str">
        <f t="shared" ref="AG148:AO148" si="147">if(not(isblank(M148)),", "&amp;M148,"")</f>
        <v/>
      </c>
      <c r="AH148" s="11" t="str">
        <f t="shared" si="147"/>
        <v/>
      </c>
      <c r="AI148" s="11" t="str">
        <f t="shared" si="147"/>
        <v/>
      </c>
      <c r="AJ148" s="11" t="str">
        <f t="shared" si="147"/>
        <v/>
      </c>
      <c r="AK148" s="11" t="str">
        <f t="shared" si="147"/>
        <v/>
      </c>
      <c r="AL148" s="11" t="str">
        <f t="shared" si="147"/>
        <v/>
      </c>
      <c r="AM148" s="11" t="str">
        <f t="shared" si="147"/>
        <v/>
      </c>
      <c r="AN148" s="11" t="str">
        <f t="shared" si="147"/>
        <v/>
      </c>
      <c r="AO148" s="11" t="str">
        <f t="shared" si="147"/>
        <v/>
      </c>
      <c r="AP148" s="21" t="str">
        <f t="shared" si="119"/>
        <v/>
      </c>
    </row>
    <row r="149" ht="16.5" customHeight="1">
      <c r="A149" s="32" t="s">
        <v>2697</v>
      </c>
      <c r="B149" s="32" t="s">
        <v>2697</v>
      </c>
      <c r="C149" s="32" t="s">
        <v>2752</v>
      </c>
      <c r="D149" s="32" t="s">
        <v>2753</v>
      </c>
      <c r="E149" s="36"/>
      <c r="F149" s="4"/>
      <c r="G149" s="4"/>
      <c r="H149" s="4"/>
      <c r="K149" s="18"/>
      <c r="L149" s="33"/>
      <c r="M149" s="20"/>
      <c r="N149" s="20"/>
      <c r="O149" s="20"/>
      <c r="P149" s="20"/>
      <c r="Q149" s="20"/>
      <c r="R149" s="20"/>
      <c r="S149" s="20"/>
      <c r="T149" s="20"/>
      <c r="U149" s="34"/>
      <c r="AF149" s="11" t="str">
        <f t="shared" si="117"/>
        <v/>
      </c>
      <c r="AG149" s="11" t="str">
        <f t="shared" ref="AG149:AO149" si="148">if(not(isblank(M149)),", "&amp;M149,"")</f>
        <v/>
      </c>
      <c r="AH149" s="11" t="str">
        <f t="shared" si="148"/>
        <v/>
      </c>
      <c r="AI149" s="11" t="str">
        <f t="shared" si="148"/>
        <v/>
      </c>
      <c r="AJ149" s="11" t="str">
        <f t="shared" si="148"/>
        <v/>
      </c>
      <c r="AK149" s="11" t="str">
        <f t="shared" si="148"/>
        <v/>
      </c>
      <c r="AL149" s="11" t="str">
        <f t="shared" si="148"/>
        <v/>
      </c>
      <c r="AM149" s="11" t="str">
        <f t="shared" si="148"/>
        <v/>
      </c>
      <c r="AN149" s="11" t="str">
        <f t="shared" si="148"/>
        <v/>
      </c>
      <c r="AO149" s="11" t="str">
        <f t="shared" si="148"/>
        <v/>
      </c>
      <c r="AP149" s="21" t="str">
        <f t="shared" si="119"/>
        <v/>
      </c>
    </row>
    <row r="150" ht="16.5" customHeight="1">
      <c r="A150" s="32" t="s">
        <v>2697</v>
      </c>
      <c r="B150" s="32" t="s">
        <v>2697</v>
      </c>
      <c r="C150" s="32" t="s">
        <v>2754</v>
      </c>
      <c r="D150" s="32" t="s">
        <v>2755</v>
      </c>
      <c r="E150" s="36"/>
      <c r="F150" s="4"/>
      <c r="G150" s="4"/>
      <c r="H150" s="4"/>
      <c r="K150" s="18"/>
      <c r="L150" s="33"/>
      <c r="M150" s="20"/>
      <c r="N150" s="20"/>
      <c r="O150" s="20"/>
      <c r="P150" s="20"/>
      <c r="Q150" s="20"/>
      <c r="R150" s="20"/>
      <c r="S150" s="20"/>
      <c r="T150" s="20"/>
      <c r="U150" s="34"/>
      <c r="AF150" s="11" t="str">
        <f t="shared" si="117"/>
        <v/>
      </c>
      <c r="AG150" s="11" t="str">
        <f t="shared" ref="AG150:AO150" si="149">if(not(isblank(M150)),", "&amp;M150,"")</f>
        <v/>
      </c>
      <c r="AH150" s="11" t="str">
        <f t="shared" si="149"/>
        <v/>
      </c>
      <c r="AI150" s="11" t="str">
        <f t="shared" si="149"/>
        <v/>
      </c>
      <c r="AJ150" s="11" t="str">
        <f t="shared" si="149"/>
        <v/>
      </c>
      <c r="AK150" s="11" t="str">
        <f t="shared" si="149"/>
        <v/>
      </c>
      <c r="AL150" s="11" t="str">
        <f t="shared" si="149"/>
        <v/>
      </c>
      <c r="AM150" s="11" t="str">
        <f t="shared" si="149"/>
        <v/>
      </c>
      <c r="AN150" s="11" t="str">
        <f t="shared" si="149"/>
        <v/>
      </c>
      <c r="AO150" s="11" t="str">
        <f t="shared" si="149"/>
        <v/>
      </c>
      <c r="AP150" s="21" t="str">
        <f t="shared" si="119"/>
        <v/>
      </c>
    </row>
    <row r="151" ht="16.5" customHeight="1">
      <c r="A151" s="32" t="s">
        <v>2697</v>
      </c>
      <c r="B151" s="32" t="s">
        <v>2697</v>
      </c>
      <c r="C151" s="32" t="s">
        <v>2756</v>
      </c>
      <c r="D151" s="32" t="s">
        <v>2757</v>
      </c>
      <c r="E151" s="36"/>
      <c r="F151" s="4"/>
      <c r="G151" s="4"/>
      <c r="H151" s="4"/>
      <c r="K151" s="18"/>
      <c r="L151" s="33"/>
      <c r="M151" s="20"/>
      <c r="N151" s="20"/>
      <c r="O151" s="20"/>
      <c r="P151" s="20"/>
      <c r="Q151" s="20"/>
      <c r="R151" s="20"/>
      <c r="S151" s="20"/>
      <c r="T151" s="20"/>
      <c r="U151" s="34"/>
      <c r="AF151" s="11" t="str">
        <f t="shared" si="117"/>
        <v/>
      </c>
      <c r="AG151" s="11" t="str">
        <f t="shared" ref="AG151:AO151" si="150">if(not(isblank(M151)),", "&amp;M151,"")</f>
        <v/>
      </c>
      <c r="AH151" s="11" t="str">
        <f t="shared" si="150"/>
        <v/>
      </c>
      <c r="AI151" s="11" t="str">
        <f t="shared" si="150"/>
        <v/>
      </c>
      <c r="AJ151" s="11" t="str">
        <f t="shared" si="150"/>
        <v/>
      </c>
      <c r="AK151" s="11" t="str">
        <f t="shared" si="150"/>
        <v/>
      </c>
      <c r="AL151" s="11" t="str">
        <f t="shared" si="150"/>
        <v/>
      </c>
      <c r="AM151" s="11" t="str">
        <f t="shared" si="150"/>
        <v/>
      </c>
      <c r="AN151" s="11" t="str">
        <f t="shared" si="150"/>
        <v/>
      </c>
      <c r="AO151" s="11" t="str">
        <f t="shared" si="150"/>
        <v/>
      </c>
      <c r="AP151" s="21" t="str">
        <f t="shared" si="119"/>
        <v/>
      </c>
    </row>
    <row r="152" ht="16.5" customHeight="1">
      <c r="A152" s="32" t="s">
        <v>2697</v>
      </c>
      <c r="B152" s="32" t="s">
        <v>2697</v>
      </c>
      <c r="C152" s="32" t="s">
        <v>2758</v>
      </c>
      <c r="D152" s="32" t="s">
        <v>2759</v>
      </c>
      <c r="E152" s="36"/>
      <c r="F152" s="4"/>
      <c r="G152" s="4"/>
      <c r="H152" s="4"/>
      <c r="K152" s="18"/>
      <c r="L152" s="33"/>
      <c r="M152" s="20"/>
      <c r="N152" s="20"/>
      <c r="O152" s="20"/>
      <c r="P152" s="20"/>
      <c r="Q152" s="20"/>
      <c r="R152" s="20"/>
      <c r="S152" s="20"/>
      <c r="T152" s="20"/>
      <c r="U152" s="34"/>
      <c r="AF152" s="11" t="str">
        <f t="shared" si="117"/>
        <v/>
      </c>
      <c r="AG152" s="11" t="str">
        <f t="shared" ref="AG152:AO152" si="151">if(not(isblank(M152)),", "&amp;M152,"")</f>
        <v/>
      </c>
      <c r="AH152" s="11" t="str">
        <f t="shared" si="151"/>
        <v/>
      </c>
      <c r="AI152" s="11" t="str">
        <f t="shared" si="151"/>
        <v/>
      </c>
      <c r="AJ152" s="11" t="str">
        <f t="shared" si="151"/>
        <v/>
      </c>
      <c r="AK152" s="11" t="str">
        <f t="shared" si="151"/>
        <v/>
      </c>
      <c r="AL152" s="11" t="str">
        <f t="shared" si="151"/>
        <v/>
      </c>
      <c r="AM152" s="11" t="str">
        <f t="shared" si="151"/>
        <v/>
      </c>
      <c r="AN152" s="11" t="str">
        <f t="shared" si="151"/>
        <v/>
      </c>
      <c r="AO152" s="11" t="str">
        <f t="shared" si="151"/>
        <v/>
      </c>
      <c r="AP152" s="21" t="str">
        <f t="shared" si="119"/>
        <v/>
      </c>
    </row>
    <row r="153" ht="16.5" customHeight="1">
      <c r="A153" s="32" t="s">
        <v>2697</v>
      </c>
      <c r="B153" s="32" t="s">
        <v>2697</v>
      </c>
      <c r="C153" s="32" t="s">
        <v>2760</v>
      </c>
      <c r="D153" s="32" t="s">
        <v>2761</v>
      </c>
      <c r="E153" s="36"/>
      <c r="F153" s="4"/>
      <c r="G153" s="4"/>
      <c r="H153" s="4"/>
      <c r="K153" s="18"/>
      <c r="L153" s="33"/>
      <c r="M153" s="20"/>
      <c r="N153" s="20"/>
      <c r="O153" s="20"/>
      <c r="P153" s="20"/>
      <c r="Q153" s="20"/>
      <c r="R153" s="20"/>
      <c r="S153" s="20"/>
      <c r="T153" s="20"/>
      <c r="U153" s="34"/>
      <c r="AF153" s="11" t="str">
        <f t="shared" si="117"/>
        <v/>
      </c>
      <c r="AG153" s="11" t="str">
        <f t="shared" ref="AG153:AO153" si="152">if(not(isblank(M153)),", "&amp;M153,"")</f>
        <v/>
      </c>
      <c r="AH153" s="11" t="str">
        <f t="shared" si="152"/>
        <v/>
      </c>
      <c r="AI153" s="11" t="str">
        <f t="shared" si="152"/>
        <v/>
      </c>
      <c r="AJ153" s="11" t="str">
        <f t="shared" si="152"/>
        <v/>
      </c>
      <c r="AK153" s="11" t="str">
        <f t="shared" si="152"/>
        <v/>
      </c>
      <c r="AL153" s="11" t="str">
        <f t="shared" si="152"/>
        <v/>
      </c>
      <c r="AM153" s="11" t="str">
        <f t="shared" si="152"/>
        <v/>
      </c>
      <c r="AN153" s="11" t="str">
        <f t="shared" si="152"/>
        <v/>
      </c>
      <c r="AO153" s="11" t="str">
        <f t="shared" si="152"/>
        <v/>
      </c>
      <c r="AP153" s="21" t="str">
        <f t="shared" si="119"/>
        <v/>
      </c>
    </row>
    <row r="154" ht="16.5" customHeight="1">
      <c r="A154" s="32" t="s">
        <v>2697</v>
      </c>
      <c r="B154" s="32" t="s">
        <v>2697</v>
      </c>
      <c r="C154" s="32" t="s">
        <v>2762</v>
      </c>
      <c r="D154" s="32" t="s">
        <v>2763</v>
      </c>
      <c r="E154" s="36"/>
      <c r="F154" s="4"/>
      <c r="G154" s="4"/>
      <c r="H154" s="4"/>
      <c r="K154" s="18"/>
      <c r="L154" s="33"/>
      <c r="M154" s="20"/>
      <c r="N154" s="20"/>
      <c r="O154" s="20"/>
      <c r="P154" s="20"/>
      <c r="Q154" s="20"/>
      <c r="R154" s="20"/>
      <c r="S154" s="20"/>
      <c r="T154" s="20"/>
      <c r="U154" s="34"/>
      <c r="AF154" s="11" t="str">
        <f t="shared" si="117"/>
        <v/>
      </c>
      <c r="AG154" s="11" t="str">
        <f t="shared" ref="AG154:AO154" si="153">if(not(isblank(M154)),", "&amp;M154,"")</f>
        <v/>
      </c>
      <c r="AH154" s="11" t="str">
        <f t="shared" si="153"/>
        <v/>
      </c>
      <c r="AI154" s="11" t="str">
        <f t="shared" si="153"/>
        <v/>
      </c>
      <c r="AJ154" s="11" t="str">
        <f t="shared" si="153"/>
        <v/>
      </c>
      <c r="AK154" s="11" t="str">
        <f t="shared" si="153"/>
        <v/>
      </c>
      <c r="AL154" s="11" t="str">
        <f t="shared" si="153"/>
        <v/>
      </c>
      <c r="AM154" s="11" t="str">
        <f t="shared" si="153"/>
        <v/>
      </c>
      <c r="AN154" s="11" t="str">
        <f t="shared" si="153"/>
        <v/>
      </c>
      <c r="AO154" s="11" t="str">
        <f t="shared" si="153"/>
        <v/>
      </c>
      <c r="AP154" s="21" t="str">
        <f t="shared" si="119"/>
        <v/>
      </c>
    </row>
    <row r="155" ht="16.5" customHeight="1">
      <c r="A155" s="32" t="s">
        <v>2697</v>
      </c>
      <c r="B155" s="32" t="s">
        <v>2697</v>
      </c>
      <c r="C155" s="32" t="s">
        <v>2764</v>
      </c>
      <c r="D155" s="32" t="s">
        <v>2765</v>
      </c>
      <c r="E155" s="36"/>
      <c r="F155" s="4"/>
      <c r="G155" s="4"/>
      <c r="H155" s="4"/>
      <c r="K155" s="18"/>
      <c r="L155" s="33"/>
      <c r="M155" s="20"/>
      <c r="N155" s="20"/>
      <c r="O155" s="20"/>
      <c r="P155" s="20"/>
      <c r="Q155" s="20"/>
      <c r="R155" s="20"/>
      <c r="S155" s="20"/>
      <c r="T155" s="20"/>
      <c r="U155" s="34"/>
      <c r="AF155" s="11" t="str">
        <f t="shared" si="117"/>
        <v/>
      </c>
      <c r="AG155" s="11" t="str">
        <f t="shared" ref="AG155:AO155" si="154">if(not(isblank(M155)),", "&amp;M155,"")</f>
        <v/>
      </c>
      <c r="AH155" s="11" t="str">
        <f t="shared" si="154"/>
        <v/>
      </c>
      <c r="AI155" s="11" t="str">
        <f t="shared" si="154"/>
        <v/>
      </c>
      <c r="AJ155" s="11" t="str">
        <f t="shared" si="154"/>
        <v/>
      </c>
      <c r="AK155" s="11" t="str">
        <f t="shared" si="154"/>
        <v/>
      </c>
      <c r="AL155" s="11" t="str">
        <f t="shared" si="154"/>
        <v/>
      </c>
      <c r="AM155" s="11" t="str">
        <f t="shared" si="154"/>
        <v/>
      </c>
      <c r="AN155" s="11" t="str">
        <f t="shared" si="154"/>
        <v/>
      </c>
      <c r="AO155" s="11" t="str">
        <f t="shared" si="154"/>
        <v/>
      </c>
      <c r="AP155" s="21" t="str">
        <f t="shared" si="119"/>
        <v/>
      </c>
    </row>
    <row r="156" ht="16.5" customHeight="1">
      <c r="A156" s="32" t="s">
        <v>2697</v>
      </c>
      <c r="B156" s="32" t="s">
        <v>2697</v>
      </c>
      <c r="C156" s="32" t="s">
        <v>2766</v>
      </c>
      <c r="D156" s="32" t="s">
        <v>2767</v>
      </c>
      <c r="E156" s="36"/>
      <c r="F156" s="4"/>
      <c r="G156" s="4"/>
      <c r="H156" s="4"/>
      <c r="K156" s="18"/>
      <c r="L156" s="33"/>
      <c r="M156" s="20"/>
      <c r="N156" s="20"/>
      <c r="O156" s="20"/>
      <c r="P156" s="20"/>
      <c r="Q156" s="20"/>
      <c r="R156" s="20"/>
      <c r="S156" s="20"/>
      <c r="T156" s="20"/>
      <c r="U156" s="34"/>
      <c r="AF156" s="11" t="str">
        <f t="shared" si="117"/>
        <v/>
      </c>
      <c r="AG156" s="11" t="str">
        <f t="shared" ref="AG156:AO156" si="155">if(not(isblank(M156)),", "&amp;M156,"")</f>
        <v/>
      </c>
      <c r="AH156" s="11" t="str">
        <f t="shared" si="155"/>
        <v/>
      </c>
      <c r="AI156" s="11" t="str">
        <f t="shared" si="155"/>
        <v/>
      </c>
      <c r="AJ156" s="11" t="str">
        <f t="shared" si="155"/>
        <v/>
      </c>
      <c r="AK156" s="11" t="str">
        <f t="shared" si="155"/>
        <v/>
      </c>
      <c r="AL156" s="11" t="str">
        <f t="shared" si="155"/>
        <v/>
      </c>
      <c r="AM156" s="11" t="str">
        <f t="shared" si="155"/>
        <v/>
      </c>
      <c r="AN156" s="11" t="str">
        <f t="shared" si="155"/>
        <v/>
      </c>
      <c r="AO156" s="11" t="str">
        <f t="shared" si="155"/>
        <v/>
      </c>
      <c r="AP156" s="21" t="str">
        <f t="shared" si="119"/>
        <v/>
      </c>
    </row>
    <row r="157" ht="16.5" customHeight="1">
      <c r="A157" s="32" t="s">
        <v>2697</v>
      </c>
      <c r="B157" s="32" t="s">
        <v>2697</v>
      </c>
      <c r="C157" s="32" t="s">
        <v>2768</v>
      </c>
      <c r="D157" s="32" t="s">
        <v>2769</v>
      </c>
      <c r="E157" s="36"/>
      <c r="F157" s="4"/>
      <c r="G157" s="4"/>
      <c r="H157" s="4"/>
      <c r="K157" s="18"/>
      <c r="L157" s="33"/>
      <c r="M157" s="20"/>
      <c r="N157" s="20"/>
      <c r="O157" s="20"/>
      <c r="P157" s="20"/>
      <c r="Q157" s="20"/>
      <c r="R157" s="20"/>
      <c r="S157" s="20"/>
      <c r="T157" s="20"/>
      <c r="U157" s="34"/>
      <c r="AF157" s="11" t="str">
        <f t="shared" si="117"/>
        <v/>
      </c>
      <c r="AG157" s="11" t="str">
        <f t="shared" ref="AG157:AO157" si="156">if(not(isblank(M157)),", "&amp;M157,"")</f>
        <v/>
      </c>
      <c r="AH157" s="11" t="str">
        <f t="shared" si="156"/>
        <v/>
      </c>
      <c r="AI157" s="11" t="str">
        <f t="shared" si="156"/>
        <v/>
      </c>
      <c r="AJ157" s="11" t="str">
        <f t="shared" si="156"/>
        <v/>
      </c>
      <c r="AK157" s="11" t="str">
        <f t="shared" si="156"/>
        <v/>
      </c>
      <c r="AL157" s="11" t="str">
        <f t="shared" si="156"/>
        <v/>
      </c>
      <c r="AM157" s="11" t="str">
        <f t="shared" si="156"/>
        <v/>
      </c>
      <c r="AN157" s="11" t="str">
        <f t="shared" si="156"/>
        <v/>
      </c>
      <c r="AO157" s="11" t="str">
        <f t="shared" si="156"/>
        <v/>
      </c>
      <c r="AP157" s="21" t="str">
        <f t="shared" si="119"/>
        <v/>
      </c>
    </row>
    <row r="158" ht="16.5" customHeight="1">
      <c r="A158" s="32" t="s">
        <v>2697</v>
      </c>
      <c r="B158" s="32" t="s">
        <v>2697</v>
      </c>
      <c r="C158" s="32" t="s">
        <v>2770</v>
      </c>
      <c r="D158" s="32" t="s">
        <v>2771</v>
      </c>
      <c r="E158" s="36"/>
      <c r="F158" s="4"/>
      <c r="G158" s="4"/>
      <c r="H158" s="4"/>
      <c r="K158" s="18"/>
      <c r="L158" s="33"/>
      <c r="M158" s="20"/>
      <c r="N158" s="20"/>
      <c r="O158" s="20"/>
      <c r="P158" s="20"/>
      <c r="Q158" s="20"/>
      <c r="R158" s="20"/>
      <c r="S158" s="20"/>
      <c r="T158" s="20"/>
      <c r="U158" s="34"/>
      <c r="AF158" s="11" t="str">
        <f t="shared" si="117"/>
        <v/>
      </c>
      <c r="AG158" s="11" t="str">
        <f t="shared" ref="AG158:AO158" si="157">if(not(isblank(M158)),", "&amp;M158,"")</f>
        <v/>
      </c>
      <c r="AH158" s="11" t="str">
        <f t="shared" si="157"/>
        <v/>
      </c>
      <c r="AI158" s="11" t="str">
        <f t="shared" si="157"/>
        <v/>
      </c>
      <c r="AJ158" s="11" t="str">
        <f t="shared" si="157"/>
        <v/>
      </c>
      <c r="AK158" s="11" t="str">
        <f t="shared" si="157"/>
        <v/>
      </c>
      <c r="AL158" s="11" t="str">
        <f t="shared" si="157"/>
        <v/>
      </c>
      <c r="AM158" s="11" t="str">
        <f t="shared" si="157"/>
        <v/>
      </c>
      <c r="AN158" s="11" t="str">
        <f t="shared" si="157"/>
        <v/>
      </c>
      <c r="AO158" s="11" t="str">
        <f t="shared" si="157"/>
        <v/>
      </c>
      <c r="AP158" s="21" t="str">
        <f t="shared" si="119"/>
        <v/>
      </c>
    </row>
    <row r="159" ht="16.5" customHeight="1">
      <c r="A159" s="32" t="s">
        <v>2697</v>
      </c>
      <c r="B159" s="32" t="s">
        <v>2697</v>
      </c>
      <c r="C159" s="32" t="s">
        <v>2772</v>
      </c>
      <c r="D159" s="32" t="s">
        <v>2773</v>
      </c>
      <c r="E159" s="36"/>
      <c r="F159" s="4"/>
      <c r="G159" s="4"/>
      <c r="H159" s="4"/>
      <c r="K159" s="18"/>
      <c r="L159" s="33"/>
      <c r="M159" s="20"/>
      <c r="N159" s="20"/>
      <c r="O159" s="20"/>
      <c r="P159" s="20"/>
      <c r="Q159" s="20"/>
      <c r="R159" s="20"/>
      <c r="S159" s="20"/>
      <c r="T159" s="20"/>
      <c r="U159" s="34"/>
      <c r="AF159" s="11" t="str">
        <f t="shared" si="117"/>
        <v/>
      </c>
      <c r="AG159" s="11" t="str">
        <f t="shared" ref="AG159:AO159" si="158">if(not(isblank(M159)),", "&amp;M159,"")</f>
        <v/>
      </c>
      <c r="AH159" s="11" t="str">
        <f t="shared" si="158"/>
        <v/>
      </c>
      <c r="AI159" s="11" t="str">
        <f t="shared" si="158"/>
        <v/>
      </c>
      <c r="AJ159" s="11" t="str">
        <f t="shared" si="158"/>
        <v/>
      </c>
      <c r="AK159" s="11" t="str">
        <f t="shared" si="158"/>
        <v/>
      </c>
      <c r="AL159" s="11" t="str">
        <f t="shared" si="158"/>
        <v/>
      </c>
      <c r="AM159" s="11" t="str">
        <f t="shared" si="158"/>
        <v/>
      </c>
      <c r="AN159" s="11" t="str">
        <f t="shared" si="158"/>
        <v/>
      </c>
      <c r="AO159" s="11" t="str">
        <f t="shared" si="158"/>
        <v/>
      </c>
      <c r="AP159" s="21" t="str">
        <f t="shared" si="119"/>
        <v/>
      </c>
    </row>
    <row r="160" ht="16.5" customHeight="1">
      <c r="A160" s="32" t="s">
        <v>2697</v>
      </c>
      <c r="B160" s="32" t="s">
        <v>2697</v>
      </c>
      <c r="C160" s="32" t="s">
        <v>2774</v>
      </c>
      <c r="D160" s="32" t="s">
        <v>2775</v>
      </c>
      <c r="E160" s="36"/>
      <c r="F160" s="4"/>
      <c r="G160" s="4"/>
      <c r="H160" s="4"/>
      <c r="K160" s="18"/>
      <c r="L160" s="33"/>
      <c r="M160" s="20"/>
      <c r="N160" s="20"/>
      <c r="O160" s="20"/>
      <c r="P160" s="20"/>
      <c r="Q160" s="20"/>
      <c r="R160" s="20"/>
      <c r="S160" s="20"/>
      <c r="T160" s="20"/>
      <c r="U160" s="34"/>
      <c r="AF160" s="11" t="str">
        <f t="shared" si="117"/>
        <v/>
      </c>
      <c r="AG160" s="11" t="str">
        <f t="shared" ref="AG160:AO160" si="159">if(not(isblank(M160)),", "&amp;M160,"")</f>
        <v/>
      </c>
      <c r="AH160" s="11" t="str">
        <f t="shared" si="159"/>
        <v/>
      </c>
      <c r="AI160" s="11" t="str">
        <f t="shared" si="159"/>
        <v/>
      </c>
      <c r="AJ160" s="11" t="str">
        <f t="shared" si="159"/>
        <v/>
      </c>
      <c r="AK160" s="11" t="str">
        <f t="shared" si="159"/>
        <v/>
      </c>
      <c r="AL160" s="11" t="str">
        <f t="shared" si="159"/>
        <v/>
      </c>
      <c r="AM160" s="11" t="str">
        <f t="shared" si="159"/>
        <v/>
      </c>
      <c r="AN160" s="11" t="str">
        <f t="shared" si="159"/>
        <v/>
      </c>
      <c r="AO160" s="11" t="str">
        <f t="shared" si="159"/>
        <v/>
      </c>
      <c r="AP160" s="21" t="str">
        <f t="shared" si="119"/>
        <v/>
      </c>
    </row>
    <row r="161" ht="16.5" customHeight="1">
      <c r="A161" s="32" t="s">
        <v>2697</v>
      </c>
      <c r="B161" s="32" t="s">
        <v>2697</v>
      </c>
      <c r="C161" s="32" t="s">
        <v>2776</v>
      </c>
      <c r="D161" s="32" t="s">
        <v>2777</v>
      </c>
      <c r="E161" s="36"/>
      <c r="F161" s="4"/>
      <c r="G161" s="4"/>
      <c r="H161" s="4"/>
      <c r="K161" s="18"/>
      <c r="L161" s="33"/>
      <c r="M161" s="20"/>
      <c r="N161" s="20"/>
      <c r="O161" s="20"/>
      <c r="P161" s="20"/>
      <c r="Q161" s="20"/>
      <c r="R161" s="20"/>
      <c r="S161" s="20"/>
      <c r="T161" s="20"/>
      <c r="U161" s="34"/>
      <c r="AF161" s="11" t="str">
        <f t="shared" si="117"/>
        <v/>
      </c>
      <c r="AG161" s="11" t="str">
        <f t="shared" ref="AG161:AO161" si="160">if(not(isblank(M161)),", "&amp;M161,"")</f>
        <v/>
      </c>
      <c r="AH161" s="11" t="str">
        <f t="shared" si="160"/>
        <v/>
      </c>
      <c r="AI161" s="11" t="str">
        <f t="shared" si="160"/>
        <v/>
      </c>
      <c r="AJ161" s="11" t="str">
        <f t="shared" si="160"/>
        <v/>
      </c>
      <c r="AK161" s="11" t="str">
        <f t="shared" si="160"/>
        <v/>
      </c>
      <c r="AL161" s="11" t="str">
        <f t="shared" si="160"/>
        <v/>
      </c>
      <c r="AM161" s="11" t="str">
        <f t="shared" si="160"/>
        <v/>
      </c>
      <c r="AN161" s="11" t="str">
        <f t="shared" si="160"/>
        <v/>
      </c>
      <c r="AO161" s="11" t="str">
        <f t="shared" si="160"/>
        <v/>
      </c>
      <c r="AP161" s="21" t="str">
        <f t="shared" si="119"/>
        <v/>
      </c>
    </row>
    <row r="162" ht="16.5" customHeight="1">
      <c r="A162" s="32" t="s">
        <v>2697</v>
      </c>
      <c r="B162" s="32" t="s">
        <v>2697</v>
      </c>
      <c r="C162" s="32" t="s">
        <v>2778</v>
      </c>
      <c r="D162" s="32" t="s">
        <v>2779</v>
      </c>
      <c r="E162" s="36"/>
      <c r="F162" s="4"/>
      <c r="G162" s="4"/>
      <c r="H162" s="4"/>
      <c r="K162" s="18"/>
      <c r="L162" s="33"/>
      <c r="M162" s="20"/>
      <c r="N162" s="20"/>
      <c r="O162" s="20"/>
      <c r="P162" s="20"/>
      <c r="Q162" s="20"/>
      <c r="R162" s="20"/>
      <c r="S162" s="20"/>
      <c r="T162" s="20"/>
      <c r="U162" s="34"/>
      <c r="AF162" s="11" t="str">
        <f t="shared" si="117"/>
        <v/>
      </c>
      <c r="AG162" s="11" t="str">
        <f t="shared" ref="AG162:AO162" si="161">if(not(isblank(M162)),", "&amp;M162,"")</f>
        <v/>
      </c>
      <c r="AH162" s="11" t="str">
        <f t="shared" si="161"/>
        <v/>
      </c>
      <c r="AI162" s="11" t="str">
        <f t="shared" si="161"/>
        <v/>
      </c>
      <c r="AJ162" s="11" t="str">
        <f t="shared" si="161"/>
        <v/>
      </c>
      <c r="AK162" s="11" t="str">
        <f t="shared" si="161"/>
        <v/>
      </c>
      <c r="AL162" s="11" t="str">
        <f t="shared" si="161"/>
        <v/>
      </c>
      <c r="AM162" s="11" t="str">
        <f t="shared" si="161"/>
        <v/>
      </c>
      <c r="AN162" s="11" t="str">
        <f t="shared" si="161"/>
        <v/>
      </c>
      <c r="AO162" s="11" t="str">
        <f t="shared" si="161"/>
        <v/>
      </c>
      <c r="AP162" s="21" t="str">
        <f t="shared" si="119"/>
        <v/>
      </c>
    </row>
    <row r="163" ht="16.5" customHeight="1">
      <c r="A163" s="32" t="s">
        <v>2697</v>
      </c>
      <c r="B163" s="32" t="s">
        <v>2697</v>
      </c>
      <c r="C163" s="32" t="s">
        <v>2780</v>
      </c>
      <c r="D163" s="32" t="s">
        <v>2781</v>
      </c>
      <c r="E163" s="36"/>
      <c r="F163" s="4"/>
      <c r="G163" s="4"/>
      <c r="H163" s="4"/>
      <c r="K163" s="18"/>
      <c r="L163" s="33"/>
      <c r="M163" s="20"/>
      <c r="N163" s="20"/>
      <c r="O163" s="20"/>
      <c r="P163" s="20"/>
      <c r="Q163" s="20"/>
      <c r="R163" s="20"/>
      <c r="S163" s="20"/>
      <c r="T163" s="20"/>
      <c r="U163" s="34"/>
      <c r="AF163" s="11" t="str">
        <f t="shared" si="117"/>
        <v/>
      </c>
      <c r="AG163" s="11" t="str">
        <f t="shared" ref="AG163:AO163" si="162">if(not(isblank(M163)),", "&amp;M163,"")</f>
        <v/>
      </c>
      <c r="AH163" s="11" t="str">
        <f t="shared" si="162"/>
        <v/>
      </c>
      <c r="AI163" s="11" t="str">
        <f t="shared" si="162"/>
        <v/>
      </c>
      <c r="AJ163" s="11" t="str">
        <f t="shared" si="162"/>
        <v/>
      </c>
      <c r="AK163" s="11" t="str">
        <f t="shared" si="162"/>
        <v/>
      </c>
      <c r="AL163" s="11" t="str">
        <f t="shared" si="162"/>
        <v/>
      </c>
      <c r="AM163" s="11" t="str">
        <f t="shared" si="162"/>
        <v/>
      </c>
      <c r="AN163" s="11" t="str">
        <f t="shared" si="162"/>
        <v/>
      </c>
      <c r="AO163" s="11" t="str">
        <f t="shared" si="162"/>
        <v/>
      </c>
      <c r="AP163" s="21" t="str">
        <f t="shared" si="119"/>
        <v/>
      </c>
    </row>
    <row r="164" ht="16.5" customHeight="1">
      <c r="A164" s="32" t="s">
        <v>2697</v>
      </c>
      <c r="B164" s="32" t="s">
        <v>2697</v>
      </c>
      <c r="C164" s="32" t="s">
        <v>2782</v>
      </c>
      <c r="D164" s="32" t="s">
        <v>2783</v>
      </c>
      <c r="E164" s="36"/>
      <c r="F164" s="4"/>
      <c r="G164" s="4"/>
      <c r="H164" s="4"/>
      <c r="K164" s="18"/>
      <c r="L164" s="33"/>
      <c r="M164" s="20"/>
      <c r="N164" s="20"/>
      <c r="O164" s="20"/>
      <c r="P164" s="20"/>
      <c r="Q164" s="20"/>
      <c r="R164" s="20"/>
      <c r="S164" s="20"/>
      <c r="T164" s="20"/>
      <c r="U164" s="34"/>
      <c r="AF164" s="11" t="str">
        <f t="shared" si="117"/>
        <v/>
      </c>
      <c r="AG164" s="11" t="str">
        <f t="shared" ref="AG164:AO164" si="163">if(not(isblank(M164)),", "&amp;M164,"")</f>
        <v/>
      </c>
      <c r="AH164" s="11" t="str">
        <f t="shared" si="163"/>
        <v/>
      </c>
      <c r="AI164" s="11" t="str">
        <f t="shared" si="163"/>
        <v/>
      </c>
      <c r="AJ164" s="11" t="str">
        <f t="shared" si="163"/>
        <v/>
      </c>
      <c r="AK164" s="11" t="str">
        <f t="shared" si="163"/>
        <v/>
      </c>
      <c r="AL164" s="11" t="str">
        <f t="shared" si="163"/>
        <v/>
      </c>
      <c r="AM164" s="11" t="str">
        <f t="shared" si="163"/>
        <v/>
      </c>
      <c r="AN164" s="11" t="str">
        <f t="shared" si="163"/>
        <v/>
      </c>
      <c r="AO164" s="11" t="str">
        <f t="shared" si="163"/>
        <v/>
      </c>
      <c r="AP164" s="21" t="str">
        <f t="shared" si="119"/>
        <v/>
      </c>
    </row>
    <row r="165" ht="16.5" customHeight="1">
      <c r="A165" s="32" t="s">
        <v>2697</v>
      </c>
      <c r="B165" s="32" t="s">
        <v>2697</v>
      </c>
      <c r="C165" s="32" t="s">
        <v>2784</v>
      </c>
      <c r="D165" s="32" t="s">
        <v>2785</v>
      </c>
      <c r="E165" s="36"/>
      <c r="F165" s="4"/>
      <c r="G165" s="4"/>
      <c r="H165" s="4"/>
      <c r="K165" s="18"/>
      <c r="L165" s="33"/>
      <c r="M165" s="20"/>
      <c r="N165" s="20"/>
      <c r="O165" s="20"/>
      <c r="P165" s="20"/>
      <c r="Q165" s="20"/>
      <c r="R165" s="20"/>
      <c r="S165" s="20"/>
      <c r="T165" s="20"/>
      <c r="U165" s="34"/>
      <c r="AF165" s="11" t="str">
        <f t="shared" si="117"/>
        <v/>
      </c>
      <c r="AG165" s="11" t="str">
        <f t="shared" ref="AG165:AO165" si="164">if(not(isblank(M165)),", "&amp;M165,"")</f>
        <v/>
      </c>
      <c r="AH165" s="11" t="str">
        <f t="shared" si="164"/>
        <v/>
      </c>
      <c r="AI165" s="11" t="str">
        <f t="shared" si="164"/>
        <v/>
      </c>
      <c r="AJ165" s="11" t="str">
        <f t="shared" si="164"/>
        <v/>
      </c>
      <c r="AK165" s="11" t="str">
        <f t="shared" si="164"/>
        <v/>
      </c>
      <c r="AL165" s="11" t="str">
        <f t="shared" si="164"/>
        <v/>
      </c>
      <c r="AM165" s="11" t="str">
        <f t="shared" si="164"/>
        <v/>
      </c>
      <c r="AN165" s="11" t="str">
        <f t="shared" si="164"/>
        <v/>
      </c>
      <c r="AO165" s="11" t="str">
        <f t="shared" si="164"/>
        <v/>
      </c>
      <c r="AP165" s="21" t="str">
        <f t="shared" si="119"/>
        <v/>
      </c>
    </row>
    <row r="166" ht="16.5" customHeight="1">
      <c r="A166" s="32" t="s">
        <v>2697</v>
      </c>
      <c r="B166" s="32" t="s">
        <v>2697</v>
      </c>
      <c r="C166" s="32" t="s">
        <v>2786</v>
      </c>
      <c r="D166" s="32" t="s">
        <v>2787</v>
      </c>
      <c r="E166" s="36"/>
      <c r="F166" s="4"/>
      <c r="G166" s="4"/>
      <c r="H166" s="4"/>
      <c r="K166" s="18"/>
      <c r="L166" s="33"/>
      <c r="M166" s="20"/>
      <c r="N166" s="20"/>
      <c r="O166" s="20"/>
      <c r="P166" s="20"/>
      <c r="Q166" s="20"/>
      <c r="R166" s="20"/>
      <c r="S166" s="20"/>
      <c r="T166" s="20"/>
      <c r="U166" s="34"/>
      <c r="AF166" s="11" t="str">
        <f t="shared" si="117"/>
        <v/>
      </c>
      <c r="AG166" s="11" t="str">
        <f t="shared" ref="AG166:AO166" si="165">if(not(isblank(M166)),", "&amp;M166,"")</f>
        <v/>
      </c>
      <c r="AH166" s="11" t="str">
        <f t="shared" si="165"/>
        <v/>
      </c>
      <c r="AI166" s="11" t="str">
        <f t="shared" si="165"/>
        <v/>
      </c>
      <c r="AJ166" s="11" t="str">
        <f t="shared" si="165"/>
        <v/>
      </c>
      <c r="AK166" s="11" t="str">
        <f t="shared" si="165"/>
        <v/>
      </c>
      <c r="AL166" s="11" t="str">
        <f t="shared" si="165"/>
        <v/>
      </c>
      <c r="AM166" s="11" t="str">
        <f t="shared" si="165"/>
        <v/>
      </c>
      <c r="AN166" s="11" t="str">
        <f t="shared" si="165"/>
        <v/>
      </c>
      <c r="AO166" s="11" t="str">
        <f t="shared" si="165"/>
        <v/>
      </c>
      <c r="AP166" s="21" t="str">
        <f t="shared" si="119"/>
        <v/>
      </c>
    </row>
    <row r="167" ht="16.5" customHeight="1">
      <c r="A167" s="32" t="s">
        <v>2697</v>
      </c>
      <c r="B167" s="32" t="s">
        <v>2697</v>
      </c>
      <c r="C167" s="32" t="s">
        <v>2788</v>
      </c>
      <c r="D167" s="32" t="s">
        <v>2789</v>
      </c>
      <c r="E167" s="36"/>
      <c r="F167" s="4"/>
      <c r="G167" s="4"/>
      <c r="H167" s="4"/>
      <c r="K167" s="18"/>
      <c r="L167" s="33"/>
      <c r="M167" s="20"/>
      <c r="N167" s="20"/>
      <c r="O167" s="20"/>
      <c r="P167" s="20"/>
      <c r="Q167" s="20"/>
      <c r="R167" s="20"/>
      <c r="S167" s="20"/>
      <c r="T167" s="20"/>
      <c r="U167" s="34"/>
      <c r="AF167" s="11" t="str">
        <f t="shared" si="117"/>
        <v/>
      </c>
      <c r="AG167" s="11" t="str">
        <f t="shared" ref="AG167:AO167" si="166">if(not(isblank(M167)),", "&amp;M167,"")</f>
        <v/>
      </c>
      <c r="AH167" s="11" t="str">
        <f t="shared" si="166"/>
        <v/>
      </c>
      <c r="AI167" s="11" t="str">
        <f t="shared" si="166"/>
        <v/>
      </c>
      <c r="AJ167" s="11" t="str">
        <f t="shared" si="166"/>
        <v/>
      </c>
      <c r="AK167" s="11" t="str">
        <f t="shared" si="166"/>
        <v/>
      </c>
      <c r="AL167" s="11" t="str">
        <f t="shared" si="166"/>
        <v/>
      </c>
      <c r="AM167" s="11" t="str">
        <f t="shared" si="166"/>
        <v/>
      </c>
      <c r="AN167" s="11" t="str">
        <f t="shared" si="166"/>
        <v/>
      </c>
      <c r="AO167" s="11" t="str">
        <f t="shared" si="166"/>
        <v/>
      </c>
      <c r="AP167" s="21" t="str">
        <f t="shared" si="119"/>
        <v/>
      </c>
    </row>
    <row r="168" ht="16.5" customHeight="1">
      <c r="A168" s="32" t="s">
        <v>2697</v>
      </c>
      <c r="B168" s="32" t="s">
        <v>2697</v>
      </c>
      <c r="C168" s="32" t="s">
        <v>2790</v>
      </c>
      <c r="D168" s="32" t="s">
        <v>2791</v>
      </c>
      <c r="E168" s="36"/>
      <c r="F168" s="4"/>
      <c r="G168" s="4"/>
      <c r="H168" s="4"/>
      <c r="K168" s="18"/>
      <c r="L168" s="33"/>
      <c r="M168" s="20"/>
      <c r="N168" s="20"/>
      <c r="O168" s="20"/>
      <c r="P168" s="20"/>
      <c r="Q168" s="20"/>
      <c r="R168" s="20"/>
      <c r="S168" s="20"/>
      <c r="T168" s="20"/>
      <c r="U168" s="34"/>
      <c r="AF168" s="11" t="str">
        <f t="shared" si="117"/>
        <v/>
      </c>
      <c r="AG168" s="11" t="str">
        <f t="shared" ref="AG168:AO168" si="167">if(not(isblank(M168)),", "&amp;M168,"")</f>
        <v/>
      </c>
      <c r="AH168" s="11" t="str">
        <f t="shared" si="167"/>
        <v/>
      </c>
      <c r="AI168" s="11" t="str">
        <f t="shared" si="167"/>
        <v/>
      </c>
      <c r="AJ168" s="11" t="str">
        <f t="shared" si="167"/>
        <v/>
      </c>
      <c r="AK168" s="11" t="str">
        <f t="shared" si="167"/>
        <v/>
      </c>
      <c r="AL168" s="11" t="str">
        <f t="shared" si="167"/>
        <v/>
      </c>
      <c r="AM168" s="11" t="str">
        <f t="shared" si="167"/>
        <v/>
      </c>
      <c r="AN168" s="11" t="str">
        <f t="shared" si="167"/>
        <v/>
      </c>
      <c r="AO168" s="11" t="str">
        <f t="shared" si="167"/>
        <v/>
      </c>
      <c r="AP168" s="21" t="str">
        <f t="shared" si="119"/>
        <v/>
      </c>
    </row>
    <row r="169" ht="16.5" customHeight="1">
      <c r="A169" s="32" t="s">
        <v>2697</v>
      </c>
      <c r="B169" s="32" t="s">
        <v>2697</v>
      </c>
      <c r="C169" s="32" t="s">
        <v>2792</v>
      </c>
      <c r="D169" s="32" t="s">
        <v>2793</v>
      </c>
      <c r="E169" s="36"/>
      <c r="F169" s="4"/>
      <c r="G169" s="4"/>
      <c r="H169" s="4"/>
      <c r="K169" s="18"/>
      <c r="L169" s="33"/>
      <c r="M169" s="20"/>
      <c r="N169" s="20"/>
      <c r="O169" s="20"/>
      <c r="P169" s="20"/>
      <c r="Q169" s="20"/>
      <c r="R169" s="20"/>
      <c r="S169" s="20"/>
      <c r="T169" s="20"/>
      <c r="U169" s="34"/>
      <c r="AF169" s="11" t="str">
        <f t="shared" si="117"/>
        <v/>
      </c>
      <c r="AG169" s="11" t="str">
        <f t="shared" ref="AG169:AO169" si="168">if(not(isblank(M169)),", "&amp;M169,"")</f>
        <v/>
      </c>
      <c r="AH169" s="11" t="str">
        <f t="shared" si="168"/>
        <v/>
      </c>
      <c r="AI169" s="11" t="str">
        <f t="shared" si="168"/>
        <v/>
      </c>
      <c r="AJ169" s="11" t="str">
        <f t="shared" si="168"/>
        <v/>
      </c>
      <c r="AK169" s="11" t="str">
        <f t="shared" si="168"/>
        <v/>
      </c>
      <c r="AL169" s="11" t="str">
        <f t="shared" si="168"/>
        <v/>
      </c>
      <c r="AM169" s="11" t="str">
        <f t="shared" si="168"/>
        <v/>
      </c>
      <c r="AN169" s="11" t="str">
        <f t="shared" si="168"/>
        <v/>
      </c>
      <c r="AO169" s="11" t="str">
        <f t="shared" si="168"/>
        <v/>
      </c>
      <c r="AP169" s="21" t="str">
        <f t="shared" si="119"/>
        <v/>
      </c>
    </row>
    <row r="170" ht="16.5" customHeight="1">
      <c r="A170" s="32" t="s">
        <v>2697</v>
      </c>
      <c r="B170" s="32" t="s">
        <v>2697</v>
      </c>
      <c r="C170" s="32" t="s">
        <v>2794</v>
      </c>
      <c r="D170" s="32" t="s">
        <v>2795</v>
      </c>
      <c r="E170" s="36"/>
      <c r="F170" s="4"/>
      <c r="G170" s="4"/>
      <c r="H170" s="4"/>
      <c r="K170" s="18"/>
      <c r="L170" s="33"/>
      <c r="M170" s="20"/>
      <c r="N170" s="20"/>
      <c r="O170" s="20"/>
      <c r="P170" s="20"/>
      <c r="Q170" s="20"/>
      <c r="R170" s="20"/>
      <c r="S170" s="20"/>
      <c r="T170" s="20"/>
      <c r="U170" s="34"/>
      <c r="AF170" s="11" t="str">
        <f t="shared" si="117"/>
        <v/>
      </c>
      <c r="AG170" s="11" t="str">
        <f t="shared" ref="AG170:AO170" si="169">if(not(isblank(M170)),", "&amp;M170,"")</f>
        <v/>
      </c>
      <c r="AH170" s="11" t="str">
        <f t="shared" si="169"/>
        <v/>
      </c>
      <c r="AI170" s="11" t="str">
        <f t="shared" si="169"/>
        <v/>
      </c>
      <c r="AJ170" s="11" t="str">
        <f t="shared" si="169"/>
        <v/>
      </c>
      <c r="AK170" s="11" t="str">
        <f t="shared" si="169"/>
        <v/>
      </c>
      <c r="AL170" s="11" t="str">
        <f t="shared" si="169"/>
        <v/>
      </c>
      <c r="AM170" s="11" t="str">
        <f t="shared" si="169"/>
        <v/>
      </c>
      <c r="AN170" s="11" t="str">
        <f t="shared" si="169"/>
        <v/>
      </c>
      <c r="AO170" s="11" t="str">
        <f t="shared" si="169"/>
        <v/>
      </c>
      <c r="AP170" s="21" t="str">
        <f t="shared" si="119"/>
        <v/>
      </c>
    </row>
    <row r="171" ht="16.5" customHeight="1">
      <c r="A171" s="32" t="s">
        <v>2697</v>
      </c>
      <c r="B171" s="32" t="s">
        <v>2697</v>
      </c>
      <c r="C171" s="32" t="s">
        <v>2796</v>
      </c>
      <c r="D171" s="32" t="s">
        <v>2797</v>
      </c>
      <c r="E171" s="36"/>
      <c r="F171" s="4"/>
      <c r="G171" s="4"/>
      <c r="H171" s="4"/>
      <c r="K171" s="18"/>
      <c r="L171" s="33"/>
      <c r="M171" s="20"/>
      <c r="N171" s="20"/>
      <c r="O171" s="20"/>
      <c r="P171" s="20"/>
      <c r="Q171" s="20"/>
      <c r="R171" s="20"/>
      <c r="S171" s="20"/>
      <c r="T171" s="20"/>
      <c r="U171" s="34"/>
      <c r="AF171" s="11" t="str">
        <f t="shared" si="117"/>
        <v/>
      </c>
      <c r="AG171" s="11" t="str">
        <f t="shared" ref="AG171:AO171" si="170">if(not(isblank(M171)),", "&amp;M171,"")</f>
        <v/>
      </c>
      <c r="AH171" s="11" t="str">
        <f t="shared" si="170"/>
        <v/>
      </c>
      <c r="AI171" s="11" t="str">
        <f t="shared" si="170"/>
        <v/>
      </c>
      <c r="AJ171" s="11" t="str">
        <f t="shared" si="170"/>
        <v/>
      </c>
      <c r="AK171" s="11" t="str">
        <f t="shared" si="170"/>
        <v/>
      </c>
      <c r="AL171" s="11" t="str">
        <f t="shared" si="170"/>
        <v/>
      </c>
      <c r="AM171" s="11" t="str">
        <f t="shared" si="170"/>
        <v/>
      </c>
      <c r="AN171" s="11" t="str">
        <f t="shared" si="170"/>
        <v/>
      </c>
      <c r="AO171" s="11" t="str">
        <f t="shared" si="170"/>
        <v/>
      </c>
      <c r="AP171" s="21" t="str">
        <f t="shared" si="119"/>
        <v/>
      </c>
    </row>
    <row r="172" ht="16.5" customHeight="1">
      <c r="A172" s="32" t="s">
        <v>2697</v>
      </c>
      <c r="B172" s="32" t="s">
        <v>2697</v>
      </c>
      <c r="C172" s="32" t="s">
        <v>2798</v>
      </c>
      <c r="D172" s="32" t="s">
        <v>2799</v>
      </c>
      <c r="E172" s="36"/>
      <c r="F172" s="4"/>
      <c r="G172" s="4"/>
      <c r="H172" s="4"/>
      <c r="K172" s="18"/>
      <c r="L172" s="33"/>
      <c r="M172" s="20"/>
      <c r="N172" s="20"/>
      <c r="O172" s="20"/>
      <c r="P172" s="20"/>
      <c r="Q172" s="20"/>
      <c r="R172" s="20"/>
      <c r="S172" s="20"/>
      <c r="T172" s="20"/>
      <c r="U172" s="34"/>
      <c r="AF172" s="11" t="str">
        <f t="shared" si="117"/>
        <v/>
      </c>
      <c r="AG172" s="11" t="str">
        <f t="shared" ref="AG172:AO172" si="171">if(not(isblank(M172)),", "&amp;M172,"")</f>
        <v/>
      </c>
      <c r="AH172" s="11" t="str">
        <f t="shared" si="171"/>
        <v/>
      </c>
      <c r="AI172" s="11" t="str">
        <f t="shared" si="171"/>
        <v/>
      </c>
      <c r="AJ172" s="11" t="str">
        <f t="shared" si="171"/>
        <v/>
      </c>
      <c r="AK172" s="11" t="str">
        <f t="shared" si="171"/>
        <v/>
      </c>
      <c r="AL172" s="11" t="str">
        <f t="shared" si="171"/>
        <v/>
      </c>
      <c r="AM172" s="11" t="str">
        <f t="shared" si="171"/>
        <v/>
      </c>
      <c r="AN172" s="11" t="str">
        <f t="shared" si="171"/>
        <v/>
      </c>
      <c r="AO172" s="11" t="str">
        <f t="shared" si="171"/>
        <v/>
      </c>
      <c r="AP172" s="21" t="str">
        <f t="shared" si="119"/>
        <v/>
      </c>
    </row>
    <row r="173" ht="16.5" customHeight="1">
      <c r="A173" s="32" t="s">
        <v>2697</v>
      </c>
      <c r="B173" s="32" t="s">
        <v>2697</v>
      </c>
      <c r="C173" s="32" t="s">
        <v>2800</v>
      </c>
      <c r="D173" s="32" t="s">
        <v>2801</v>
      </c>
      <c r="E173" s="36"/>
      <c r="F173" s="4"/>
      <c r="G173" s="4"/>
      <c r="H173" s="4"/>
      <c r="K173" s="18"/>
      <c r="L173" s="33"/>
      <c r="M173" s="20"/>
      <c r="N173" s="20"/>
      <c r="O173" s="20"/>
      <c r="P173" s="20"/>
      <c r="Q173" s="20"/>
      <c r="R173" s="20"/>
      <c r="S173" s="20"/>
      <c r="T173" s="20"/>
      <c r="U173" s="34"/>
      <c r="AF173" s="11" t="str">
        <f t="shared" si="117"/>
        <v/>
      </c>
      <c r="AG173" s="11" t="str">
        <f t="shared" ref="AG173:AO173" si="172">if(not(isblank(M173)),", "&amp;M173,"")</f>
        <v/>
      </c>
      <c r="AH173" s="11" t="str">
        <f t="shared" si="172"/>
        <v/>
      </c>
      <c r="AI173" s="11" t="str">
        <f t="shared" si="172"/>
        <v/>
      </c>
      <c r="AJ173" s="11" t="str">
        <f t="shared" si="172"/>
        <v/>
      </c>
      <c r="AK173" s="11" t="str">
        <f t="shared" si="172"/>
        <v/>
      </c>
      <c r="AL173" s="11" t="str">
        <f t="shared" si="172"/>
        <v/>
      </c>
      <c r="AM173" s="11" t="str">
        <f t="shared" si="172"/>
        <v/>
      </c>
      <c r="AN173" s="11" t="str">
        <f t="shared" si="172"/>
        <v/>
      </c>
      <c r="AO173" s="11" t="str">
        <f t="shared" si="172"/>
        <v/>
      </c>
      <c r="AP173" s="21" t="str">
        <f t="shared" si="119"/>
        <v/>
      </c>
    </row>
    <row r="174" ht="16.5" customHeight="1">
      <c r="A174" s="32" t="s">
        <v>2697</v>
      </c>
      <c r="B174" s="32" t="s">
        <v>2697</v>
      </c>
      <c r="C174" s="32" t="s">
        <v>2802</v>
      </c>
      <c r="D174" s="32" t="s">
        <v>2803</v>
      </c>
      <c r="E174" s="36"/>
      <c r="F174" s="4"/>
      <c r="G174" s="4"/>
      <c r="H174" s="4"/>
      <c r="K174" s="18"/>
      <c r="L174" s="33"/>
      <c r="M174" s="20"/>
      <c r="N174" s="20"/>
      <c r="O174" s="20"/>
      <c r="P174" s="20"/>
      <c r="Q174" s="20"/>
      <c r="R174" s="20"/>
      <c r="S174" s="20"/>
      <c r="T174" s="20"/>
      <c r="U174" s="34"/>
      <c r="AF174" s="11" t="str">
        <f t="shared" si="117"/>
        <v/>
      </c>
      <c r="AG174" s="11" t="str">
        <f t="shared" ref="AG174:AO174" si="173">if(not(isblank(M174)),", "&amp;M174,"")</f>
        <v/>
      </c>
      <c r="AH174" s="11" t="str">
        <f t="shared" si="173"/>
        <v/>
      </c>
      <c r="AI174" s="11" t="str">
        <f t="shared" si="173"/>
        <v/>
      </c>
      <c r="AJ174" s="11" t="str">
        <f t="shared" si="173"/>
        <v/>
      </c>
      <c r="AK174" s="11" t="str">
        <f t="shared" si="173"/>
        <v/>
      </c>
      <c r="AL174" s="11" t="str">
        <f t="shared" si="173"/>
        <v/>
      </c>
      <c r="AM174" s="11" t="str">
        <f t="shared" si="173"/>
        <v/>
      </c>
      <c r="AN174" s="11" t="str">
        <f t="shared" si="173"/>
        <v/>
      </c>
      <c r="AO174" s="11" t="str">
        <f t="shared" si="173"/>
        <v/>
      </c>
      <c r="AP174" s="21" t="str">
        <f t="shared" si="119"/>
        <v/>
      </c>
    </row>
    <row r="175" ht="16.5" customHeight="1">
      <c r="A175" s="32" t="s">
        <v>2697</v>
      </c>
      <c r="B175" s="32" t="s">
        <v>2697</v>
      </c>
      <c r="C175" s="32" t="s">
        <v>2804</v>
      </c>
      <c r="D175" s="32" t="s">
        <v>2805</v>
      </c>
      <c r="E175" s="36"/>
      <c r="F175" s="4"/>
      <c r="G175" s="4"/>
      <c r="H175" s="4"/>
      <c r="K175" s="18"/>
      <c r="L175" s="33"/>
      <c r="M175" s="20"/>
      <c r="N175" s="20"/>
      <c r="O175" s="20"/>
      <c r="P175" s="20"/>
      <c r="Q175" s="20"/>
      <c r="R175" s="20"/>
      <c r="S175" s="20"/>
      <c r="T175" s="20"/>
      <c r="U175" s="34"/>
      <c r="AF175" s="11" t="str">
        <f t="shared" si="117"/>
        <v/>
      </c>
      <c r="AG175" s="11" t="str">
        <f t="shared" ref="AG175:AO175" si="174">if(not(isblank(M175)),", "&amp;M175,"")</f>
        <v/>
      </c>
      <c r="AH175" s="11" t="str">
        <f t="shared" si="174"/>
        <v/>
      </c>
      <c r="AI175" s="11" t="str">
        <f t="shared" si="174"/>
        <v/>
      </c>
      <c r="AJ175" s="11" t="str">
        <f t="shared" si="174"/>
        <v/>
      </c>
      <c r="AK175" s="11" t="str">
        <f t="shared" si="174"/>
        <v/>
      </c>
      <c r="AL175" s="11" t="str">
        <f t="shared" si="174"/>
        <v/>
      </c>
      <c r="AM175" s="11" t="str">
        <f t="shared" si="174"/>
        <v/>
      </c>
      <c r="AN175" s="11" t="str">
        <f t="shared" si="174"/>
        <v/>
      </c>
      <c r="AO175" s="11" t="str">
        <f t="shared" si="174"/>
        <v/>
      </c>
      <c r="AP175" s="21" t="str">
        <f t="shared" si="119"/>
        <v/>
      </c>
    </row>
    <row r="176" ht="16.5" customHeight="1">
      <c r="A176" s="32" t="s">
        <v>2697</v>
      </c>
      <c r="B176" s="32" t="s">
        <v>2697</v>
      </c>
      <c r="C176" s="32" t="s">
        <v>2806</v>
      </c>
      <c r="D176" s="32" t="s">
        <v>2807</v>
      </c>
      <c r="E176" s="36"/>
      <c r="F176" s="4"/>
      <c r="G176" s="4"/>
      <c r="H176" s="4"/>
      <c r="K176" s="18"/>
      <c r="L176" s="33"/>
      <c r="M176" s="20"/>
      <c r="N176" s="20"/>
      <c r="O176" s="20"/>
      <c r="P176" s="20"/>
      <c r="Q176" s="20"/>
      <c r="R176" s="20"/>
      <c r="S176" s="20"/>
      <c r="T176" s="20"/>
      <c r="U176" s="34"/>
      <c r="AF176" s="11" t="str">
        <f t="shared" si="117"/>
        <v/>
      </c>
      <c r="AG176" s="11" t="str">
        <f t="shared" ref="AG176:AO176" si="175">if(not(isblank(M176)),", "&amp;M176,"")</f>
        <v/>
      </c>
      <c r="AH176" s="11" t="str">
        <f t="shared" si="175"/>
        <v/>
      </c>
      <c r="AI176" s="11" t="str">
        <f t="shared" si="175"/>
        <v/>
      </c>
      <c r="AJ176" s="11" t="str">
        <f t="shared" si="175"/>
        <v/>
      </c>
      <c r="AK176" s="11" t="str">
        <f t="shared" si="175"/>
        <v/>
      </c>
      <c r="AL176" s="11" t="str">
        <f t="shared" si="175"/>
        <v/>
      </c>
      <c r="AM176" s="11" t="str">
        <f t="shared" si="175"/>
        <v/>
      </c>
      <c r="AN176" s="11" t="str">
        <f t="shared" si="175"/>
        <v/>
      </c>
      <c r="AO176" s="11" t="str">
        <f t="shared" si="175"/>
        <v/>
      </c>
      <c r="AP176" s="21" t="str">
        <f t="shared" si="119"/>
        <v/>
      </c>
    </row>
    <row r="177" ht="16.5" customHeight="1">
      <c r="A177" s="32" t="s">
        <v>2697</v>
      </c>
      <c r="B177" s="32" t="s">
        <v>2697</v>
      </c>
      <c r="C177" s="32" t="s">
        <v>2808</v>
      </c>
      <c r="D177" s="32" t="s">
        <v>2809</v>
      </c>
      <c r="E177" s="36"/>
      <c r="F177" s="4"/>
      <c r="G177" s="4"/>
      <c r="H177" s="4"/>
      <c r="K177" s="18"/>
      <c r="L177" s="33"/>
      <c r="M177" s="20"/>
      <c r="N177" s="20"/>
      <c r="O177" s="20"/>
      <c r="P177" s="20"/>
      <c r="Q177" s="20"/>
      <c r="R177" s="20"/>
      <c r="S177" s="20"/>
      <c r="T177" s="20"/>
      <c r="U177" s="34"/>
      <c r="AF177" s="11" t="str">
        <f t="shared" si="117"/>
        <v/>
      </c>
      <c r="AG177" s="11" t="str">
        <f t="shared" ref="AG177:AO177" si="176">if(not(isblank(M177)),", "&amp;M177,"")</f>
        <v/>
      </c>
      <c r="AH177" s="11" t="str">
        <f t="shared" si="176"/>
        <v/>
      </c>
      <c r="AI177" s="11" t="str">
        <f t="shared" si="176"/>
        <v/>
      </c>
      <c r="AJ177" s="11" t="str">
        <f t="shared" si="176"/>
        <v/>
      </c>
      <c r="AK177" s="11" t="str">
        <f t="shared" si="176"/>
        <v/>
      </c>
      <c r="AL177" s="11" t="str">
        <f t="shared" si="176"/>
        <v/>
      </c>
      <c r="AM177" s="11" t="str">
        <f t="shared" si="176"/>
        <v/>
      </c>
      <c r="AN177" s="11" t="str">
        <f t="shared" si="176"/>
        <v/>
      </c>
      <c r="AO177" s="11" t="str">
        <f t="shared" si="176"/>
        <v/>
      </c>
      <c r="AP177" s="21" t="str">
        <f t="shared" si="119"/>
        <v/>
      </c>
    </row>
    <row r="178" ht="16.5" customHeight="1">
      <c r="A178" s="32" t="s">
        <v>2697</v>
      </c>
      <c r="B178" s="32" t="s">
        <v>2697</v>
      </c>
      <c r="C178" s="32" t="s">
        <v>2810</v>
      </c>
      <c r="D178" s="32" t="s">
        <v>2811</v>
      </c>
      <c r="E178" s="36"/>
      <c r="F178" s="4"/>
      <c r="G178" s="4"/>
      <c r="H178" s="4"/>
      <c r="K178" s="18"/>
      <c r="L178" s="33"/>
      <c r="M178" s="20"/>
      <c r="N178" s="20"/>
      <c r="O178" s="20"/>
      <c r="P178" s="20"/>
      <c r="Q178" s="20"/>
      <c r="R178" s="20"/>
      <c r="S178" s="20"/>
      <c r="T178" s="20"/>
      <c r="U178" s="34"/>
      <c r="AF178" s="11" t="str">
        <f t="shared" si="117"/>
        <v/>
      </c>
      <c r="AG178" s="11" t="str">
        <f t="shared" ref="AG178:AO178" si="177">if(not(isblank(M178)),", "&amp;M178,"")</f>
        <v/>
      </c>
      <c r="AH178" s="11" t="str">
        <f t="shared" si="177"/>
        <v/>
      </c>
      <c r="AI178" s="11" t="str">
        <f t="shared" si="177"/>
        <v/>
      </c>
      <c r="AJ178" s="11" t="str">
        <f t="shared" si="177"/>
        <v/>
      </c>
      <c r="AK178" s="11" t="str">
        <f t="shared" si="177"/>
        <v/>
      </c>
      <c r="AL178" s="11" t="str">
        <f t="shared" si="177"/>
        <v/>
      </c>
      <c r="AM178" s="11" t="str">
        <f t="shared" si="177"/>
        <v/>
      </c>
      <c r="AN178" s="11" t="str">
        <f t="shared" si="177"/>
        <v/>
      </c>
      <c r="AO178" s="11" t="str">
        <f t="shared" si="177"/>
        <v/>
      </c>
      <c r="AP178" s="21" t="str">
        <f t="shared" si="119"/>
        <v/>
      </c>
    </row>
    <row r="179" ht="16.5" customHeight="1">
      <c r="A179" s="32" t="s">
        <v>2697</v>
      </c>
      <c r="B179" s="32" t="s">
        <v>2697</v>
      </c>
      <c r="C179" s="32" t="s">
        <v>2812</v>
      </c>
      <c r="D179" s="32" t="s">
        <v>2813</v>
      </c>
      <c r="E179" s="36"/>
      <c r="F179" s="4"/>
      <c r="G179" s="4"/>
      <c r="H179" s="4"/>
      <c r="K179" s="18"/>
      <c r="L179" s="33"/>
      <c r="M179" s="20"/>
      <c r="N179" s="20"/>
      <c r="O179" s="20"/>
      <c r="P179" s="20"/>
      <c r="Q179" s="20"/>
      <c r="R179" s="20"/>
      <c r="S179" s="20"/>
      <c r="T179" s="20"/>
      <c r="U179" s="34"/>
      <c r="AF179" s="11" t="str">
        <f t="shared" si="117"/>
        <v/>
      </c>
      <c r="AG179" s="11" t="str">
        <f t="shared" ref="AG179:AO179" si="178">if(not(isblank(M179)),", "&amp;M179,"")</f>
        <v/>
      </c>
      <c r="AH179" s="11" t="str">
        <f t="shared" si="178"/>
        <v/>
      </c>
      <c r="AI179" s="11" t="str">
        <f t="shared" si="178"/>
        <v/>
      </c>
      <c r="AJ179" s="11" t="str">
        <f t="shared" si="178"/>
        <v/>
      </c>
      <c r="AK179" s="11" t="str">
        <f t="shared" si="178"/>
        <v/>
      </c>
      <c r="AL179" s="11" t="str">
        <f t="shared" si="178"/>
        <v/>
      </c>
      <c r="AM179" s="11" t="str">
        <f t="shared" si="178"/>
        <v/>
      </c>
      <c r="AN179" s="11" t="str">
        <f t="shared" si="178"/>
        <v/>
      </c>
      <c r="AO179" s="11" t="str">
        <f t="shared" si="178"/>
        <v/>
      </c>
      <c r="AP179" s="21" t="str">
        <f t="shared" si="119"/>
        <v/>
      </c>
    </row>
    <row r="180" ht="16.5" customHeight="1">
      <c r="A180" s="32" t="s">
        <v>2697</v>
      </c>
      <c r="B180" s="32" t="s">
        <v>2697</v>
      </c>
      <c r="C180" s="32" t="s">
        <v>2814</v>
      </c>
      <c r="D180" s="32" t="s">
        <v>2815</v>
      </c>
      <c r="E180" s="36"/>
      <c r="F180" s="4"/>
      <c r="G180" s="4"/>
      <c r="H180" s="4"/>
      <c r="K180" s="18"/>
      <c r="L180" s="33"/>
      <c r="M180" s="20"/>
      <c r="N180" s="20"/>
      <c r="O180" s="20"/>
      <c r="P180" s="20"/>
      <c r="Q180" s="20"/>
      <c r="R180" s="20"/>
      <c r="S180" s="20"/>
      <c r="T180" s="20"/>
      <c r="U180" s="34"/>
      <c r="AF180" s="11" t="str">
        <f t="shared" si="117"/>
        <v/>
      </c>
      <c r="AG180" s="11" t="str">
        <f t="shared" ref="AG180:AO180" si="179">if(not(isblank(M180)),", "&amp;M180,"")</f>
        <v/>
      </c>
      <c r="AH180" s="11" t="str">
        <f t="shared" si="179"/>
        <v/>
      </c>
      <c r="AI180" s="11" t="str">
        <f t="shared" si="179"/>
        <v/>
      </c>
      <c r="AJ180" s="11" t="str">
        <f t="shared" si="179"/>
        <v/>
      </c>
      <c r="AK180" s="11" t="str">
        <f t="shared" si="179"/>
        <v/>
      </c>
      <c r="AL180" s="11" t="str">
        <f t="shared" si="179"/>
        <v/>
      </c>
      <c r="AM180" s="11" t="str">
        <f t="shared" si="179"/>
        <v/>
      </c>
      <c r="AN180" s="11" t="str">
        <f t="shared" si="179"/>
        <v/>
      </c>
      <c r="AO180" s="11" t="str">
        <f t="shared" si="179"/>
        <v/>
      </c>
      <c r="AP180" s="21" t="str">
        <f t="shared" si="119"/>
        <v/>
      </c>
    </row>
    <row r="181" ht="16.5" customHeight="1">
      <c r="A181" s="32" t="s">
        <v>2697</v>
      </c>
      <c r="B181" s="32" t="s">
        <v>2697</v>
      </c>
      <c r="C181" s="32" t="s">
        <v>2816</v>
      </c>
      <c r="D181" s="32" t="s">
        <v>2817</v>
      </c>
      <c r="E181" s="36"/>
      <c r="F181" s="4"/>
      <c r="G181" s="4"/>
      <c r="H181" s="4"/>
      <c r="K181" s="18"/>
      <c r="L181" s="33"/>
      <c r="M181" s="20"/>
      <c r="N181" s="20"/>
      <c r="O181" s="20"/>
      <c r="P181" s="20"/>
      <c r="Q181" s="20"/>
      <c r="R181" s="20"/>
      <c r="S181" s="20"/>
      <c r="T181" s="20"/>
      <c r="U181" s="34"/>
      <c r="AF181" s="11" t="str">
        <f t="shared" si="117"/>
        <v/>
      </c>
      <c r="AG181" s="11" t="str">
        <f t="shared" ref="AG181:AO181" si="180">if(not(isblank(M181)),", "&amp;M181,"")</f>
        <v/>
      </c>
      <c r="AH181" s="11" t="str">
        <f t="shared" si="180"/>
        <v/>
      </c>
      <c r="AI181" s="11" t="str">
        <f t="shared" si="180"/>
        <v/>
      </c>
      <c r="AJ181" s="11" t="str">
        <f t="shared" si="180"/>
        <v/>
      </c>
      <c r="AK181" s="11" t="str">
        <f t="shared" si="180"/>
        <v/>
      </c>
      <c r="AL181" s="11" t="str">
        <f t="shared" si="180"/>
        <v/>
      </c>
      <c r="AM181" s="11" t="str">
        <f t="shared" si="180"/>
        <v/>
      </c>
      <c r="AN181" s="11" t="str">
        <f t="shared" si="180"/>
        <v/>
      </c>
      <c r="AO181" s="11" t="str">
        <f t="shared" si="180"/>
        <v/>
      </c>
      <c r="AP181" s="21" t="str">
        <f t="shared" si="119"/>
        <v/>
      </c>
    </row>
    <row r="182" ht="16.5" customHeight="1">
      <c r="A182" s="32" t="s">
        <v>2697</v>
      </c>
      <c r="B182" s="32" t="s">
        <v>2697</v>
      </c>
      <c r="C182" s="32" t="s">
        <v>2818</v>
      </c>
      <c r="D182" s="32" t="s">
        <v>2819</v>
      </c>
      <c r="E182" s="36"/>
      <c r="F182" s="4"/>
      <c r="G182" s="4"/>
      <c r="H182" s="4"/>
      <c r="K182" s="18"/>
      <c r="L182" s="33"/>
      <c r="M182" s="20"/>
      <c r="N182" s="20"/>
      <c r="O182" s="20"/>
      <c r="P182" s="20"/>
      <c r="Q182" s="20"/>
      <c r="R182" s="20"/>
      <c r="S182" s="20"/>
      <c r="T182" s="20"/>
      <c r="U182" s="34"/>
      <c r="AF182" s="11" t="str">
        <f t="shared" si="117"/>
        <v/>
      </c>
      <c r="AG182" s="11" t="str">
        <f t="shared" ref="AG182:AO182" si="181">if(not(isblank(M182)),", "&amp;M182,"")</f>
        <v/>
      </c>
      <c r="AH182" s="11" t="str">
        <f t="shared" si="181"/>
        <v/>
      </c>
      <c r="AI182" s="11" t="str">
        <f t="shared" si="181"/>
        <v/>
      </c>
      <c r="AJ182" s="11" t="str">
        <f t="shared" si="181"/>
        <v/>
      </c>
      <c r="AK182" s="11" t="str">
        <f t="shared" si="181"/>
        <v/>
      </c>
      <c r="AL182" s="11" t="str">
        <f t="shared" si="181"/>
        <v/>
      </c>
      <c r="AM182" s="11" t="str">
        <f t="shared" si="181"/>
        <v/>
      </c>
      <c r="AN182" s="11" t="str">
        <f t="shared" si="181"/>
        <v/>
      </c>
      <c r="AO182" s="11" t="str">
        <f t="shared" si="181"/>
        <v/>
      </c>
      <c r="AP182" s="21" t="str">
        <f t="shared" si="119"/>
        <v/>
      </c>
    </row>
    <row r="183" ht="16.5" customHeight="1">
      <c r="A183" s="32" t="s">
        <v>2697</v>
      </c>
      <c r="B183" s="32" t="s">
        <v>2697</v>
      </c>
      <c r="C183" s="32" t="s">
        <v>2820</v>
      </c>
      <c r="D183" s="32" t="s">
        <v>2821</v>
      </c>
      <c r="E183" s="36"/>
      <c r="F183" s="4"/>
      <c r="G183" s="4"/>
      <c r="H183" s="4"/>
      <c r="K183" s="18"/>
      <c r="L183" s="33"/>
      <c r="M183" s="20"/>
      <c r="N183" s="20"/>
      <c r="O183" s="20"/>
      <c r="P183" s="20"/>
      <c r="Q183" s="20"/>
      <c r="R183" s="20"/>
      <c r="S183" s="20"/>
      <c r="T183" s="20"/>
      <c r="U183" s="34"/>
      <c r="AF183" s="11" t="str">
        <f t="shared" si="117"/>
        <v/>
      </c>
      <c r="AG183" s="11" t="str">
        <f t="shared" ref="AG183:AO183" si="182">if(not(isblank(M183)),", "&amp;M183,"")</f>
        <v/>
      </c>
      <c r="AH183" s="11" t="str">
        <f t="shared" si="182"/>
        <v/>
      </c>
      <c r="AI183" s="11" t="str">
        <f t="shared" si="182"/>
        <v/>
      </c>
      <c r="AJ183" s="11" t="str">
        <f t="shared" si="182"/>
        <v/>
      </c>
      <c r="AK183" s="11" t="str">
        <f t="shared" si="182"/>
        <v/>
      </c>
      <c r="AL183" s="11" t="str">
        <f t="shared" si="182"/>
        <v/>
      </c>
      <c r="AM183" s="11" t="str">
        <f t="shared" si="182"/>
        <v/>
      </c>
      <c r="AN183" s="11" t="str">
        <f t="shared" si="182"/>
        <v/>
      </c>
      <c r="AO183" s="11" t="str">
        <f t="shared" si="182"/>
        <v/>
      </c>
      <c r="AP183" s="21" t="str">
        <f t="shared" si="119"/>
        <v/>
      </c>
    </row>
    <row r="184" ht="16.5" customHeight="1">
      <c r="A184" s="32" t="s">
        <v>2697</v>
      </c>
      <c r="B184" s="32" t="s">
        <v>2697</v>
      </c>
      <c r="C184" s="32" t="s">
        <v>2822</v>
      </c>
      <c r="D184" s="32" t="s">
        <v>2823</v>
      </c>
      <c r="E184" s="36"/>
      <c r="F184" s="4"/>
      <c r="G184" s="4"/>
      <c r="H184" s="4"/>
      <c r="K184" s="18"/>
      <c r="L184" s="33"/>
      <c r="M184" s="20"/>
      <c r="N184" s="20"/>
      <c r="O184" s="20"/>
      <c r="P184" s="20"/>
      <c r="Q184" s="20"/>
      <c r="R184" s="20"/>
      <c r="S184" s="20"/>
      <c r="T184" s="20"/>
      <c r="U184" s="34"/>
      <c r="AF184" s="11" t="str">
        <f t="shared" si="117"/>
        <v/>
      </c>
      <c r="AG184" s="11" t="str">
        <f t="shared" ref="AG184:AO184" si="183">if(not(isblank(M184)),", "&amp;M184,"")</f>
        <v/>
      </c>
      <c r="AH184" s="11" t="str">
        <f t="shared" si="183"/>
        <v/>
      </c>
      <c r="AI184" s="11" t="str">
        <f t="shared" si="183"/>
        <v/>
      </c>
      <c r="AJ184" s="11" t="str">
        <f t="shared" si="183"/>
        <v/>
      </c>
      <c r="AK184" s="11" t="str">
        <f t="shared" si="183"/>
        <v/>
      </c>
      <c r="AL184" s="11" t="str">
        <f t="shared" si="183"/>
        <v/>
      </c>
      <c r="AM184" s="11" t="str">
        <f t="shared" si="183"/>
        <v/>
      </c>
      <c r="AN184" s="11" t="str">
        <f t="shared" si="183"/>
        <v/>
      </c>
      <c r="AO184" s="11" t="str">
        <f t="shared" si="183"/>
        <v/>
      </c>
      <c r="AP184" s="21" t="str">
        <f t="shared" si="119"/>
        <v/>
      </c>
    </row>
    <row r="185" ht="16.5" customHeight="1">
      <c r="A185" s="32" t="s">
        <v>2697</v>
      </c>
      <c r="B185" s="32" t="s">
        <v>2697</v>
      </c>
      <c r="C185" s="32" t="s">
        <v>2824</v>
      </c>
      <c r="D185" s="32" t="s">
        <v>2825</v>
      </c>
      <c r="E185" s="36"/>
      <c r="F185" s="4"/>
      <c r="G185" s="4"/>
      <c r="H185" s="4"/>
      <c r="K185" s="18"/>
      <c r="L185" s="35"/>
      <c r="M185" s="19"/>
      <c r="N185" s="19"/>
      <c r="O185" s="19"/>
      <c r="P185" s="20"/>
      <c r="Q185" s="20"/>
      <c r="R185" s="20"/>
      <c r="S185" s="20"/>
      <c r="T185" s="20"/>
      <c r="U185" s="34"/>
      <c r="AF185" s="11" t="str">
        <f t="shared" si="117"/>
        <v/>
      </c>
      <c r="AG185" s="11" t="str">
        <f t="shared" ref="AG185:AO185" si="184">if(not(isblank(M185)),", "&amp;M185,"")</f>
        <v/>
      </c>
      <c r="AH185" s="11" t="str">
        <f t="shared" si="184"/>
        <v/>
      </c>
      <c r="AI185" s="11" t="str">
        <f t="shared" si="184"/>
        <v/>
      </c>
      <c r="AJ185" s="11" t="str">
        <f t="shared" si="184"/>
        <v/>
      </c>
      <c r="AK185" s="11" t="str">
        <f t="shared" si="184"/>
        <v/>
      </c>
      <c r="AL185" s="11" t="str">
        <f t="shared" si="184"/>
        <v/>
      </c>
      <c r="AM185" s="11" t="str">
        <f t="shared" si="184"/>
        <v/>
      </c>
      <c r="AN185" s="11" t="str">
        <f t="shared" si="184"/>
        <v/>
      </c>
      <c r="AO185" s="11" t="str">
        <f t="shared" si="184"/>
        <v/>
      </c>
      <c r="AP185" s="21" t="str">
        <f t="shared" si="119"/>
        <v/>
      </c>
    </row>
    <row r="186" ht="16.5" customHeight="1">
      <c r="A186" s="32" t="s">
        <v>2697</v>
      </c>
      <c r="B186" s="32" t="s">
        <v>2697</v>
      </c>
      <c r="C186" s="32" t="s">
        <v>2826</v>
      </c>
      <c r="D186" s="32" t="s">
        <v>2827</v>
      </c>
      <c r="E186" s="36"/>
      <c r="F186" s="4"/>
      <c r="G186" s="4"/>
      <c r="H186" s="4"/>
      <c r="K186" s="18"/>
      <c r="L186" s="33"/>
      <c r="M186" s="20"/>
      <c r="N186" s="20"/>
      <c r="O186" s="20"/>
      <c r="P186" s="20"/>
      <c r="Q186" s="20"/>
      <c r="R186" s="20"/>
      <c r="S186" s="20"/>
      <c r="T186" s="20"/>
      <c r="U186" s="34"/>
      <c r="AF186" s="11" t="str">
        <f t="shared" si="117"/>
        <v/>
      </c>
      <c r="AG186" s="11" t="str">
        <f t="shared" ref="AG186:AO186" si="185">if(not(isblank(M186)),", "&amp;M186,"")</f>
        <v/>
      </c>
      <c r="AH186" s="11" t="str">
        <f t="shared" si="185"/>
        <v/>
      </c>
      <c r="AI186" s="11" t="str">
        <f t="shared" si="185"/>
        <v/>
      </c>
      <c r="AJ186" s="11" t="str">
        <f t="shared" si="185"/>
        <v/>
      </c>
      <c r="AK186" s="11" t="str">
        <f t="shared" si="185"/>
        <v/>
      </c>
      <c r="AL186" s="11" t="str">
        <f t="shared" si="185"/>
        <v/>
      </c>
      <c r="AM186" s="11" t="str">
        <f t="shared" si="185"/>
        <v/>
      </c>
      <c r="AN186" s="11" t="str">
        <f t="shared" si="185"/>
        <v/>
      </c>
      <c r="AO186" s="11" t="str">
        <f t="shared" si="185"/>
        <v/>
      </c>
      <c r="AP186" s="21" t="str">
        <f t="shared" si="119"/>
        <v/>
      </c>
    </row>
    <row r="187" ht="16.5" customHeight="1">
      <c r="A187" s="32" t="s">
        <v>2697</v>
      </c>
      <c r="B187" s="32" t="s">
        <v>2697</v>
      </c>
      <c r="C187" s="32" t="s">
        <v>2828</v>
      </c>
      <c r="D187" s="32" t="s">
        <v>2755</v>
      </c>
      <c r="E187" s="36"/>
      <c r="F187" s="4"/>
      <c r="G187" s="4"/>
      <c r="H187" s="4"/>
      <c r="K187" s="18"/>
      <c r="L187" s="33"/>
      <c r="M187" s="20"/>
      <c r="N187" s="20"/>
      <c r="O187" s="20"/>
      <c r="P187" s="20"/>
      <c r="Q187" s="20"/>
      <c r="R187" s="20"/>
      <c r="S187" s="20"/>
      <c r="T187" s="20"/>
      <c r="U187" s="34"/>
      <c r="AF187" s="11" t="str">
        <f t="shared" si="117"/>
        <v/>
      </c>
      <c r="AG187" s="11" t="str">
        <f t="shared" ref="AG187:AO187" si="186">if(not(isblank(M187)),", "&amp;M187,"")</f>
        <v/>
      </c>
      <c r="AH187" s="11" t="str">
        <f t="shared" si="186"/>
        <v/>
      </c>
      <c r="AI187" s="11" t="str">
        <f t="shared" si="186"/>
        <v/>
      </c>
      <c r="AJ187" s="11" t="str">
        <f t="shared" si="186"/>
        <v/>
      </c>
      <c r="AK187" s="11" t="str">
        <f t="shared" si="186"/>
        <v/>
      </c>
      <c r="AL187" s="11" t="str">
        <f t="shared" si="186"/>
        <v/>
      </c>
      <c r="AM187" s="11" t="str">
        <f t="shared" si="186"/>
        <v/>
      </c>
      <c r="AN187" s="11" t="str">
        <f t="shared" si="186"/>
        <v/>
      </c>
      <c r="AO187" s="11" t="str">
        <f t="shared" si="186"/>
        <v/>
      </c>
      <c r="AP187" s="21" t="str">
        <f t="shared" si="119"/>
        <v/>
      </c>
    </row>
    <row r="188" ht="16.5" customHeight="1">
      <c r="A188" s="32" t="s">
        <v>2697</v>
      </c>
      <c r="B188" s="32" t="s">
        <v>2697</v>
      </c>
      <c r="C188" s="32" t="s">
        <v>2829</v>
      </c>
      <c r="D188" s="32" t="s">
        <v>2830</v>
      </c>
      <c r="E188" s="36"/>
      <c r="F188" s="4"/>
      <c r="G188" s="4"/>
      <c r="H188" s="4"/>
      <c r="K188" s="18"/>
      <c r="L188" s="33"/>
      <c r="M188" s="20"/>
      <c r="N188" s="20"/>
      <c r="O188" s="20"/>
      <c r="P188" s="20"/>
      <c r="Q188" s="20"/>
      <c r="R188" s="20"/>
      <c r="S188" s="20"/>
      <c r="T188" s="20"/>
      <c r="U188" s="34"/>
      <c r="AF188" s="11" t="str">
        <f t="shared" si="117"/>
        <v/>
      </c>
      <c r="AG188" s="11" t="str">
        <f t="shared" ref="AG188:AO188" si="187">if(not(isblank(M188)),", "&amp;M188,"")</f>
        <v/>
      </c>
      <c r="AH188" s="11" t="str">
        <f t="shared" si="187"/>
        <v/>
      </c>
      <c r="AI188" s="11" t="str">
        <f t="shared" si="187"/>
        <v/>
      </c>
      <c r="AJ188" s="11" t="str">
        <f t="shared" si="187"/>
        <v/>
      </c>
      <c r="AK188" s="11" t="str">
        <f t="shared" si="187"/>
        <v/>
      </c>
      <c r="AL188" s="11" t="str">
        <f t="shared" si="187"/>
        <v/>
      </c>
      <c r="AM188" s="11" t="str">
        <f t="shared" si="187"/>
        <v/>
      </c>
      <c r="AN188" s="11" t="str">
        <f t="shared" si="187"/>
        <v/>
      </c>
      <c r="AO188" s="11" t="str">
        <f t="shared" si="187"/>
        <v/>
      </c>
      <c r="AP188" s="21" t="str">
        <f t="shared" si="119"/>
        <v/>
      </c>
    </row>
    <row r="189" ht="16.5" customHeight="1">
      <c r="A189" s="32" t="s">
        <v>2697</v>
      </c>
      <c r="B189" s="32" t="s">
        <v>2697</v>
      </c>
      <c r="C189" s="32" t="s">
        <v>2831</v>
      </c>
      <c r="D189" s="32" t="s">
        <v>2832</v>
      </c>
      <c r="E189" s="36"/>
      <c r="F189" s="4"/>
      <c r="G189" s="4"/>
      <c r="H189" s="4"/>
      <c r="K189" s="18"/>
      <c r="L189" s="33"/>
      <c r="M189" s="20"/>
      <c r="N189" s="20"/>
      <c r="O189" s="20"/>
      <c r="P189" s="20"/>
      <c r="Q189" s="20"/>
      <c r="R189" s="20"/>
      <c r="S189" s="20"/>
      <c r="T189" s="20"/>
      <c r="U189" s="34"/>
      <c r="AF189" s="11" t="str">
        <f t="shared" si="117"/>
        <v/>
      </c>
      <c r="AG189" s="11" t="str">
        <f t="shared" ref="AG189:AO189" si="188">if(not(isblank(M189)),", "&amp;M189,"")</f>
        <v/>
      </c>
      <c r="AH189" s="11" t="str">
        <f t="shared" si="188"/>
        <v/>
      </c>
      <c r="AI189" s="11" t="str">
        <f t="shared" si="188"/>
        <v/>
      </c>
      <c r="AJ189" s="11" t="str">
        <f t="shared" si="188"/>
        <v/>
      </c>
      <c r="AK189" s="11" t="str">
        <f t="shared" si="188"/>
        <v/>
      </c>
      <c r="AL189" s="11" t="str">
        <f t="shared" si="188"/>
        <v/>
      </c>
      <c r="AM189" s="11" t="str">
        <f t="shared" si="188"/>
        <v/>
      </c>
      <c r="AN189" s="11" t="str">
        <f t="shared" si="188"/>
        <v/>
      </c>
      <c r="AO189" s="11" t="str">
        <f t="shared" si="188"/>
        <v/>
      </c>
      <c r="AP189" s="21" t="str">
        <f t="shared" si="119"/>
        <v/>
      </c>
    </row>
    <row r="190" ht="16.5" customHeight="1">
      <c r="A190" s="32" t="s">
        <v>2697</v>
      </c>
      <c r="B190" s="32" t="s">
        <v>2697</v>
      </c>
      <c r="C190" s="32" t="s">
        <v>2833</v>
      </c>
      <c r="D190" s="32" t="s">
        <v>2834</v>
      </c>
      <c r="E190" s="36"/>
      <c r="F190" s="4"/>
      <c r="G190" s="4"/>
      <c r="H190" s="4"/>
      <c r="K190" s="18"/>
      <c r="L190" s="33"/>
      <c r="M190" s="20"/>
      <c r="N190" s="20"/>
      <c r="O190" s="20"/>
      <c r="P190" s="20"/>
      <c r="Q190" s="20"/>
      <c r="R190" s="20"/>
      <c r="S190" s="20"/>
      <c r="T190" s="20"/>
      <c r="U190" s="34"/>
      <c r="AF190" s="11" t="str">
        <f t="shared" si="117"/>
        <v/>
      </c>
      <c r="AG190" s="11" t="str">
        <f t="shared" ref="AG190:AO190" si="189">if(not(isblank(M190)),", "&amp;M190,"")</f>
        <v/>
      </c>
      <c r="AH190" s="11" t="str">
        <f t="shared" si="189"/>
        <v/>
      </c>
      <c r="AI190" s="11" t="str">
        <f t="shared" si="189"/>
        <v/>
      </c>
      <c r="AJ190" s="11" t="str">
        <f t="shared" si="189"/>
        <v/>
      </c>
      <c r="AK190" s="11" t="str">
        <f t="shared" si="189"/>
        <v/>
      </c>
      <c r="AL190" s="11" t="str">
        <f t="shared" si="189"/>
        <v/>
      </c>
      <c r="AM190" s="11" t="str">
        <f t="shared" si="189"/>
        <v/>
      </c>
      <c r="AN190" s="11" t="str">
        <f t="shared" si="189"/>
        <v/>
      </c>
      <c r="AO190" s="11" t="str">
        <f t="shared" si="189"/>
        <v/>
      </c>
      <c r="AP190" s="21" t="str">
        <f t="shared" si="119"/>
        <v/>
      </c>
    </row>
    <row r="191" ht="16.5" customHeight="1">
      <c r="A191" s="32" t="s">
        <v>2697</v>
      </c>
      <c r="B191" s="32" t="s">
        <v>2697</v>
      </c>
      <c r="C191" s="32" t="s">
        <v>2835</v>
      </c>
      <c r="D191" s="32" t="s">
        <v>2836</v>
      </c>
      <c r="E191" s="36"/>
      <c r="F191" s="4"/>
      <c r="G191" s="4"/>
      <c r="H191" s="4"/>
      <c r="K191" s="18"/>
      <c r="L191" s="33"/>
      <c r="M191" s="20"/>
      <c r="N191" s="20"/>
      <c r="O191" s="20"/>
      <c r="P191" s="20"/>
      <c r="Q191" s="20"/>
      <c r="R191" s="20"/>
      <c r="S191" s="20"/>
      <c r="T191" s="20"/>
      <c r="U191" s="34"/>
      <c r="AF191" s="11" t="str">
        <f t="shared" si="117"/>
        <v/>
      </c>
      <c r="AG191" s="11" t="str">
        <f t="shared" ref="AG191:AO191" si="190">if(not(isblank(M191)),", "&amp;M191,"")</f>
        <v/>
      </c>
      <c r="AH191" s="11" t="str">
        <f t="shared" si="190"/>
        <v/>
      </c>
      <c r="AI191" s="11" t="str">
        <f t="shared" si="190"/>
        <v/>
      </c>
      <c r="AJ191" s="11" t="str">
        <f t="shared" si="190"/>
        <v/>
      </c>
      <c r="AK191" s="11" t="str">
        <f t="shared" si="190"/>
        <v/>
      </c>
      <c r="AL191" s="11" t="str">
        <f t="shared" si="190"/>
        <v/>
      </c>
      <c r="AM191" s="11" t="str">
        <f t="shared" si="190"/>
        <v/>
      </c>
      <c r="AN191" s="11" t="str">
        <f t="shared" si="190"/>
        <v/>
      </c>
      <c r="AO191" s="11" t="str">
        <f t="shared" si="190"/>
        <v/>
      </c>
      <c r="AP191" s="21" t="str">
        <f t="shared" si="119"/>
        <v/>
      </c>
    </row>
    <row r="192" ht="16.5" customHeight="1">
      <c r="A192" s="32" t="s">
        <v>2697</v>
      </c>
      <c r="B192" s="32" t="s">
        <v>2697</v>
      </c>
      <c r="C192" s="32" t="s">
        <v>2837</v>
      </c>
      <c r="D192" s="32" t="s">
        <v>2838</v>
      </c>
      <c r="E192" s="36"/>
      <c r="F192" s="4"/>
      <c r="G192" s="4"/>
      <c r="H192" s="4"/>
      <c r="K192" s="18"/>
      <c r="L192" s="33"/>
      <c r="M192" s="20"/>
      <c r="N192" s="20"/>
      <c r="O192" s="20"/>
      <c r="P192" s="20"/>
      <c r="Q192" s="20"/>
      <c r="R192" s="20"/>
      <c r="S192" s="20"/>
      <c r="T192" s="20"/>
      <c r="U192" s="34"/>
      <c r="AF192" s="11" t="str">
        <f t="shared" si="117"/>
        <v/>
      </c>
      <c r="AG192" s="11" t="str">
        <f t="shared" ref="AG192:AO192" si="191">if(not(isblank(M192)),", "&amp;M192,"")</f>
        <v/>
      </c>
      <c r="AH192" s="11" t="str">
        <f t="shared" si="191"/>
        <v/>
      </c>
      <c r="AI192" s="11" t="str">
        <f t="shared" si="191"/>
        <v/>
      </c>
      <c r="AJ192" s="11" t="str">
        <f t="shared" si="191"/>
        <v/>
      </c>
      <c r="AK192" s="11" t="str">
        <f t="shared" si="191"/>
        <v/>
      </c>
      <c r="AL192" s="11" t="str">
        <f t="shared" si="191"/>
        <v/>
      </c>
      <c r="AM192" s="11" t="str">
        <f t="shared" si="191"/>
        <v/>
      </c>
      <c r="AN192" s="11" t="str">
        <f t="shared" si="191"/>
        <v/>
      </c>
      <c r="AO192" s="11" t="str">
        <f t="shared" si="191"/>
        <v/>
      </c>
      <c r="AP192" s="21" t="str">
        <f t="shared" si="119"/>
        <v/>
      </c>
    </row>
    <row r="193" ht="16.5" customHeight="1">
      <c r="A193" s="32" t="s">
        <v>2697</v>
      </c>
      <c r="B193" s="32" t="s">
        <v>2697</v>
      </c>
      <c r="C193" s="32" t="s">
        <v>2839</v>
      </c>
      <c r="D193" s="32" t="s">
        <v>2840</v>
      </c>
      <c r="E193" s="36"/>
      <c r="F193" s="4"/>
      <c r="G193" s="4"/>
      <c r="H193" s="4"/>
      <c r="K193" s="18"/>
      <c r="L193" s="33"/>
      <c r="M193" s="20"/>
      <c r="N193" s="20"/>
      <c r="O193" s="20"/>
      <c r="P193" s="20"/>
      <c r="Q193" s="20"/>
      <c r="R193" s="20"/>
      <c r="S193" s="20"/>
      <c r="T193" s="20"/>
      <c r="U193" s="34"/>
      <c r="AF193" s="11" t="str">
        <f t="shared" si="117"/>
        <v/>
      </c>
      <c r="AG193" s="11" t="str">
        <f t="shared" ref="AG193:AO193" si="192">if(not(isblank(M193)),", "&amp;M193,"")</f>
        <v/>
      </c>
      <c r="AH193" s="11" t="str">
        <f t="shared" si="192"/>
        <v/>
      </c>
      <c r="AI193" s="11" t="str">
        <f t="shared" si="192"/>
        <v/>
      </c>
      <c r="AJ193" s="11" t="str">
        <f t="shared" si="192"/>
        <v/>
      </c>
      <c r="AK193" s="11" t="str">
        <f t="shared" si="192"/>
        <v/>
      </c>
      <c r="AL193" s="11" t="str">
        <f t="shared" si="192"/>
        <v/>
      </c>
      <c r="AM193" s="11" t="str">
        <f t="shared" si="192"/>
        <v/>
      </c>
      <c r="AN193" s="11" t="str">
        <f t="shared" si="192"/>
        <v/>
      </c>
      <c r="AO193" s="11" t="str">
        <f t="shared" si="192"/>
        <v/>
      </c>
      <c r="AP193" s="21" t="str">
        <f t="shared" si="119"/>
        <v/>
      </c>
    </row>
    <row r="194" ht="16.5" customHeight="1">
      <c r="A194" s="32" t="s">
        <v>2697</v>
      </c>
      <c r="B194" s="32" t="s">
        <v>2697</v>
      </c>
      <c r="C194" s="32" t="s">
        <v>2841</v>
      </c>
      <c r="D194" s="32" t="s">
        <v>2842</v>
      </c>
      <c r="E194" s="36"/>
      <c r="F194" s="4"/>
      <c r="G194" s="4"/>
      <c r="H194" s="4"/>
      <c r="K194" s="18"/>
      <c r="L194" s="33"/>
      <c r="M194" s="20"/>
      <c r="N194" s="20"/>
      <c r="O194" s="20"/>
      <c r="P194" s="20"/>
      <c r="Q194" s="20"/>
      <c r="R194" s="20"/>
      <c r="S194" s="20"/>
      <c r="T194" s="20"/>
      <c r="U194" s="34"/>
      <c r="AF194" s="11" t="str">
        <f t="shared" si="117"/>
        <v/>
      </c>
      <c r="AG194" s="11" t="str">
        <f t="shared" ref="AG194:AO194" si="193">if(not(isblank(M194)),", "&amp;M194,"")</f>
        <v/>
      </c>
      <c r="AH194" s="11" t="str">
        <f t="shared" si="193"/>
        <v/>
      </c>
      <c r="AI194" s="11" t="str">
        <f t="shared" si="193"/>
        <v/>
      </c>
      <c r="AJ194" s="11" t="str">
        <f t="shared" si="193"/>
        <v/>
      </c>
      <c r="AK194" s="11" t="str">
        <f t="shared" si="193"/>
        <v/>
      </c>
      <c r="AL194" s="11" t="str">
        <f t="shared" si="193"/>
        <v/>
      </c>
      <c r="AM194" s="11" t="str">
        <f t="shared" si="193"/>
        <v/>
      </c>
      <c r="AN194" s="11" t="str">
        <f t="shared" si="193"/>
        <v/>
      </c>
      <c r="AO194" s="11" t="str">
        <f t="shared" si="193"/>
        <v/>
      </c>
      <c r="AP194" s="21" t="str">
        <f t="shared" si="119"/>
        <v/>
      </c>
    </row>
    <row r="195" ht="16.5" customHeight="1">
      <c r="A195" s="32" t="s">
        <v>2697</v>
      </c>
      <c r="B195" s="32" t="s">
        <v>2697</v>
      </c>
      <c r="C195" s="32" t="s">
        <v>2843</v>
      </c>
      <c r="D195" s="32" t="s">
        <v>2844</v>
      </c>
      <c r="E195" s="36"/>
      <c r="F195" s="4"/>
      <c r="G195" s="4"/>
      <c r="H195" s="4"/>
      <c r="K195" s="18"/>
      <c r="L195" s="33"/>
      <c r="M195" s="20"/>
      <c r="N195" s="20"/>
      <c r="O195" s="20"/>
      <c r="P195" s="20"/>
      <c r="Q195" s="20"/>
      <c r="R195" s="20"/>
      <c r="S195" s="20"/>
      <c r="T195" s="20"/>
      <c r="U195" s="34"/>
      <c r="AF195" s="11" t="str">
        <f t="shared" si="117"/>
        <v/>
      </c>
      <c r="AG195" s="11" t="str">
        <f t="shared" ref="AG195:AO195" si="194">if(not(isblank(M195)),", "&amp;M195,"")</f>
        <v/>
      </c>
      <c r="AH195" s="11" t="str">
        <f t="shared" si="194"/>
        <v/>
      </c>
      <c r="AI195" s="11" t="str">
        <f t="shared" si="194"/>
        <v/>
      </c>
      <c r="AJ195" s="11" t="str">
        <f t="shared" si="194"/>
        <v/>
      </c>
      <c r="AK195" s="11" t="str">
        <f t="shared" si="194"/>
        <v/>
      </c>
      <c r="AL195" s="11" t="str">
        <f t="shared" si="194"/>
        <v/>
      </c>
      <c r="AM195" s="11" t="str">
        <f t="shared" si="194"/>
        <v/>
      </c>
      <c r="AN195" s="11" t="str">
        <f t="shared" si="194"/>
        <v/>
      </c>
      <c r="AO195" s="11" t="str">
        <f t="shared" si="194"/>
        <v/>
      </c>
      <c r="AP195" s="21" t="str">
        <f t="shared" si="119"/>
        <v/>
      </c>
    </row>
    <row r="196" ht="16.5" customHeight="1">
      <c r="A196" s="32" t="s">
        <v>2697</v>
      </c>
      <c r="B196" s="32" t="s">
        <v>2697</v>
      </c>
      <c r="C196" s="32" t="s">
        <v>2845</v>
      </c>
      <c r="D196" s="32" t="s">
        <v>2846</v>
      </c>
      <c r="E196" s="36"/>
      <c r="F196" s="4"/>
      <c r="G196" s="4"/>
      <c r="H196" s="4"/>
      <c r="K196" s="18"/>
      <c r="L196" s="33"/>
      <c r="M196" s="20"/>
      <c r="N196" s="20"/>
      <c r="O196" s="20"/>
      <c r="P196" s="20"/>
      <c r="Q196" s="20"/>
      <c r="R196" s="20"/>
      <c r="S196" s="20"/>
      <c r="T196" s="20"/>
      <c r="U196" s="34"/>
      <c r="AF196" s="11" t="str">
        <f t="shared" si="117"/>
        <v/>
      </c>
      <c r="AG196" s="11" t="str">
        <f t="shared" ref="AG196:AO196" si="195">if(not(isblank(M196)),", "&amp;M196,"")</f>
        <v/>
      </c>
      <c r="AH196" s="11" t="str">
        <f t="shared" si="195"/>
        <v/>
      </c>
      <c r="AI196" s="11" t="str">
        <f t="shared" si="195"/>
        <v/>
      </c>
      <c r="AJ196" s="11" t="str">
        <f t="shared" si="195"/>
        <v/>
      </c>
      <c r="AK196" s="11" t="str">
        <f t="shared" si="195"/>
        <v/>
      </c>
      <c r="AL196" s="11" t="str">
        <f t="shared" si="195"/>
        <v/>
      </c>
      <c r="AM196" s="11" t="str">
        <f t="shared" si="195"/>
        <v/>
      </c>
      <c r="AN196" s="11" t="str">
        <f t="shared" si="195"/>
        <v/>
      </c>
      <c r="AO196" s="11" t="str">
        <f t="shared" si="195"/>
        <v/>
      </c>
      <c r="AP196" s="21" t="str">
        <f t="shared" si="119"/>
        <v/>
      </c>
    </row>
    <row r="197" ht="16.5" customHeight="1">
      <c r="A197" s="32" t="s">
        <v>2697</v>
      </c>
      <c r="B197" s="32" t="s">
        <v>2697</v>
      </c>
      <c r="C197" s="32" t="s">
        <v>2847</v>
      </c>
      <c r="D197" s="32" t="s">
        <v>2848</v>
      </c>
      <c r="E197" s="36"/>
      <c r="F197" s="4"/>
      <c r="G197" s="4"/>
      <c r="H197" s="4"/>
      <c r="K197" s="18"/>
      <c r="L197" s="33"/>
      <c r="M197" s="20"/>
      <c r="N197" s="20"/>
      <c r="O197" s="20"/>
      <c r="P197" s="20"/>
      <c r="Q197" s="20"/>
      <c r="R197" s="20"/>
      <c r="S197" s="20"/>
      <c r="T197" s="20"/>
      <c r="U197" s="34"/>
      <c r="AF197" s="11" t="str">
        <f t="shared" si="117"/>
        <v/>
      </c>
      <c r="AG197" s="11" t="str">
        <f t="shared" ref="AG197:AO197" si="196">if(not(isblank(M197)),", "&amp;M197,"")</f>
        <v/>
      </c>
      <c r="AH197" s="11" t="str">
        <f t="shared" si="196"/>
        <v/>
      </c>
      <c r="AI197" s="11" t="str">
        <f t="shared" si="196"/>
        <v/>
      </c>
      <c r="AJ197" s="11" t="str">
        <f t="shared" si="196"/>
        <v/>
      </c>
      <c r="AK197" s="11" t="str">
        <f t="shared" si="196"/>
        <v/>
      </c>
      <c r="AL197" s="11" t="str">
        <f t="shared" si="196"/>
        <v/>
      </c>
      <c r="AM197" s="11" t="str">
        <f t="shared" si="196"/>
        <v/>
      </c>
      <c r="AN197" s="11" t="str">
        <f t="shared" si="196"/>
        <v/>
      </c>
      <c r="AO197" s="11" t="str">
        <f t="shared" si="196"/>
        <v/>
      </c>
      <c r="AP197" s="21" t="str">
        <f t="shared" si="119"/>
        <v/>
      </c>
    </row>
    <row r="198" ht="16.5" customHeight="1">
      <c r="A198" s="32" t="s">
        <v>2697</v>
      </c>
      <c r="B198" s="32" t="s">
        <v>2697</v>
      </c>
      <c r="C198" s="32" t="s">
        <v>2849</v>
      </c>
      <c r="D198" s="32" t="s">
        <v>2850</v>
      </c>
      <c r="E198" s="36"/>
      <c r="F198" s="4"/>
      <c r="G198" s="4"/>
      <c r="H198" s="4"/>
      <c r="K198" s="18"/>
      <c r="L198" s="33"/>
      <c r="M198" s="20"/>
      <c r="N198" s="20"/>
      <c r="O198" s="20"/>
      <c r="P198" s="20"/>
      <c r="Q198" s="20"/>
      <c r="R198" s="20"/>
      <c r="S198" s="20"/>
      <c r="T198" s="20"/>
      <c r="U198" s="34"/>
      <c r="AF198" s="11" t="str">
        <f t="shared" si="117"/>
        <v/>
      </c>
      <c r="AG198" s="11" t="str">
        <f t="shared" ref="AG198:AO198" si="197">if(not(isblank(M198)),", "&amp;M198,"")</f>
        <v/>
      </c>
      <c r="AH198" s="11" t="str">
        <f t="shared" si="197"/>
        <v/>
      </c>
      <c r="AI198" s="11" t="str">
        <f t="shared" si="197"/>
        <v/>
      </c>
      <c r="AJ198" s="11" t="str">
        <f t="shared" si="197"/>
        <v/>
      </c>
      <c r="AK198" s="11" t="str">
        <f t="shared" si="197"/>
        <v/>
      </c>
      <c r="AL198" s="11" t="str">
        <f t="shared" si="197"/>
        <v/>
      </c>
      <c r="AM198" s="11" t="str">
        <f t="shared" si="197"/>
        <v/>
      </c>
      <c r="AN198" s="11" t="str">
        <f t="shared" si="197"/>
        <v/>
      </c>
      <c r="AO198" s="11" t="str">
        <f t="shared" si="197"/>
        <v/>
      </c>
      <c r="AP198" s="21" t="str">
        <f t="shared" si="119"/>
        <v/>
      </c>
    </row>
    <row r="199" ht="16.5" customHeight="1">
      <c r="A199" s="32" t="s">
        <v>2697</v>
      </c>
      <c r="B199" s="32" t="s">
        <v>2697</v>
      </c>
      <c r="C199" s="32" t="s">
        <v>2851</v>
      </c>
      <c r="D199" s="32" t="s">
        <v>2852</v>
      </c>
      <c r="E199" s="36"/>
      <c r="F199" s="4"/>
      <c r="G199" s="4"/>
      <c r="H199" s="4"/>
      <c r="K199" s="18"/>
      <c r="L199" s="33"/>
      <c r="M199" s="20"/>
      <c r="N199" s="20"/>
      <c r="O199" s="20"/>
      <c r="P199" s="20"/>
      <c r="Q199" s="20"/>
      <c r="R199" s="20"/>
      <c r="S199" s="20"/>
      <c r="T199" s="20"/>
      <c r="U199" s="34"/>
      <c r="AF199" s="11" t="str">
        <f t="shared" si="117"/>
        <v/>
      </c>
      <c r="AG199" s="11" t="str">
        <f t="shared" ref="AG199:AO199" si="198">if(not(isblank(M199)),", "&amp;M199,"")</f>
        <v/>
      </c>
      <c r="AH199" s="11" t="str">
        <f t="shared" si="198"/>
        <v/>
      </c>
      <c r="AI199" s="11" t="str">
        <f t="shared" si="198"/>
        <v/>
      </c>
      <c r="AJ199" s="11" t="str">
        <f t="shared" si="198"/>
        <v/>
      </c>
      <c r="AK199" s="11" t="str">
        <f t="shared" si="198"/>
        <v/>
      </c>
      <c r="AL199" s="11" t="str">
        <f t="shared" si="198"/>
        <v/>
      </c>
      <c r="AM199" s="11" t="str">
        <f t="shared" si="198"/>
        <v/>
      </c>
      <c r="AN199" s="11" t="str">
        <f t="shared" si="198"/>
        <v/>
      </c>
      <c r="AO199" s="11" t="str">
        <f t="shared" si="198"/>
        <v/>
      </c>
      <c r="AP199" s="21" t="str">
        <f t="shared" si="119"/>
        <v/>
      </c>
    </row>
    <row r="200" ht="16.5" customHeight="1">
      <c r="A200" s="32" t="s">
        <v>2697</v>
      </c>
      <c r="B200" s="32" t="s">
        <v>2697</v>
      </c>
      <c r="C200" s="32" t="s">
        <v>2853</v>
      </c>
      <c r="D200" s="32" t="s">
        <v>2854</v>
      </c>
      <c r="E200" s="36"/>
      <c r="F200" s="4"/>
      <c r="G200" s="4"/>
      <c r="H200" s="4"/>
      <c r="K200" s="18"/>
      <c r="L200" s="33"/>
      <c r="M200" s="20"/>
      <c r="N200" s="20"/>
      <c r="O200" s="20"/>
      <c r="P200" s="20"/>
      <c r="Q200" s="20"/>
      <c r="R200" s="20"/>
      <c r="S200" s="20"/>
      <c r="T200" s="20"/>
      <c r="U200" s="34"/>
      <c r="AF200" s="11" t="str">
        <f t="shared" si="117"/>
        <v/>
      </c>
      <c r="AG200" s="11" t="str">
        <f t="shared" ref="AG200:AO200" si="199">if(not(isblank(M200)),", "&amp;M200,"")</f>
        <v/>
      </c>
      <c r="AH200" s="11" t="str">
        <f t="shared" si="199"/>
        <v/>
      </c>
      <c r="AI200" s="11" t="str">
        <f t="shared" si="199"/>
        <v/>
      </c>
      <c r="AJ200" s="11" t="str">
        <f t="shared" si="199"/>
        <v/>
      </c>
      <c r="AK200" s="11" t="str">
        <f t="shared" si="199"/>
        <v/>
      </c>
      <c r="AL200" s="11" t="str">
        <f t="shared" si="199"/>
        <v/>
      </c>
      <c r="AM200" s="11" t="str">
        <f t="shared" si="199"/>
        <v/>
      </c>
      <c r="AN200" s="11" t="str">
        <f t="shared" si="199"/>
        <v/>
      </c>
      <c r="AO200" s="11" t="str">
        <f t="shared" si="199"/>
        <v/>
      </c>
      <c r="AP200" s="21" t="str">
        <f t="shared" si="119"/>
        <v/>
      </c>
    </row>
    <row r="201" ht="16.5" customHeight="1">
      <c r="A201" s="32" t="s">
        <v>2697</v>
      </c>
      <c r="B201" s="32" t="s">
        <v>2697</v>
      </c>
      <c r="C201" s="32" t="s">
        <v>2855</v>
      </c>
      <c r="D201" s="32" t="s">
        <v>2856</v>
      </c>
      <c r="E201" s="36"/>
      <c r="F201" s="4"/>
      <c r="G201" s="4"/>
      <c r="H201" s="4"/>
      <c r="K201" s="18"/>
      <c r="L201" s="33"/>
      <c r="M201" s="20"/>
      <c r="N201" s="20"/>
      <c r="O201" s="20"/>
      <c r="P201" s="20"/>
      <c r="Q201" s="20"/>
      <c r="R201" s="20"/>
      <c r="S201" s="20"/>
      <c r="T201" s="20"/>
      <c r="U201" s="34"/>
      <c r="AF201" s="11" t="str">
        <f t="shared" si="117"/>
        <v/>
      </c>
      <c r="AG201" s="11" t="str">
        <f t="shared" ref="AG201:AO201" si="200">if(not(isblank(M201)),", "&amp;M201,"")</f>
        <v/>
      </c>
      <c r="AH201" s="11" t="str">
        <f t="shared" si="200"/>
        <v/>
      </c>
      <c r="AI201" s="11" t="str">
        <f t="shared" si="200"/>
        <v/>
      </c>
      <c r="AJ201" s="11" t="str">
        <f t="shared" si="200"/>
        <v/>
      </c>
      <c r="AK201" s="11" t="str">
        <f t="shared" si="200"/>
        <v/>
      </c>
      <c r="AL201" s="11" t="str">
        <f t="shared" si="200"/>
        <v/>
      </c>
      <c r="AM201" s="11" t="str">
        <f t="shared" si="200"/>
        <v/>
      </c>
      <c r="AN201" s="11" t="str">
        <f t="shared" si="200"/>
        <v/>
      </c>
      <c r="AO201" s="11" t="str">
        <f t="shared" si="200"/>
        <v/>
      </c>
      <c r="AP201" s="21" t="str">
        <f t="shared" si="119"/>
        <v/>
      </c>
    </row>
    <row r="202" ht="16.5" customHeight="1">
      <c r="A202" s="32" t="s">
        <v>2697</v>
      </c>
      <c r="B202" s="32" t="s">
        <v>2697</v>
      </c>
      <c r="C202" s="32" t="s">
        <v>2857</v>
      </c>
      <c r="D202" s="32" t="s">
        <v>2858</v>
      </c>
      <c r="E202" s="36"/>
      <c r="F202" s="4"/>
      <c r="G202" s="4"/>
      <c r="H202" s="4"/>
      <c r="K202" s="18"/>
      <c r="L202" s="33"/>
      <c r="M202" s="20"/>
      <c r="N202" s="20"/>
      <c r="O202" s="20"/>
      <c r="P202" s="20"/>
      <c r="Q202" s="20"/>
      <c r="R202" s="20"/>
      <c r="S202" s="20"/>
      <c r="T202" s="20"/>
      <c r="U202" s="34"/>
      <c r="AF202" s="11" t="str">
        <f t="shared" si="117"/>
        <v/>
      </c>
      <c r="AG202" s="11" t="str">
        <f t="shared" ref="AG202:AO202" si="201">if(not(isblank(M202)),", "&amp;M202,"")</f>
        <v/>
      </c>
      <c r="AH202" s="11" t="str">
        <f t="shared" si="201"/>
        <v/>
      </c>
      <c r="AI202" s="11" t="str">
        <f t="shared" si="201"/>
        <v/>
      </c>
      <c r="AJ202" s="11" t="str">
        <f t="shared" si="201"/>
        <v/>
      </c>
      <c r="AK202" s="11" t="str">
        <f t="shared" si="201"/>
        <v/>
      </c>
      <c r="AL202" s="11" t="str">
        <f t="shared" si="201"/>
        <v/>
      </c>
      <c r="AM202" s="11" t="str">
        <f t="shared" si="201"/>
        <v/>
      </c>
      <c r="AN202" s="11" t="str">
        <f t="shared" si="201"/>
        <v/>
      </c>
      <c r="AO202" s="11" t="str">
        <f t="shared" si="201"/>
        <v/>
      </c>
      <c r="AP202" s="21" t="str">
        <f t="shared" si="119"/>
        <v/>
      </c>
    </row>
    <row r="203" ht="16.5" customHeight="1">
      <c r="A203" s="32" t="s">
        <v>2697</v>
      </c>
      <c r="B203" s="32" t="s">
        <v>2697</v>
      </c>
      <c r="C203" s="32" t="s">
        <v>2859</v>
      </c>
      <c r="D203" s="32" t="s">
        <v>2860</v>
      </c>
      <c r="E203" s="36"/>
      <c r="F203" s="4"/>
      <c r="G203" s="4"/>
      <c r="H203" s="4"/>
      <c r="K203" s="18"/>
      <c r="L203" s="33"/>
      <c r="M203" s="20"/>
      <c r="N203" s="20"/>
      <c r="O203" s="20"/>
      <c r="P203" s="20"/>
      <c r="Q203" s="20"/>
      <c r="R203" s="20"/>
      <c r="S203" s="20"/>
      <c r="T203" s="20"/>
      <c r="U203" s="34"/>
      <c r="AF203" s="11" t="str">
        <f t="shared" si="117"/>
        <v/>
      </c>
      <c r="AG203" s="11" t="str">
        <f t="shared" ref="AG203:AO203" si="202">if(not(isblank(M203)),", "&amp;M203,"")</f>
        <v/>
      </c>
      <c r="AH203" s="11" t="str">
        <f t="shared" si="202"/>
        <v/>
      </c>
      <c r="AI203" s="11" t="str">
        <f t="shared" si="202"/>
        <v/>
      </c>
      <c r="AJ203" s="11" t="str">
        <f t="shared" si="202"/>
        <v/>
      </c>
      <c r="AK203" s="11" t="str">
        <f t="shared" si="202"/>
        <v/>
      </c>
      <c r="AL203" s="11" t="str">
        <f t="shared" si="202"/>
        <v/>
      </c>
      <c r="AM203" s="11" t="str">
        <f t="shared" si="202"/>
        <v/>
      </c>
      <c r="AN203" s="11" t="str">
        <f t="shared" si="202"/>
        <v/>
      </c>
      <c r="AO203" s="11" t="str">
        <f t="shared" si="202"/>
        <v/>
      </c>
      <c r="AP203" s="21" t="str">
        <f t="shared" si="119"/>
        <v/>
      </c>
    </row>
    <row r="204" ht="16.5" customHeight="1">
      <c r="A204" s="32" t="s">
        <v>2697</v>
      </c>
      <c r="B204" s="32" t="s">
        <v>2697</v>
      </c>
      <c r="C204" s="32" t="s">
        <v>2861</v>
      </c>
      <c r="D204" s="32" t="s">
        <v>2862</v>
      </c>
      <c r="E204" s="36"/>
      <c r="F204" s="4"/>
      <c r="G204" s="4"/>
      <c r="H204" s="4"/>
      <c r="K204" s="18"/>
      <c r="L204" s="33"/>
      <c r="M204" s="20"/>
      <c r="N204" s="20"/>
      <c r="O204" s="20"/>
      <c r="P204" s="20"/>
      <c r="Q204" s="20"/>
      <c r="R204" s="20"/>
      <c r="S204" s="20"/>
      <c r="T204" s="20"/>
      <c r="U204" s="34"/>
      <c r="AF204" s="11" t="str">
        <f t="shared" si="117"/>
        <v/>
      </c>
      <c r="AG204" s="11" t="str">
        <f t="shared" ref="AG204:AO204" si="203">if(not(isblank(M204)),", "&amp;M204,"")</f>
        <v/>
      </c>
      <c r="AH204" s="11" t="str">
        <f t="shared" si="203"/>
        <v/>
      </c>
      <c r="AI204" s="11" t="str">
        <f t="shared" si="203"/>
        <v/>
      </c>
      <c r="AJ204" s="11" t="str">
        <f t="shared" si="203"/>
        <v/>
      </c>
      <c r="AK204" s="11" t="str">
        <f t="shared" si="203"/>
        <v/>
      </c>
      <c r="AL204" s="11" t="str">
        <f t="shared" si="203"/>
        <v/>
      </c>
      <c r="AM204" s="11" t="str">
        <f t="shared" si="203"/>
        <v/>
      </c>
      <c r="AN204" s="11" t="str">
        <f t="shared" si="203"/>
        <v/>
      </c>
      <c r="AO204" s="11" t="str">
        <f t="shared" si="203"/>
        <v/>
      </c>
      <c r="AP204" s="21" t="str">
        <f t="shared" si="119"/>
        <v/>
      </c>
    </row>
    <row r="205" ht="16.5" customHeight="1">
      <c r="A205" s="32" t="s">
        <v>2697</v>
      </c>
      <c r="B205" s="32" t="s">
        <v>2697</v>
      </c>
      <c r="C205" s="32" t="s">
        <v>2863</v>
      </c>
      <c r="D205" s="32" t="s">
        <v>2864</v>
      </c>
      <c r="E205" s="36"/>
      <c r="F205" s="4"/>
      <c r="G205" s="4"/>
      <c r="H205" s="4"/>
      <c r="K205" s="18"/>
      <c r="L205" s="33"/>
      <c r="M205" s="20"/>
      <c r="N205" s="20"/>
      <c r="O205" s="20"/>
      <c r="P205" s="20"/>
      <c r="Q205" s="20"/>
      <c r="R205" s="20"/>
      <c r="S205" s="20"/>
      <c r="T205" s="20"/>
      <c r="U205" s="34"/>
      <c r="AF205" s="11" t="str">
        <f t="shared" si="117"/>
        <v/>
      </c>
      <c r="AG205" s="11" t="str">
        <f t="shared" ref="AG205:AO205" si="204">if(not(isblank(M205)),", "&amp;M205,"")</f>
        <v/>
      </c>
      <c r="AH205" s="11" t="str">
        <f t="shared" si="204"/>
        <v/>
      </c>
      <c r="AI205" s="11" t="str">
        <f t="shared" si="204"/>
        <v/>
      </c>
      <c r="AJ205" s="11" t="str">
        <f t="shared" si="204"/>
        <v/>
      </c>
      <c r="AK205" s="11" t="str">
        <f t="shared" si="204"/>
        <v/>
      </c>
      <c r="AL205" s="11" t="str">
        <f t="shared" si="204"/>
        <v/>
      </c>
      <c r="AM205" s="11" t="str">
        <f t="shared" si="204"/>
        <v/>
      </c>
      <c r="AN205" s="11" t="str">
        <f t="shared" si="204"/>
        <v/>
      </c>
      <c r="AO205" s="11" t="str">
        <f t="shared" si="204"/>
        <v/>
      </c>
      <c r="AP205" s="21" t="str">
        <f t="shared" si="119"/>
        <v/>
      </c>
    </row>
    <row r="206" ht="16.5" customHeight="1">
      <c r="A206" s="32" t="s">
        <v>2697</v>
      </c>
      <c r="B206" s="32" t="s">
        <v>2697</v>
      </c>
      <c r="C206" s="32" t="s">
        <v>2865</v>
      </c>
      <c r="D206" s="32" t="s">
        <v>2866</v>
      </c>
      <c r="E206" s="36"/>
      <c r="F206" s="4"/>
      <c r="G206" s="4"/>
      <c r="H206" s="4"/>
      <c r="K206" s="18"/>
      <c r="L206" s="33"/>
      <c r="M206" s="20"/>
      <c r="N206" s="20"/>
      <c r="O206" s="20"/>
      <c r="P206" s="20"/>
      <c r="Q206" s="20"/>
      <c r="R206" s="20"/>
      <c r="S206" s="20"/>
      <c r="T206" s="20"/>
      <c r="U206" s="34"/>
      <c r="AF206" s="11" t="str">
        <f t="shared" si="117"/>
        <v/>
      </c>
      <c r="AG206" s="11" t="str">
        <f t="shared" ref="AG206:AO206" si="205">if(not(isblank(M206)),", "&amp;M206,"")</f>
        <v/>
      </c>
      <c r="AH206" s="11" t="str">
        <f t="shared" si="205"/>
        <v/>
      </c>
      <c r="AI206" s="11" t="str">
        <f t="shared" si="205"/>
        <v/>
      </c>
      <c r="AJ206" s="11" t="str">
        <f t="shared" si="205"/>
        <v/>
      </c>
      <c r="AK206" s="11" t="str">
        <f t="shared" si="205"/>
        <v/>
      </c>
      <c r="AL206" s="11" t="str">
        <f t="shared" si="205"/>
        <v/>
      </c>
      <c r="AM206" s="11" t="str">
        <f t="shared" si="205"/>
        <v/>
      </c>
      <c r="AN206" s="11" t="str">
        <f t="shared" si="205"/>
        <v/>
      </c>
      <c r="AO206" s="11" t="str">
        <f t="shared" si="205"/>
        <v/>
      </c>
      <c r="AP206" s="21" t="str">
        <f t="shared" si="119"/>
        <v/>
      </c>
    </row>
    <row r="207" ht="16.5" customHeight="1">
      <c r="A207" s="32" t="s">
        <v>2697</v>
      </c>
      <c r="B207" s="32" t="s">
        <v>2697</v>
      </c>
      <c r="C207" s="32" t="s">
        <v>2867</v>
      </c>
      <c r="D207" s="32" t="s">
        <v>2868</v>
      </c>
      <c r="E207" s="36"/>
      <c r="F207" s="4"/>
      <c r="G207" s="4"/>
      <c r="H207" s="4"/>
      <c r="K207" s="18"/>
      <c r="L207" s="33"/>
      <c r="M207" s="20"/>
      <c r="N207" s="20"/>
      <c r="O207" s="20"/>
      <c r="P207" s="20"/>
      <c r="Q207" s="20"/>
      <c r="R207" s="20"/>
      <c r="S207" s="20"/>
      <c r="T207" s="20"/>
      <c r="U207" s="34"/>
      <c r="AF207" s="11" t="str">
        <f t="shared" si="117"/>
        <v/>
      </c>
      <c r="AG207" s="11" t="str">
        <f t="shared" ref="AG207:AO207" si="206">if(not(isblank(M207)),", "&amp;M207,"")</f>
        <v/>
      </c>
      <c r="AH207" s="11" t="str">
        <f t="shared" si="206"/>
        <v/>
      </c>
      <c r="AI207" s="11" t="str">
        <f t="shared" si="206"/>
        <v/>
      </c>
      <c r="AJ207" s="11" t="str">
        <f t="shared" si="206"/>
        <v/>
      </c>
      <c r="AK207" s="11" t="str">
        <f t="shared" si="206"/>
        <v/>
      </c>
      <c r="AL207" s="11" t="str">
        <f t="shared" si="206"/>
        <v/>
      </c>
      <c r="AM207" s="11" t="str">
        <f t="shared" si="206"/>
        <v/>
      </c>
      <c r="AN207" s="11" t="str">
        <f t="shared" si="206"/>
        <v/>
      </c>
      <c r="AO207" s="11" t="str">
        <f t="shared" si="206"/>
        <v/>
      </c>
      <c r="AP207" s="21" t="str">
        <f t="shared" si="119"/>
        <v/>
      </c>
    </row>
    <row r="208" ht="16.5" customHeight="1">
      <c r="A208" s="32" t="s">
        <v>2697</v>
      </c>
      <c r="B208" s="32" t="s">
        <v>2697</v>
      </c>
      <c r="C208" s="32" t="s">
        <v>2869</v>
      </c>
      <c r="D208" s="32" t="s">
        <v>2870</v>
      </c>
      <c r="E208" s="36"/>
      <c r="F208" s="4"/>
      <c r="G208" s="4"/>
      <c r="H208" s="4"/>
      <c r="K208" s="18"/>
      <c r="L208" s="33"/>
      <c r="M208" s="20"/>
      <c r="N208" s="20"/>
      <c r="O208" s="20"/>
      <c r="P208" s="20"/>
      <c r="Q208" s="20"/>
      <c r="R208" s="20"/>
      <c r="S208" s="20"/>
      <c r="T208" s="20"/>
      <c r="U208" s="34"/>
      <c r="AF208" s="11" t="str">
        <f t="shared" si="117"/>
        <v/>
      </c>
      <c r="AG208" s="11" t="str">
        <f t="shared" ref="AG208:AO208" si="207">if(not(isblank(M208)),", "&amp;M208,"")</f>
        <v/>
      </c>
      <c r="AH208" s="11" t="str">
        <f t="shared" si="207"/>
        <v/>
      </c>
      <c r="AI208" s="11" t="str">
        <f t="shared" si="207"/>
        <v/>
      </c>
      <c r="AJ208" s="11" t="str">
        <f t="shared" si="207"/>
        <v/>
      </c>
      <c r="AK208" s="11" t="str">
        <f t="shared" si="207"/>
        <v/>
      </c>
      <c r="AL208" s="11" t="str">
        <f t="shared" si="207"/>
        <v/>
      </c>
      <c r="AM208" s="11" t="str">
        <f t="shared" si="207"/>
        <v/>
      </c>
      <c r="AN208" s="11" t="str">
        <f t="shared" si="207"/>
        <v/>
      </c>
      <c r="AO208" s="11" t="str">
        <f t="shared" si="207"/>
        <v/>
      </c>
      <c r="AP208" s="21" t="str">
        <f t="shared" si="119"/>
        <v/>
      </c>
    </row>
    <row r="209" ht="16.5" customHeight="1">
      <c r="A209" s="32" t="s">
        <v>2697</v>
      </c>
      <c r="B209" s="32" t="s">
        <v>2697</v>
      </c>
      <c r="C209" s="32" t="s">
        <v>2871</v>
      </c>
      <c r="D209" s="32" t="s">
        <v>2872</v>
      </c>
      <c r="E209" s="36"/>
      <c r="F209" s="4"/>
      <c r="G209" s="4"/>
      <c r="H209" s="4"/>
      <c r="K209" s="18"/>
      <c r="L209" s="33"/>
      <c r="M209" s="20"/>
      <c r="N209" s="20"/>
      <c r="O209" s="20"/>
      <c r="P209" s="20"/>
      <c r="Q209" s="20"/>
      <c r="R209" s="20"/>
      <c r="S209" s="20"/>
      <c r="T209" s="20"/>
      <c r="U209" s="34"/>
      <c r="AF209" s="11" t="str">
        <f t="shared" si="117"/>
        <v/>
      </c>
      <c r="AG209" s="11" t="str">
        <f t="shared" ref="AG209:AO209" si="208">if(not(isblank(M209)),", "&amp;M209,"")</f>
        <v/>
      </c>
      <c r="AH209" s="11" t="str">
        <f t="shared" si="208"/>
        <v/>
      </c>
      <c r="AI209" s="11" t="str">
        <f t="shared" si="208"/>
        <v/>
      </c>
      <c r="AJ209" s="11" t="str">
        <f t="shared" si="208"/>
        <v/>
      </c>
      <c r="AK209" s="11" t="str">
        <f t="shared" si="208"/>
        <v/>
      </c>
      <c r="AL209" s="11" t="str">
        <f t="shared" si="208"/>
        <v/>
      </c>
      <c r="AM209" s="11" t="str">
        <f t="shared" si="208"/>
        <v/>
      </c>
      <c r="AN209" s="11" t="str">
        <f t="shared" si="208"/>
        <v/>
      </c>
      <c r="AO209" s="11" t="str">
        <f t="shared" si="208"/>
        <v/>
      </c>
      <c r="AP209" s="21" t="str">
        <f t="shared" si="119"/>
        <v/>
      </c>
    </row>
    <row r="210" ht="16.5" customHeight="1">
      <c r="A210" s="32" t="s">
        <v>2697</v>
      </c>
      <c r="B210" s="32" t="s">
        <v>2697</v>
      </c>
      <c r="C210" s="32" t="s">
        <v>2873</v>
      </c>
      <c r="D210" s="32" t="s">
        <v>2874</v>
      </c>
      <c r="E210" s="36"/>
      <c r="F210" s="5"/>
      <c r="G210" s="5"/>
      <c r="H210" s="5"/>
      <c r="K210" s="18"/>
      <c r="L210" s="33"/>
      <c r="M210" s="20"/>
      <c r="N210" s="20"/>
      <c r="O210" s="20"/>
      <c r="P210" s="20"/>
      <c r="Q210" s="20"/>
      <c r="R210" s="20"/>
      <c r="S210" s="20"/>
      <c r="T210" s="20"/>
      <c r="U210" s="34"/>
      <c r="AF210" s="11" t="str">
        <f t="shared" si="117"/>
        <v/>
      </c>
      <c r="AG210" s="11" t="str">
        <f t="shared" ref="AG210:AO210" si="209">if(not(isblank(M210)),", "&amp;M210,"")</f>
        <v/>
      </c>
      <c r="AH210" s="11" t="str">
        <f t="shared" si="209"/>
        <v/>
      </c>
      <c r="AI210" s="11" t="str">
        <f t="shared" si="209"/>
        <v/>
      </c>
      <c r="AJ210" s="11" t="str">
        <f t="shared" si="209"/>
        <v/>
      </c>
      <c r="AK210" s="11" t="str">
        <f t="shared" si="209"/>
        <v/>
      </c>
      <c r="AL210" s="11" t="str">
        <f t="shared" si="209"/>
        <v/>
      </c>
      <c r="AM210" s="11" t="str">
        <f t="shared" si="209"/>
        <v/>
      </c>
      <c r="AN210" s="11" t="str">
        <f t="shared" si="209"/>
        <v/>
      </c>
      <c r="AO210" s="11" t="str">
        <f t="shared" si="209"/>
        <v/>
      </c>
      <c r="AP210" s="21" t="str">
        <f t="shared" si="119"/>
        <v/>
      </c>
    </row>
    <row r="211" ht="16.5" customHeight="1">
      <c r="A211" s="32" t="s">
        <v>2697</v>
      </c>
      <c r="B211" s="32" t="s">
        <v>2697</v>
      </c>
      <c r="C211" s="32" t="s">
        <v>2875</v>
      </c>
      <c r="D211" s="32" t="s">
        <v>2876</v>
      </c>
      <c r="E211" s="36"/>
      <c r="F211" s="4"/>
      <c r="G211" s="4"/>
      <c r="H211" s="4"/>
      <c r="K211" s="18"/>
      <c r="L211" s="33"/>
      <c r="M211" s="20"/>
      <c r="N211" s="20"/>
      <c r="O211" s="20"/>
      <c r="P211" s="20"/>
      <c r="Q211" s="20"/>
      <c r="R211" s="20"/>
      <c r="S211" s="20"/>
      <c r="T211" s="20"/>
      <c r="U211" s="34"/>
      <c r="AF211" s="11" t="str">
        <f t="shared" si="117"/>
        <v/>
      </c>
      <c r="AG211" s="11" t="str">
        <f t="shared" ref="AG211:AO211" si="210">if(not(isblank(M211)),", "&amp;M211,"")</f>
        <v/>
      </c>
      <c r="AH211" s="11" t="str">
        <f t="shared" si="210"/>
        <v/>
      </c>
      <c r="AI211" s="11" t="str">
        <f t="shared" si="210"/>
        <v/>
      </c>
      <c r="AJ211" s="11" t="str">
        <f t="shared" si="210"/>
        <v/>
      </c>
      <c r="AK211" s="11" t="str">
        <f t="shared" si="210"/>
        <v/>
      </c>
      <c r="AL211" s="11" t="str">
        <f t="shared" si="210"/>
        <v/>
      </c>
      <c r="AM211" s="11" t="str">
        <f t="shared" si="210"/>
        <v/>
      </c>
      <c r="AN211" s="11" t="str">
        <f t="shared" si="210"/>
        <v/>
      </c>
      <c r="AO211" s="11" t="str">
        <f t="shared" si="210"/>
        <v/>
      </c>
      <c r="AP211" s="21" t="str">
        <f t="shared" si="119"/>
        <v/>
      </c>
    </row>
    <row r="212" ht="16.5" customHeight="1">
      <c r="A212" s="32" t="s">
        <v>2697</v>
      </c>
      <c r="B212" s="32" t="s">
        <v>2697</v>
      </c>
      <c r="C212" s="32" t="s">
        <v>2877</v>
      </c>
      <c r="D212" s="32" t="s">
        <v>2878</v>
      </c>
      <c r="E212" s="36"/>
      <c r="F212" s="4"/>
      <c r="G212" s="4"/>
      <c r="H212" s="4"/>
      <c r="K212" s="18"/>
      <c r="L212" s="33"/>
      <c r="M212" s="20"/>
      <c r="N212" s="20"/>
      <c r="O212" s="20"/>
      <c r="P212" s="20"/>
      <c r="Q212" s="20"/>
      <c r="R212" s="20"/>
      <c r="S212" s="20"/>
      <c r="T212" s="20"/>
      <c r="U212" s="34"/>
      <c r="AF212" s="11" t="str">
        <f t="shared" si="117"/>
        <v/>
      </c>
      <c r="AG212" s="11" t="str">
        <f t="shared" ref="AG212:AO212" si="211">if(not(isblank(M212)),", "&amp;M212,"")</f>
        <v/>
      </c>
      <c r="AH212" s="11" t="str">
        <f t="shared" si="211"/>
        <v/>
      </c>
      <c r="AI212" s="11" t="str">
        <f t="shared" si="211"/>
        <v/>
      </c>
      <c r="AJ212" s="11" t="str">
        <f t="shared" si="211"/>
        <v/>
      </c>
      <c r="AK212" s="11" t="str">
        <f t="shared" si="211"/>
        <v/>
      </c>
      <c r="AL212" s="11" t="str">
        <f t="shared" si="211"/>
        <v/>
      </c>
      <c r="AM212" s="11" t="str">
        <f t="shared" si="211"/>
        <v/>
      </c>
      <c r="AN212" s="11" t="str">
        <f t="shared" si="211"/>
        <v/>
      </c>
      <c r="AO212" s="11" t="str">
        <f t="shared" si="211"/>
        <v/>
      </c>
      <c r="AP212" s="21" t="str">
        <f t="shared" si="119"/>
        <v/>
      </c>
    </row>
    <row r="213" ht="16.5" customHeight="1">
      <c r="A213" s="32" t="s">
        <v>2697</v>
      </c>
      <c r="B213" s="32" t="s">
        <v>2697</v>
      </c>
      <c r="C213" s="32" t="s">
        <v>2879</v>
      </c>
      <c r="D213" s="32" t="s">
        <v>2880</v>
      </c>
      <c r="E213" s="36"/>
      <c r="F213" s="4"/>
      <c r="G213" s="4"/>
      <c r="H213" s="4"/>
      <c r="K213" s="18"/>
      <c r="L213" s="33"/>
      <c r="M213" s="20"/>
      <c r="N213" s="20"/>
      <c r="O213" s="20"/>
      <c r="P213" s="20"/>
      <c r="Q213" s="20"/>
      <c r="R213" s="20"/>
      <c r="S213" s="20"/>
      <c r="T213" s="20"/>
      <c r="U213" s="34"/>
      <c r="AF213" s="11" t="str">
        <f t="shared" si="117"/>
        <v/>
      </c>
      <c r="AG213" s="11" t="str">
        <f t="shared" ref="AG213:AO213" si="212">if(not(isblank(M213)),", "&amp;M213,"")</f>
        <v/>
      </c>
      <c r="AH213" s="11" t="str">
        <f t="shared" si="212"/>
        <v/>
      </c>
      <c r="AI213" s="11" t="str">
        <f t="shared" si="212"/>
        <v/>
      </c>
      <c r="AJ213" s="11" t="str">
        <f t="shared" si="212"/>
        <v/>
      </c>
      <c r="AK213" s="11" t="str">
        <f t="shared" si="212"/>
        <v/>
      </c>
      <c r="AL213" s="11" t="str">
        <f t="shared" si="212"/>
        <v/>
      </c>
      <c r="AM213" s="11" t="str">
        <f t="shared" si="212"/>
        <v/>
      </c>
      <c r="AN213" s="11" t="str">
        <f t="shared" si="212"/>
        <v/>
      </c>
      <c r="AO213" s="11" t="str">
        <f t="shared" si="212"/>
        <v/>
      </c>
      <c r="AP213" s="21" t="str">
        <f t="shared" si="119"/>
        <v/>
      </c>
    </row>
    <row r="214" ht="16.5" customHeight="1">
      <c r="A214" s="32" t="s">
        <v>2697</v>
      </c>
      <c r="B214" s="32" t="s">
        <v>2697</v>
      </c>
      <c r="C214" s="32" t="s">
        <v>2881</v>
      </c>
      <c r="D214" s="32" t="s">
        <v>2882</v>
      </c>
      <c r="E214" s="36"/>
      <c r="F214" s="4"/>
      <c r="G214" s="4"/>
      <c r="H214" s="4"/>
      <c r="K214" s="18"/>
      <c r="L214" s="33"/>
      <c r="M214" s="20"/>
      <c r="N214" s="20"/>
      <c r="O214" s="20"/>
      <c r="P214" s="20"/>
      <c r="Q214" s="20"/>
      <c r="R214" s="20"/>
      <c r="S214" s="20"/>
      <c r="T214" s="20"/>
      <c r="U214" s="34"/>
      <c r="AF214" s="11" t="str">
        <f t="shared" si="117"/>
        <v/>
      </c>
      <c r="AG214" s="11" t="str">
        <f t="shared" ref="AG214:AO214" si="213">if(not(isblank(M214)),", "&amp;M214,"")</f>
        <v/>
      </c>
      <c r="AH214" s="11" t="str">
        <f t="shared" si="213"/>
        <v/>
      </c>
      <c r="AI214" s="11" t="str">
        <f t="shared" si="213"/>
        <v/>
      </c>
      <c r="AJ214" s="11" t="str">
        <f t="shared" si="213"/>
        <v/>
      </c>
      <c r="AK214" s="11" t="str">
        <f t="shared" si="213"/>
        <v/>
      </c>
      <c r="AL214" s="11" t="str">
        <f t="shared" si="213"/>
        <v/>
      </c>
      <c r="AM214" s="11" t="str">
        <f t="shared" si="213"/>
        <v/>
      </c>
      <c r="AN214" s="11" t="str">
        <f t="shared" si="213"/>
        <v/>
      </c>
      <c r="AO214" s="11" t="str">
        <f t="shared" si="213"/>
        <v/>
      </c>
      <c r="AP214" s="21" t="str">
        <f t="shared" si="119"/>
        <v/>
      </c>
    </row>
    <row r="215" ht="16.5" customHeight="1">
      <c r="A215" s="32" t="s">
        <v>2697</v>
      </c>
      <c r="B215" s="32" t="s">
        <v>2697</v>
      </c>
      <c r="C215" s="32" t="s">
        <v>2883</v>
      </c>
      <c r="D215" s="32" t="s">
        <v>2884</v>
      </c>
      <c r="E215" s="36"/>
      <c r="F215" s="4"/>
      <c r="G215" s="4"/>
      <c r="H215" s="4"/>
      <c r="K215" s="18"/>
      <c r="L215" s="33"/>
      <c r="M215" s="20"/>
      <c r="N215" s="20"/>
      <c r="O215" s="20"/>
      <c r="P215" s="20"/>
      <c r="Q215" s="20"/>
      <c r="R215" s="20"/>
      <c r="S215" s="20"/>
      <c r="T215" s="20"/>
      <c r="U215" s="34"/>
      <c r="AF215" s="11" t="str">
        <f t="shared" si="117"/>
        <v/>
      </c>
      <c r="AG215" s="11" t="str">
        <f t="shared" ref="AG215:AO215" si="214">if(not(isblank(M215)),", "&amp;M215,"")</f>
        <v/>
      </c>
      <c r="AH215" s="11" t="str">
        <f t="shared" si="214"/>
        <v/>
      </c>
      <c r="AI215" s="11" t="str">
        <f t="shared" si="214"/>
        <v/>
      </c>
      <c r="AJ215" s="11" t="str">
        <f t="shared" si="214"/>
        <v/>
      </c>
      <c r="AK215" s="11" t="str">
        <f t="shared" si="214"/>
        <v/>
      </c>
      <c r="AL215" s="11" t="str">
        <f t="shared" si="214"/>
        <v/>
      </c>
      <c r="AM215" s="11" t="str">
        <f t="shared" si="214"/>
        <v/>
      </c>
      <c r="AN215" s="11" t="str">
        <f t="shared" si="214"/>
        <v/>
      </c>
      <c r="AO215" s="11" t="str">
        <f t="shared" si="214"/>
        <v/>
      </c>
      <c r="AP215" s="21" t="str">
        <f t="shared" si="119"/>
        <v/>
      </c>
    </row>
    <row r="216" ht="16.5" customHeight="1">
      <c r="A216" s="32" t="s">
        <v>2697</v>
      </c>
      <c r="B216" s="32" t="s">
        <v>2697</v>
      </c>
      <c r="C216" s="32" t="s">
        <v>2885</v>
      </c>
      <c r="D216" s="32" t="s">
        <v>2886</v>
      </c>
      <c r="E216" s="36"/>
      <c r="F216" s="4"/>
      <c r="G216" s="4"/>
      <c r="H216" s="4"/>
      <c r="K216" s="18"/>
      <c r="L216" s="33"/>
      <c r="M216" s="20"/>
      <c r="N216" s="20"/>
      <c r="O216" s="20"/>
      <c r="P216" s="20"/>
      <c r="Q216" s="20"/>
      <c r="R216" s="20"/>
      <c r="S216" s="20"/>
      <c r="T216" s="20"/>
      <c r="U216" s="34"/>
      <c r="AF216" s="11" t="str">
        <f t="shared" si="117"/>
        <v/>
      </c>
      <c r="AG216" s="11" t="str">
        <f t="shared" ref="AG216:AO216" si="215">if(not(isblank(M216)),", "&amp;M216,"")</f>
        <v/>
      </c>
      <c r="AH216" s="11" t="str">
        <f t="shared" si="215"/>
        <v/>
      </c>
      <c r="AI216" s="11" t="str">
        <f t="shared" si="215"/>
        <v/>
      </c>
      <c r="AJ216" s="11" t="str">
        <f t="shared" si="215"/>
        <v/>
      </c>
      <c r="AK216" s="11" t="str">
        <f t="shared" si="215"/>
        <v/>
      </c>
      <c r="AL216" s="11" t="str">
        <f t="shared" si="215"/>
        <v/>
      </c>
      <c r="AM216" s="11" t="str">
        <f t="shared" si="215"/>
        <v/>
      </c>
      <c r="AN216" s="11" t="str">
        <f t="shared" si="215"/>
        <v/>
      </c>
      <c r="AO216" s="11" t="str">
        <f t="shared" si="215"/>
        <v/>
      </c>
      <c r="AP216" s="21" t="str">
        <f t="shared" si="119"/>
        <v/>
      </c>
    </row>
    <row r="217" ht="16.5" customHeight="1">
      <c r="A217" s="32" t="s">
        <v>2697</v>
      </c>
      <c r="B217" s="32" t="s">
        <v>2697</v>
      </c>
      <c r="C217" s="32" t="s">
        <v>2887</v>
      </c>
      <c r="D217" s="32" t="s">
        <v>2888</v>
      </c>
      <c r="E217" s="36"/>
      <c r="F217" s="4"/>
      <c r="G217" s="4"/>
      <c r="H217" s="4"/>
      <c r="K217" s="18"/>
      <c r="L217" s="33"/>
      <c r="M217" s="20"/>
      <c r="N217" s="20"/>
      <c r="O217" s="20"/>
      <c r="P217" s="20"/>
      <c r="Q217" s="20"/>
      <c r="R217" s="20"/>
      <c r="S217" s="20"/>
      <c r="T217" s="20"/>
      <c r="U217" s="34"/>
      <c r="AF217" s="11" t="str">
        <f t="shared" si="117"/>
        <v/>
      </c>
      <c r="AG217" s="11" t="str">
        <f t="shared" ref="AG217:AO217" si="216">if(not(isblank(M217)),", "&amp;M217,"")</f>
        <v/>
      </c>
      <c r="AH217" s="11" t="str">
        <f t="shared" si="216"/>
        <v/>
      </c>
      <c r="AI217" s="11" t="str">
        <f t="shared" si="216"/>
        <v/>
      </c>
      <c r="AJ217" s="11" t="str">
        <f t="shared" si="216"/>
        <v/>
      </c>
      <c r="AK217" s="11" t="str">
        <f t="shared" si="216"/>
        <v/>
      </c>
      <c r="AL217" s="11" t="str">
        <f t="shared" si="216"/>
        <v/>
      </c>
      <c r="AM217" s="11" t="str">
        <f t="shared" si="216"/>
        <v/>
      </c>
      <c r="AN217" s="11" t="str">
        <f t="shared" si="216"/>
        <v/>
      </c>
      <c r="AO217" s="11" t="str">
        <f t="shared" si="216"/>
        <v/>
      </c>
      <c r="AP217" s="21" t="str">
        <f t="shared" si="119"/>
        <v/>
      </c>
    </row>
    <row r="218" ht="16.5" customHeight="1">
      <c r="A218" s="32" t="s">
        <v>2697</v>
      </c>
      <c r="B218" s="32" t="s">
        <v>2697</v>
      </c>
      <c r="C218" s="32" t="s">
        <v>2889</v>
      </c>
      <c r="D218" s="32" t="s">
        <v>2890</v>
      </c>
      <c r="E218" s="36"/>
      <c r="F218" s="5"/>
      <c r="G218" s="5"/>
      <c r="H218" s="5"/>
      <c r="K218" s="18"/>
      <c r="L218" s="33"/>
      <c r="M218" s="20"/>
      <c r="N218" s="20"/>
      <c r="O218" s="20"/>
      <c r="P218" s="20"/>
      <c r="Q218" s="20"/>
      <c r="R218" s="20"/>
      <c r="S218" s="20"/>
      <c r="T218" s="20"/>
      <c r="U218" s="34"/>
      <c r="AF218" s="11" t="str">
        <f t="shared" si="117"/>
        <v/>
      </c>
      <c r="AG218" s="11" t="str">
        <f t="shared" ref="AG218:AO218" si="217">if(not(isblank(M218)),", "&amp;M218,"")</f>
        <v/>
      </c>
      <c r="AH218" s="11" t="str">
        <f t="shared" si="217"/>
        <v/>
      </c>
      <c r="AI218" s="11" t="str">
        <f t="shared" si="217"/>
        <v/>
      </c>
      <c r="AJ218" s="11" t="str">
        <f t="shared" si="217"/>
        <v/>
      </c>
      <c r="AK218" s="11" t="str">
        <f t="shared" si="217"/>
        <v/>
      </c>
      <c r="AL218" s="11" t="str">
        <f t="shared" si="217"/>
        <v/>
      </c>
      <c r="AM218" s="11" t="str">
        <f t="shared" si="217"/>
        <v/>
      </c>
      <c r="AN218" s="11" t="str">
        <f t="shared" si="217"/>
        <v/>
      </c>
      <c r="AO218" s="11" t="str">
        <f t="shared" si="217"/>
        <v/>
      </c>
      <c r="AP218" s="21" t="str">
        <f t="shared" si="119"/>
        <v/>
      </c>
    </row>
    <row r="219" ht="16.5" customHeight="1">
      <c r="A219" s="32" t="s">
        <v>2697</v>
      </c>
      <c r="B219" s="32" t="s">
        <v>2697</v>
      </c>
      <c r="C219" s="32" t="s">
        <v>2891</v>
      </c>
      <c r="D219" s="32" t="s">
        <v>2892</v>
      </c>
      <c r="E219" s="36"/>
      <c r="F219" s="4"/>
      <c r="G219" s="4"/>
      <c r="H219" s="4"/>
      <c r="K219" s="18"/>
      <c r="L219" s="33"/>
      <c r="M219" s="20"/>
      <c r="N219" s="20"/>
      <c r="O219" s="20"/>
      <c r="P219" s="20"/>
      <c r="Q219" s="20"/>
      <c r="R219" s="20"/>
      <c r="S219" s="20"/>
      <c r="T219" s="20"/>
      <c r="U219" s="34"/>
      <c r="AF219" s="11" t="str">
        <f t="shared" si="117"/>
        <v/>
      </c>
      <c r="AG219" s="11" t="str">
        <f t="shared" ref="AG219:AO219" si="218">if(not(isblank(M219)),", "&amp;M219,"")</f>
        <v/>
      </c>
      <c r="AH219" s="11" t="str">
        <f t="shared" si="218"/>
        <v/>
      </c>
      <c r="AI219" s="11" t="str">
        <f t="shared" si="218"/>
        <v/>
      </c>
      <c r="AJ219" s="11" t="str">
        <f t="shared" si="218"/>
        <v/>
      </c>
      <c r="AK219" s="11" t="str">
        <f t="shared" si="218"/>
        <v/>
      </c>
      <c r="AL219" s="11" t="str">
        <f t="shared" si="218"/>
        <v/>
      </c>
      <c r="AM219" s="11" t="str">
        <f t="shared" si="218"/>
        <v/>
      </c>
      <c r="AN219" s="11" t="str">
        <f t="shared" si="218"/>
        <v/>
      </c>
      <c r="AO219" s="11" t="str">
        <f t="shared" si="218"/>
        <v/>
      </c>
      <c r="AP219" s="21" t="str">
        <f t="shared" si="119"/>
        <v/>
      </c>
    </row>
    <row r="220" ht="16.5" customHeight="1">
      <c r="A220" s="32" t="s">
        <v>2697</v>
      </c>
      <c r="B220" s="32" t="s">
        <v>2697</v>
      </c>
      <c r="C220" s="32" t="s">
        <v>2893</v>
      </c>
      <c r="D220" s="32" t="s">
        <v>2894</v>
      </c>
      <c r="E220" s="36"/>
      <c r="F220" s="4"/>
      <c r="G220" s="4"/>
      <c r="H220" s="4"/>
      <c r="K220" s="18"/>
      <c r="L220" s="33"/>
      <c r="M220" s="20"/>
      <c r="N220" s="20"/>
      <c r="O220" s="20"/>
      <c r="P220" s="20"/>
      <c r="Q220" s="20"/>
      <c r="R220" s="20"/>
      <c r="S220" s="20"/>
      <c r="T220" s="20"/>
      <c r="U220" s="34"/>
      <c r="AF220" s="11" t="str">
        <f t="shared" si="117"/>
        <v/>
      </c>
      <c r="AG220" s="11" t="str">
        <f t="shared" ref="AG220:AO220" si="219">if(not(isblank(M220)),", "&amp;M220,"")</f>
        <v/>
      </c>
      <c r="AH220" s="11" t="str">
        <f t="shared" si="219"/>
        <v/>
      </c>
      <c r="AI220" s="11" t="str">
        <f t="shared" si="219"/>
        <v/>
      </c>
      <c r="AJ220" s="11" t="str">
        <f t="shared" si="219"/>
        <v/>
      </c>
      <c r="AK220" s="11" t="str">
        <f t="shared" si="219"/>
        <v/>
      </c>
      <c r="AL220" s="11" t="str">
        <f t="shared" si="219"/>
        <v/>
      </c>
      <c r="AM220" s="11" t="str">
        <f t="shared" si="219"/>
        <v/>
      </c>
      <c r="AN220" s="11" t="str">
        <f t="shared" si="219"/>
        <v/>
      </c>
      <c r="AO220" s="11" t="str">
        <f t="shared" si="219"/>
        <v/>
      </c>
      <c r="AP220" s="21" t="str">
        <f t="shared" si="119"/>
        <v/>
      </c>
    </row>
    <row r="221" ht="16.5" customHeight="1">
      <c r="A221" s="32" t="s">
        <v>2697</v>
      </c>
      <c r="B221" s="32" t="s">
        <v>2697</v>
      </c>
      <c r="C221" s="32" t="s">
        <v>2895</v>
      </c>
      <c r="D221" s="32" t="s">
        <v>2896</v>
      </c>
      <c r="E221" s="36"/>
      <c r="F221" s="4"/>
      <c r="G221" s="4"/>
      <c r="H221" s="4"/>
      <c r="K221" s="18"/>
      <c r="L221" s="38" t="s">
        <v>1859</v>
      </c>
      <c r="M221" s="20"/>
      <c r="N221" s="20"/>
      <c r="O221" s="20"/>
      <c r="P221" s="20"/>
      <c r="Q221" s="20"/>
      <c r="R221" s="20"/>
      <c r="S221" s="20"/>
      <c r="T221" s="20"/>
      <c r="U221" s="34"/>
      <c r="AF221" s="11" t="str">
        <f t="shared" si="117"/>
        <v>kerin-black</v>
      </c>
      <c r="AG221" s="11" t="str">
        <f t="shared" ref="AG221:AO221" si="220">if(not(isblank(M221)),", "&amp;M221,"")</f>
        <v/>
      </c>
      <c r="AH221" s="11" t="str">
        <f t="shared" si="220"/>
        <v/>
      </c>
      <c r="AI221" s="11" t="str">
        <f t="shared" si="220"/>
        <v/>
      </c>
      <c r="AJ221" s="11" t="str">
        <f t="shared" si="220"/>
        <v/>
      </c>
      <c r="AK221" s="11" t="str">
        <f t="shared" si="220"/>
        <v/>
      </c>
      <c r="AL221" s="11" t="str">
        <f t="shared" si="220"/>
        <v/>
      </c>
      <c r="AM221" s="11" t="str">
        <f t="shared" si="220"/>
        <v/>
      </c>
      <c r="AN221" s="11" t="str">
        <f t="shared" si="220"/>
        <v/>
      </c>
      <c r="AO221" s="11" t="str">
        <f t="shared" si="220"/>
        <v/>
      </c>
      <c r="AP221" s="21" t="str">
        <f t="shared" si="119"/>
        <v>kerin-black</v>
      </c>
    </row>
    <row r="222" ht="16.5" customHeight="1">
      <c r="A222" s="32" t="s">
        <v>2697</v>
      </c>
      <c r="B222" s="32" t="s">
        <v>2697</v>
      </c>
      <c r="C222" s="32" t="s">
        <v>2897</v>
      </c>
      <c r="D222" s="32" t="s">
        <v>2898</v>
      </c>
      <c r="E222" s="36"/>
      <c r="F222" s="4"/>
      <c r="G222" s="4"/>
      <c r="H222" s="4"/>
      <c r="K222" s="18"/>
      <c r="L222" s="35" t="s">
        <v>1128</v>
      </c>
      <c r="M222" s="20"/>
      <c r="N222" s="20"/>
      <c r="O222" s="20"/>
      <c r="P222" s="20"/>
      <c r="Q222" s="20"/>
      <c r="R222" s="20"/>
      <c r="S222" s="20"/>
      <c r="T222" s="20"/>
      <c r="U222" s="34"/>
      <c r="AF222" s="11" t="str">
        <f t="shared" si="117"/>
        <v>teta-grey-melange</v>
      </c>
      <c r="AG222" s="11" t="str">
        <f t="shared" ref="AG222:AO222" si="221">if(not(isblank(M222)),", "&amp;M222,"")</f>
        <v/>
      </c>
      <c r="AH222" s="11" t="str">
        <f t="shared" si="221"/>
        <v/>
      </c>
      <c r="AI222" s="11" t="str">
        <f t="shared" si="221"/>
        <v/>
      </c>
      <c r="AJ222" s="11" t="str">
        <f t="shared" si="221"/>
        <v/>
      </c>
      <c r="AK222" s="11" t="str">
        <f t="shared" si="221"/>
        <v/>
      </c>
      <c r="AL222" s="11" t="str">
        <f t="shared" si="221"/>
        <v/>
      </c>
      <c r="AM222" s="11" t="str">
        <f t="shared" si="221"/>
        <v/>
      </c>
      <c r="AN222" s="11" t="str">
        <f t="shared" si="221"/>
        <v/>
      </c>
      <c r="AO222" s="11" t="str">
        <f t="shared" si="221"/>
        <v/>
      </c>
      <c r="AP222" s="21" t="str">
        <f t="shared" si="119"/>
        <v>teta-grey-melange</v>
      </c>
    </row>
    <row r="223" ht="16.5" customHeight="1">
      <c r="A223" s="32" t="s">
        <v>2697</v>
      </c>
      <c r="B223" s="32" t="s">
        <v>2697</v>
      </c>
      <c r="C223" s="32" t="s">
        <v>2899</v>
      </c>
      <c r="D223" s="32" t="s">
        <v>2900</v>
      </c>
      <c r="E223" s="36"/>
      <c r="F223" s="4"/>
      <c r="G223" s="4"/>
      <c r="H223" s="4"/>
      <c r="K223" s="18"/>
      <c r="L223" s="35" t="s">
        <v>268</v>
      </c>
      <c r="M223" s="20"/>
      <c r="N223" s="20"/>
      <c r="O223" s="20"/>
      <c r="P223" s="20"/>
      <c r="Q223" s="20"/>
      <c r="R223" s="20"/>
      <c r="S223" s="20"/>
      <c r="T223" s="20"/>
      <c r="U223" s="34"/>
      <c r="AF223" s="11" t="str">
        <f t="shared" si="117"/>
        <v>teta-black</v>
      </c>
      <c r="AG223" s="11" t="str">
        <f t="shared" ref="AG223:AO223" si="222">if(not(isblank(M223)),", "&amp;M223,"")</f>
        <v/>
      </c>
      <c r="AH223" s="11" t="str">
        <f t="shared" si="222"/>
        <v/>
      </c>
      <c r="AI223" s="11" t="str">
        <f t="shared" si="222"/>
        <v/>
      </c>
      <c r="AJ223" s="11" t="str">
        <f t="shared" si="222"/>
        <v/>
      </c>
      <c r="AK223" s="11" t="str">
        <f t="shared" si="222"/>
        <v/>
      </c>
      <c r="AL223" s="11" t="str">
        <f t="shared" si="222"/>
        <v/>
      </c>
      <c r="AM223" s="11" t="str">
        <f t="shared" si="222"/>
        <v/>
      </c>
      <c r="AN223" s="11" t="str">
        <f t="shared" si="222"/>
        <v/>
      </c>
      <c r="AO223" s="11" t="str">
        <f t="shared" si="222"/>
        <v/>
      </c>
      <c r="AP223" s="21" t="str">
        <f t="shared" si="119"/>
        <v>teta-black</v>
      </c>
    </row>
    <row r="224" ht="16.5" customHeight="1">
      <c r="A224" s="32" t="s">
        <v>2697</v>
      </c>
      <c r="B224" s="32" t="s">
        <v>2697</v>
      </c>
      <c r="C224" s="32" t="s">
        <v>2901</v>
      </c>
      <c r="D224" s="32" t="s">
        <v>2902</v>
      </c>
      <c r="E224" s="36"/>
      <c r="F224" s="4"/>
      <c r="G224" s="4"/>
      <c r="H224" s="4"/>
      <c r="K224" s="18"/>
      <c r="L224" s="33"/>
      <c r="M224" s="20"/>
      <c r="N224" s="20"/>
      <c r="O224" s="20"/>
      <c r="P224" s="20"/>
      <c r="Q224" s="20"/>
      <c r="R224" s="20"/>
      <c r="S224" s="20"/>
      <c r="T224" s="20"/>
      <c r="U224" s="34"/>
      <c r="AF224" s="11" t="str">
        <f t="shared" si="117"/>
        <v/>
      </c>
      <c r="AG224" s="11" t="str">
        <f t="shared" ref="AG224:AO224" si="223">if(not(isblank(M224)),", "&amp;M224,"")</f>
        <v/>
      </c>
      <c r="AH224" s="11" t="str">
        <f t="shared" si="223"/>
        <v/>
      </c>
      <c r="AI224" s="11" t="str">
        <f t="shared" si="223"/>
        <v/>
      </c>
      <c r="AJ224" s="11" t="str">
        <f t="shared" si="223"/>
        <v/>
      </c>
      <c r="AK224" s="11" t="str">
        <f t="shared" si="223"/>
        <v/>
      </c>
      <c r="AL224" s="11" t="str">
        <f t="shared" si="223"/>
        <v/>
      </c>
      <c r="AM224" s="11" t="str">
        <f t="shared" si="223"/>
        <v/>
      </c>
      <c r="AN224" s="11" t="str">
        <f t="shared" si="223"/>
        <v/>
      </c>
      <c r="AO224" s="11" t="str">
        <f t="shared" si="223"/>
        <v/>
      </c>
      <c r="AP224" s="21" t="str">
        <f t="shared" si="119"/>
        <v/>
      </c>
    </row>
    <row r="225" ht="16.5" customHeight="1">
      <c r="A225" s="32" t="s">
        <v>2697</v>
      </c>
      <c r="B225" s="32" t="s">
        <v>2697</v>
      </c>
      <c r="C225" s="32" t="s">
        <v>2903</v>
      </c>
      <c r="D225" s="32" t="s">
        <v>2904</v>
      </c>
      <c r="E225" s="36"/>
      <c r="F225" s="4"/>
      <c r="G225" s="4"/>
      <c r="H225" s="4"/>
      <c r="K225" s="18"/>
      <c r="L225" s="33"/>
      <c r="M225" s="20"/>
      <c r="N225" s="20"/>
      <c r="O225" s="20"/>
      <c r="P225" s="20"/>
      <c r="Q225" s="20"/>
      <c r="R225" s="20"/>
      <c r="S225" s="20"/>
      <c r="T225" s="20"/>
      <c r="U225" s="34"/>
      <c r="AF225" s="11" t="str">
        <f t="shared" si="117"/>
        <v/>
      </c>
      <c r="AG225" s="11" t="str">
        <f t="shared" ref="AG225:AO225" si="224">if(not(isblank(M225)),", "&amp;M225,"")</f>
        <v/>
      </c>
      <c r="AH225" s="11" t="str">
        <f t="shared" si="224"/>
        <v/>
      </c>
      <c r="AI225" s="11" t="str">
        <f t="shared" si="224"/>
        <v/>
      </c>
      <c r="AJ225" s="11" t="str">
        <f t="shared" si="224"/>
        <v/>
      </c>
      <c r="AK225" s="11" t="str">
        <f t="shared" si="224"/>
        <v/>
      </c>
      <c r="AL225" s="11" t="str">
        <f t="shared" si="224"/>
        <v/>
      </c>
      <c r="AM225" s="11" t="str">
        <f t="shared" si="224"/>
        <v/>
      </c>
      <c r="AN225" s="11" t="str">
        <f t="shared" si="224"/>
        <v/>
      </c>
      <c r="AO225" s="11" t="str">
        <f t="shared" si="224"/>
        <v/>
      </c>
      <c r="AP225" s="21" t="str">
        <f t="shared" si="119"/>
        <v/>
      </c>
    </row>
    <row r="226" ht="16.5" customHeight="1">
      <c r="A226" s="32" t="s">
        <v>2697</v>
      </c>
      <c r="B226" s="32" t="s">
        <v>2697</v>
      </c>
      <c r="C226" s="32" t="s">
        <v>2905</v>
      </c>
      <c r="D226" s="32" t="s">
        <v>2906</v>
      </c>
      <c r="E226" s="36"/>
      <c r="F226" s="4"/>
      <c r="G226" s="4"/>
      <c r="H226" s="4"/>
      <c r="K226" s="18"/>
      <c r="L226" s="33"/>
      <c r="M226" s="20"/>
      <c r="N226" s="20"/>
      <c r="O226" s="20"/>
      <c r="P226" s="20"/>
      <c r="Q226" s="20"/>
      <c r="R226" s="20"/>
      <c r="S226" s="20"/>
      <c r="T226" s="20"/>
      <c r="U226" s="34"/>
      <c r="AF226" s="11" t="str">
        <f t="shared" si="117"/>
        <v/>
      </c>
      <c r="AG226" s="11" t="str">
        <f t="shared" ref="AG226:AO226" si="225">if(not(isblank(M226)),", "&amp;M226,"")</f>
        <v/>
      </c>
      <c r="AH226" s="11" t="str">
        <f t="shared" si="225"/>
        <v/>
      </c>
      <c r="AI226" s="11" t="str">
        <f t="shared" si="225"/>
        <v/>
      </c>
      <c r="AJ226" s="11" t="str">
        <f t="shared" si="225"/>
        <v/>
      </c>
      <c r="AK226" s="11" t="str">
        <f t="shared" si="225"/>
        <v/>
      </c>
      <c r="AL226" s="11" t="str">
        <f t="shared" si="225"/>
        <v/>
      </c>
      <c r="AM226" s="11" t="str">
        <f t="shared" si="225"/>
        <v/>
      </c>
      <c r="AN226" s="11" t="str">
        <f t="shared" si="225"/>
        <v/>
      </c>
      <c r="AO226" s="11" t="str">
        <f t="shared" si="225"/>
        <v/>
      </c>
      <c r="AP226" s="21" t="str">
        <f t="shared" si="119"/>
        <v/>
      </c>
    </row>
    <row r="227" ht="16.5" customHeight="1">
      <c r="A227" s="32" t="s">
        <v>2697</v>
      </c>
      <c r="B227" s="32" t="s">
        <v>2697</v>
      </c>
      <c r="C227" s="32" t="s">
        <v>2907</v>
      </c>
      <c r="D227" s="32" t="s">
        <v>2908</v>
      </c>
      <c r="E227" s="36"/>
      <c r="F227" s="4"/>
      <c r="G227" s="4"/>
      <c r="H227" s="4"/>
      <c r="K227" s="18"/>
      <c r="L227" s="35" t="s">
        <v>1025</v>
      </c>
      <c r="M227" s="19" t="s">
        <v>1469</v>
      </c>
      <c r="N227" s="19" t="s">
        <v>2909</v>
      </c>
      <c r="O227" s="19" t="s">
        <v>2910</v>
      </c>
      <c r="P227" s="19" t="s">
        <v>2911</v>
      </c>
      <c r="Q227" s="19" t="s">
        <v>2912</v>
      </c>
      <c r="R227" s="19" t="s">
        <v>2913</v>
      </c>
      <c r="S227" s="20"/>
      <c r="T227" s="20"/>
      <c r="U227" s="34"/>
      <c r="AF227" s="11" t="str">
        <f t="shared" si="117"/>
        <v>barnes-japan-black</v>
      </c>
      <c r="AG227" s="11" t="str">
        <f t="shared" ref="AG227:AO227" si="226">if(not(isblank(M227)),", "&amp;M227,"")</f>
        <v>, barnes-japan-dawn</v>
      </c>
      <c r="AH227" s="11" t="str">
        <f t="shared" si="226"/>
        <v>, barnes-japan-fade</v>
      </c>
      <c r="AI227" s="11" t="str">
        <f t="shared" si="226"/>
        <v>, barnes-japan-forest-fog</v>
      </c>
      <c r="AJ227" s="11" t="str">
        <f t="shared" si="226"/>
        <v>, barnes-japan-mole</v>
      </c>
      <c r="AK227" s="11" t="str">
        <f t="shared" si="226"/>
        <v>, barnes-japan-putty</v>
      </c>
      <c r="AL227" s="11" t="str">
        <f t="shared" si="226"/>
        <v>, barnes-japan-rinse-selvage</v>
      </c>
      <c r="AM227" s="11" t="str">
        <f t="shared" si="226"/>
        <v/>
      </c>
      <c r="AN227" s="11" t="str">
        <f t="shared" si="226"/>
        <v/>
      </c>
      <c r="AO227" s="11" t="str">
        <f t="shared" si="226"/>
        <v/>
      </c>
      <c r="AP227" s="21" t="str">
        <f t="shared" si="119"/>
        <v>barnes-japan-black, barnes-japan-dawn, barnes-japan-fade, barnes-japan-forest-fog, barnes-japan-mole, barnes-japan-putty, barnes-japan-rinse-selvage</v>
      </c>
    </row>
    <row r="228" ht="16.5" customHeight="1">
      <c r="A228" s="32" t="s">
        <v>2697</v>
      </c>
      <c r="B228" s="32" t="s">
        <v>2697</v>
      </c>
      <c r="C228" s="32" t="s">
        <v>2914</v>
      </c>
      <c r="D228" s="32" t="s">
        <v>2915</v>
      </c>
      <c r="E228" s="36"/>
      <c r="F228" s="5"/>
      <c r="G228" s="5"/>
      <c r="H228" s="5"/>
      <c r="K228" s="18"/>
      <c r="L228" s="33"/>
      <c r="M228" s="20"/>
      <c r="N228" s="20"/>
      <c r="O228" s="20"/>
      <c r="P228" s="20"/>
      <c r="Q228" s="20"/>
      <c r="R228" s="20"/>
      <c r="S228" s="20"/>
      <c r="T228" s="20"/>
      <c r="U228" s="34"/>
      <c r="AF228" s="11" t="str">
        <f t="shared" si="117"/>
        <v/>
      </c>
      <c r="AG228" s="11" t="str">
        <f t="shared" ref="AG228:AO228" si="227">if(not(isblank(M228)),", "&amp;M228,"")</f>
        <v/>
      </c>
      <c r="AH228" s="11" t="str">
        <f t="shared" si="227"/>
        <v/>
      </c>
      <c r="AI228" s="11" t="str">
        <f t="shared" si="227"/>
        <v/>
      </c>
      <c r="AJ228" s="11" t="str">
        <f t="shared" si="227"/>
        <v/>
      </c>
      <c r="AK228" s="11" t="str">
        <f t="shared" si="227"/>
        <v/>
      </c>
      <c r="AL228" s="11" t="str">
        <f t="shared" si="227"/>
        <v/>
      </c>
      <c r="AM228" s="11" t="str">
        <f t="shared" si="227"/>
        <v/>
      </c>
      <c r="AN228" s="11" t="str">
        <f t="shared" si="227"/>
        <v/>
      </c>
      <c r="AO228" s="11" t="str">
        <f t="shared" si="227"/>
        <v/>
      </c>
      <c r="AP228" s="21" t="str">
        <f t="shared" si="119"/>
        <v/>
      </c>
    </row>
    <row r="229" ht="16.5" customHeight="1">
      <c r="A229" s="32" t="s">
        <v>2697</v>
      </c>
      <c r="B229" s="32" t="s">
        <v>2697</v>
      </c>
      <c r="C229" s="32" t="s">
        <v>2916</v>
      </c>
      <c r="D229" s="32" t="s">
        <v>2917</v>
      </c>
      <c r="E229" s="36"/>
      <c r="F229" s="4"/>
      <c r="G229" s="4"/>
      <c r="H229" s="4"/>
      <c r="K229" s="18"/>
      <c r="L229" s="35" t="s">
        <v>1831</v>
      </c>
      <c r="M229" s="20"/>
      <c r="N229" s="20"/>
      <c r="O229" s="20"/>
      <c r="P229" s="20"/>
      <c r="Q229" s="20"/>
      <c r="R229" s="20"/>
      <c r="S229" s="20"/>
      <c r="T229" s="20"/>
      <c r="U229" s="34"/>
      <c r="AF229" s="11" t="str">
        <f t="shared" si="117"/>
        <v>dune-japan-shadow</v>
      </c>
      <c r="AG229" s="11" t="str">
        <f t="shared" ref="AG229:AO229" si="228">if(not(isblank(M229)),", "&amp;M229,"")</f>
        <v/>
      </c>
      <c r="AH229" s="11" t="str">
        <f t="shared" si="228"/>
        <v/>
      </c>
      <c r="AI229" s="11" t="str">
        <f t="shared" si="228"/>
        <v/>
      </c>
      <c r="AJ229" s="11" t="str">
        <f t="shared" si="228"/>
        <v/>
      </c>
      <c r="AK229" s="11" t="str">
        <f t="shared" si="228"/>
        <v/>
      </c>
      <c r="AL229" s="11" t="str">
        <f t="shared" si="228"/>
        <v/>
      </c>
      <c r="AM229" s="11" t="str">
        <f t="shared" si="228"/>
        <v/>
      </c>
      <c r="AN229" s="11" t="str">
        <f t="shared" si="228"/>
        <v/>
      </c>
      <c r="AO229" s="11" t="str">
        <f t="shared" si="228"/>
        <v/>
      </c>
      <c r="AP229" s="21" t="str">
        <f t="shared" si="119"/>
        <v>dune-japan-shadow</v>
      </c>
    </row>
    <row r="230" ht="16.5" customHeight="1">
      <c r="A230" s="32" t="s">
        <v>2697</v>
      </c>
      <c r="B230" s="32" t="s">
        <v>2697</v>
      </c>
      <c r="C230" s="32" t="s">
        <v>2918</v>
      </c>
      <c r="D230" s="32" t="s">
        <v>2919</v>
      </c>
      <c r="E230" s="36"/>
      <c r="F230" s="4"/>
      <c r="G230" s="4"/>
      <c r="H230" s="4"/>
      <c r="K230" s="18"/>
      <c r="L230" s="35" t="s">
        <v>1829</v>
      </c>
      <c r="M230" s="20"/>
      <c r="N230" s="20"/>
      <c r="O230" s="20"/>
      <c r="P230" s="20"/>
      <c r="Q230" s="20"/>
      <c r="R230" s="20"/>
      <c r="S230" s="20"/>
      <c r="T230" s="20"/>
      <c r="U230" s="34"/>
      <c r="AF230" s="11" t="str">
        <f t="shared" si="117"/>
        <v>dune-japan-new-blue</v>
      </c>
      <c r="AG230" s="11" t="str">
        <f t="shared" ref="AG230:AO230" si="229">if(not(isblank(M230)),", "&amp;M230,"")</f>
        <v/>
      </c>
      <c r="AH230" s="11" t="str">
        <f t="shared" si="229"/>
        <v/>
      </c>
      <c r="AI230" s="11" t="str">
        <f t="shared" si="229"/>
        <v/>
      </c>
      <c r="AJ230" s="11" t="str">
        <f t="shared" si="229"/>
        <v/>
      </c>
      <c r="AK230" s="11" t="str">
        <f t="shared" si="229"/>
        <v/>
      </c>
      <c r="AL230" s="11" t="str">
        <f t="shared" si="229"/>
        <v/>
      </c>
      <c r="AM230" s="11" t="str">
        <f t="shared" si="229"/>
        <v/>
      </c>
      <c r="AN230" s="11" t="str">
        <f t="shared" si="229"/>
        <v/>
      </c>
      <c r="AO230" s="11" t="str">
        <f t="shared" si="229"/>
        <v/>
      </c>
      <c r="AP230" s="21" t="str">
        <f t="shared" si="119"/>
        <v>dune-japan-new-blue</v>
      </c>
    </row>
    <row r="231" ht="16.5" customHeight="1">
      <c r="A231" s="32" t="s">
        <v>2697</v>
      </c>
      <c r="B231" s="32" t="s">
        <v>2697</v>
      </c>
      <c r="C231" s="32" t="s">
        <v>2920</v>
      </c>
      <c r="D231" s="32" t="s">
        <v>2921</v>
      </c>
      <c r="E231" s="36"/>
      <c r="F231" s="4"/>
      <c r="G231" s="4"/>
      <c r="H231" s="4"/>
      <c r="K231" s="18"/>
      <c r="L231" s="33"/>
      <c r="M231" s="20"/>
      <c r="N231" s="20"/>
      <c r="O231" s="20"/>
      <c r="P231" s="20"/>
      <c r="Q231" s="20"/>
      <c r="R231" s="20"/>
      <c r="S231" s="20"/>
      <c r="T231" s="20"/>
      <c r="U231" s="34"/>
      <c r="AF231" s="11" t="str">
        <f t="shared" si="117"/>
        <v/>
      </c>
      <c r="AG231" s="11" t="str">
        <f t="shared" ref="AG231:AO231" si="230">if(not(isblank(M231)),", "&amp;M231,"")</f>
        <v/>
      </c>
      <c r="AH231" s="11" t="str">
        <f t="shared" si="230"/>
        <v/>
      </c>
      <c r="AI231" s="11" t="str">
        <f t="shared" si="230"/>
        <v/>
      </c>
      <c r="AJ231" s="11" t="str">
        <f t="shared" si="230"/>
        <v/>
      </c>
      <c r="AK231" s="11" t="str">
        <f t="shared" si="230"/>
        <v/>
      </c>
      <c r="AL231" s="11" t="str">
        <f t="shared" si="230"/>
        <v/>
      </c>
      <c r="AM231" s="11" t="str">
        <f t="shared" si="230"/>
        <v/>
      </c>
      <c r="AN231" s="11" t="str">
        <f t="shared" si="230"/>
        <v/>
      </c>
      <c r="AO231" s="11" t="str">
        <f t="shared" si="230"/>
        <v/>
      </c>
      <c r="AP231" s="21" t="str">
        <f t="shared" si="119"/>
        <v/>
      </c>
    </row>
    <row r="232" ht="16.5" customHeight="1">
      <c r="A232" s="32" t="s">
        <v>2922</v>
      </c>
      <c r="B232" s="32" t="s">
        <v>2348</v>
      </c>
      <c r="C232" s="32" t="s">
        <v>2923</v>
      </c>
      <c r="D232" s="32" t="s">
        <v>2924</v>
      </c>
      <c r="E232" s="32" t="s">
        <v>2925</v>
      </c>
      <c r="F232" s="4" t="s">
        <v>2926</v>
      </c>
      <c r="G232" s="4"/>
      <c r="H232" s="4"/>
      <c r="K232" s="18"/>
      <c r="L232" s="33"/>
      <c r="M232" s="20"/>
      <c r="N232" s="20"/>
      <c r="O232" s="20"/>
      <c r="P232" s="20"/>
      <c r="Q232" s="20"/>
      <c r="R232" s="20"/>
      <c r="S232" s="20"/>
      <c r="T232" s="20"/>
      <c r="U232" s="34"/>
      <c r="AF232" s="11" t="str">
        <f t="shared" si="117"/>
        <v/>
      </c>
      <c r="AG232" s="11" t="str">
        <f t="shared" ref="AG232:AO232" si="231">if(not(isblank(M232)),", "&amp;M232,"")</f>
        <v/>
      </c>
      <c r="AH232" s="11" t="str">
        <f t="shared" si="231"/>
        <v/>
      </c>
      <c r="AI232" s="11" t="str">
        <f t="shared" si="231"/>
        <v/>
      </c>
      <c r="AJ232" s="11" t="str">
        <f t="shared" si="231"/>
        <v/>
      </c>
      <c r="AK232" s="11" t="str">
        <f t="shared" si="231"/>
        <v/>
      </c>
      <c r="AL232" s="11" t="str">
        <f t="shared" si="231"/>
        <v/>
      </c>
      <c r="AM232" s="11" t="str">
        <f t="shared" si="231"/>
        <v/>
      </c>
      <c r="AN232" s="11" t="str">
        <f t="shared" si="231"/>
        <v/>
      </c>
      <c r="AO232" s="11" t="str">
        <f t="shared" si="231"/>
        <v/>
      </c>
      <c r="AP232" s="21" t="str">
        <f t="shared" si="119"/>
        <v/>
      </c>
    </row>
    <row r="233" ht="16.5" customHeight="1">
      <c r="A233" s="32" t="s">
        <v>2922</v>
      </c>
      <c r="B233" s="32" t="s">
        <v>2348</v>
      </c>
      <c r="C233" s="32" t="s">
        <v>2927</v>
      </c>
      <c r="D233" s="32" t="s">
        <v>2928</v>
      </c>
      <c r="E233" s="32" t="s">
        <v>2929</v>
      </c>
      <c r="F233" s="4" t="s">
        <v>2930</v>
      </c>
      <c r="G233" s="4" t="s">
        <v>2931</v>
      </c>
      <c r="H233" s="4"/>
      <c r="K233" s="18"/>
      <c r="L233" s="33"/>
      <c r="M233" s="20"/>
      <c r="N233" s="20"/>
      <c r="O233" s="20"/>
      <c r="P233" s="20"/>
      <c r="Q233" s="20"/>
      <c r="R233" s="20"/>
      <c r="S233" s="20"/>
      <c r="T233" s="20"/>
      <c r="U233" s="34"/>
      <c r="AF233" s="11" t="str">
        <f t="shared" si="117"/>
        <v/>
      </c>
      <c r="AG233" s="11" t="str">
        <f t="shared" ref="AG233:AO233" si="232">if(not(isblank(M233)),", "&amp;M233,"")</f>
        <v/>
      </c>
      <c r="AH233" s="11" t="str">
        <f t="shared" si="232"/>
        <v/>
      </c>
      <c r="AI233" s="11" t="str">
        <f t="shared" si="232"/>
        <v/>
      </c>
      <c r="AJ233" s="11" t="str">
        <f t="shared" si="232"/>
        <v/>
      </c>
      <c r="AK233" s="11" t="str">
        <f t="shared" si="232"/>
        <v/>
      </c>
      <c r="AL233" s="11" t="str">
        <f t="shared" si="232"/>
        <v/>
      </c>
      <c r="AM233" s="11" t="str">
        <f t="shared" si="232"/>
        <v/>
      </c>
      <c r="AN233" s="11" t="str">
        <f t="shared" si="232"/>
        <v/>
      </c>
      <c r="AO233" s="11" t="str">
        <f t="shared" si="232"/>
        <v/>
      </c>
      <c r="AP233" s="21" t="str">
        <f t="shared" si="119"/>
        <v>apothecary-hand-wash-refil</v>
      </c>
    </row>
    <row r="234" ht="16.5" customHeight="1">
      <c r="A234" s="32" t="s">
        <v>2922</v>
      </c>
      <c r="B234" s="32" t="s">
        <v>2348</v>
      </c>
      <c r="C234" s="32" t="s">
        <v>2932</v>
      </c>
      <c r="D234" s="32" t="s">
        <v>2933</v>
      </c>
      <c r="E234" s="32" t="s">
        <v>2934</v>
      </c>
      <c r="F234" s="4" t="s">
        <v>2935</v>
      </c>
      <c r="G234" s="4"/>
      <c r="H234" s="4"/>
      <c r="K234" s="18"/>
      <c r="L234" s="33"/>
      <c r="M234" s="20"/>
      <c r="N234" s="20"/>
      <c r="O234" s="20"/>
      <c r="P234" s="20"/>
      <c r="Q234" s="20"/>
      <c r="R234" s="20"/>
      <c r="S234" s="20"/>
      <c r="T234" s="20"/>
      <c r="U234" s="34"/>
      <c r="AF234" s="11" t="str">
        <f t="shared" si="117"/>
        <v/>
      </c>
      <c r="AG234" s="11" t="str">
        <f t="shared" ref="AG234:AO234" si="233">if(not(isblank(M234)),", "&amp;M234,"")</f>
        <v/>
      </c>
      <c r="AH234" s="11" t="str">
        <f t="shared" si="233"/>
        <v/>
      </c>
      <c r="AI234" s="11" t="str">
        <f t="shared" si="233"/>
        <v/>
      </c>
      <c r="AJ234" s="11" t="str">
        <f t="shared" si="233"/>
        <v/>
      </c>
      <c r="AK234" s="11" t="str">
        <f t="shared" si="233"/>
        <v/>
      </c>
      <c r="AL234" s="11" t="str">
        <f t="shared" si="233"/>
        <v/>
      </c>
      <c r="AM234" s="11" t="str">
        <f t="shared" si="233"/>
        <v/>
      </c>
      <c r="AN234" s="11" t="str">
        <f t="shared" si="233"/>
        <v/>
      </c>
      <c r="AO234" s="11" t="str">
        <f t="shared" si="233"/>
        <v/>
      </c>
      <c r="AP234" s="21" t="str">
        <f t="shared" si="119"/>
        <v/>
      </c>
    </row>
    <row r="235" ht="16.5" customHeight="1">
      <c r="A235" s="32" t="s">
        <v>2922</v>
      </c>
      <c r="B235" s="32" t="s">
        <v>2348</v>
      </c>
      <c r="C235" s="32" t="s">
        <v>2936</v>
      </c>
      <c r="D235" s="32" t="s">
        <v>2937</v>
      </c>
      <c r="E235" s="32" t="s">
        <v>2938</v>
      </c>
      <c r="F235" s="4" t="s">
        <v>2939</v>
      </c>
      <c r="G235" s="4"/>
      <c r="H235" s="4"/>
      <c r="K235" s="18"/>
      <c r="L235" s="33"/>
      <c r="M235" s="20"/>
      <c r="N235" s="20"/>
      <c r="O235" s="20"/>
      <c r="P235" s="20"/>
      <c r="Q235" s="20"/>
      <c r="R235" s="20"/>
      <c r="S235" s="20"/>
      <c r="T235" s="20"/>
      <c r="U235" s="34"/>
      <c r="AF235" s="11" t="str">
        <f t="shared" si="117"/>
        <v/>
      </c>
      <c r="AG235" s="11" t="str">
        <f t="shared" ref="AG235:AO235" si="234">if(not(isblank(M235)),", "&amp;M235,"")</f>
        <v/>
      </c>
      <c r="AH235" s="11" t="str">
        <f t="shared" si="234"/>
        <v/>
      </c>
      <c r="AI235" s="11" t="str">
        <f t="shared" si="234"/>
        <v/>
      </c>
      <c r="AJ235" s="11" t="str">
        <f t="shared" si="234"/>
        <v/>
      </c>
      <c r="AK235" s="11" t="str">
        <f t="shared" si="234"/>
        <v/>
      </c>
      <c r="AL235" s="11" t="str">
        <f t="shared" si="234"/>
        <v/>
      </c>
      <c r="AM235" s="11" t="str">
        <f t="shared" si="234"/>
        <v/>
      </c>
      <c r="AN235" s="11" t="str">
        <f t="shared" si="234"/>
        <v/>
      </c>
      <c r="AO235" s="11" t="str">
        <f t="shared" si="234"/>
        <v/>
      </c>
      <c r="AP235" s="21" t="str">
        <f t="shared" si="119"/>
        <v/>
      </c>
    </row>
    <row r="236" ht="16.5" customHeight="1">
      <c r="A236" s="32" t="s">
        <v>2922</v>
      </c>
      <c r="B236" s="32" t="s">
        <v>2348</v>
      </c>
      <c r="C236" s="32" t="s">
        <v>2931</v>
      </c>
      <c r="D236" s="32" t="s">
        <v>2940</v>
      </c>
      <c r="E236" s="32" t="s">
        <v>2941</v>
      </c>
      <c r="F236" s="4" t="s">
        <v>2942</v>
      </c>
      <c r="G236" s="4" t="s">
        <v>2927</v>
      </c>
      <c r="H236" s="4"/>
      <c r="K236" s="18"/>
      <c r="L236" s="33"/>
      <c r="M236" s="20"/>
      <c r="N236" s="20"/>
      <c r="O236" s="20"/>
      <c r="P236" s="20"/>
      <c r="Q236" s="20"/>
      <c r="R236" s="20"/>
      <c r="S236" s="20"/>
      <c r="T236" s="20"/>
      <c r="U236" s="34"/>
      <c r="AF236" s="11" t="str">
        <f t="shared" si="117"/>
        <v/>
      </c>
      <c r="AG236" s="11" t="str">
        <f t="shared" ref="AG236:AO236" si="235">if(not(isblank(M236)),", "&amp;M236,"")</f>
        <v/>
      </c>
      <c r="AH236" s="11" t="str">
        <f t="shared" si="235"/>
        <v/>
      </c>
      <c r="AI236" s="11" t="str">
        <f t="shared" si="235"/>
        <v/>
      </c>
      <c r="AJ236" s="11" t="str">
        <f t="shared" si="235"/>
        <v/>
      </c>
      <c r="AK236" s="11" t="str">
        <f t="shared" si="235"/>
        <v/>
      </c>
      <c r="AL236" s="11" t="str">
        <f t="shared" si="235"/>
        <v/>
      </c>
      <c r="AM236" s="11" t="str">
        <f t="shared" si="235"/>
        <v/>
      </c>
      <c r="AN236" s="11" t="str">
        <f t="shared" si="235"/>
        <v/>
      </c>
      <c r="AO236" s="11" t="str">
        <f t="shared" si="235"/>
        <v/>
      </c>
      <c r="AP236" s="21" t="str">
        <f t="shared" si="119"/>
        <v>apothecary-hand-wash-375-ml</v>
      </c>
    </row>
    <row r="237" ht="16.5" customHeight="1">
      <c r="A237" s="32" t="s">
        <v>2922</v>
      </c>
      <c r="B237" s="32" t="s">
        <v>2348</v>
      </c>
      <c r="C237" s="32" t="s">
        <v>2943</v>
      </c>
      <c r="D237" s="32" t="s">
        <v>2944</v>
      </c>
      <c r="E237" s="32" t="s">
        <v>2945</v>
      </c>
      <c r="F237" s="4" t="s">
        <v>2946</v>
      </c>
      <c r="G237" s="4"/>
      <c r="H237" s="4"/>
      <c r="K237" s="18"/>
      <c r="L237" s="33"/>
      <c r="M237" s="20"/>
      <c r="N237" s="20"/>
      <c r="O237" s="20"/>
      <c r="P237" s="20"/>
      <c r="Q237" s="20"/>
      <c r="R237" s="20"/>
      <c r="S237" s="20"/>
      <c r="T237" s="20"/>
      <c r="U237" s="34"/>
      <c r="AF237" s="11" t="str">
        <f t="shared" si="117"/>
        <v/>
      </c>
      <c r="AG237" s="11" t="str">
        <f t="shared" ref="AG237:AO237" si="236">if(not(isblank(M237)),", "&amp;M237,"")</f>
        <v/>
      </c>
      <c r="AH237" s="11" t="str">
        <f t="shared" si="236"/>
        <v/>
      </c>
      <c r="AI237" s="11" t="str">
        <f t="shared" si="236"/>
        <v/>
      </c>
      <c r="AJ237" s="11" t="str">
        <f t="shared" si="236"/>
        <v/>
      </c>
      <c r="AK237" s="11" t="str">
        <f t="shared" si="236"/>
        <v/>
      </c>
      <c r="AL237" s="11" t="str">
        <f t="shared" si="236"/>
        <v/>
      </c>
      <c r="AM237" s="11" t="str">
        <f t="shared" si="236"/>
        <v/>
      </c>
      <c r="AN237" s="11" t="str">
        <f t="shared" si="236"/>
        <v/>
      </c>
      <c r="AO237" s="11" t="str">
        <f t="shared" si="236"/>
        <v/>
      </c>
      <c r="AP237" s="21" t="str">
        <f t="shared" si="119"/>
        <v/>
      </c>
    </row>
    <row r="238" ht="16.5" customHeight="1">
      <c r="A238" s="32" t="s">
        <v>2922</v>
      </c>
      <c r="B238" s="32" t="s">
        <v>2689</v>
      </c>
      <c r="C238" s="32" t="s">
        <v>2947</v>
      </c>
      <c r="D238" s="32" t="s">
        <v>2948</v>
      </c>
      <c r="E238" s="32" t="s">
        <v>2949</v>
      </c>
      <c r="F238" s="4" t="s">
        <v>2950</v>
      </c>
      <c r="G238" s="4" t="s">
        <v>2951</v>
      </c>
      <c r="H238" s="4"/>
      <c r="K238" s="18"/>
      <c r="L238" s="33"/>
      <c r="M238" s="20"/>
      <c r="N238" s="20"/>
      <c r="O238" s="20"/>
      <c r="P238" s="20"/>
      <c r="Q238" s="20"/>
      <c r="R238" s="20"/>
      <c r="S238" s="20"/>
      <c r="T238" s="20"/>
      <c r="U238" s="34"/>
      <c r="AF238" s="11" t="str">
        <f t="shared" si="117"/>
        <v/>
      </c>
      <c r="AG238" s="11" t="str">
        <f t="shared" ref="AG238:AO238" si="237">if(not(isblank(M238)),", "&amp;M238,"")</f>
        <v/>
      </c>
      <c r="AH238" s="11" t="str">
        <f t="shared" si="237"/>
        <v/>
      </c>
      <c r="AI238" s="11" t="str">
        <f t="shared" si="237"/>
        <v/>
      </c>
      <c r="AJ238" s="11" t="str">
        <f t="shared" si="237"/>
        <v/>
      </c>
      <c r="AK238" s="11" t="str">
        <f t="shared" si="237"/>
        <v/>
      </c>
      <c r="AL238" s="11" t="str">
        <f t="shared" si="237"/>
        <v/>
      </c>
      <c r="AM238" s="11" t="str">
        <f t="shared" si="237"/>
        <v/>
      </c>
      <c r="AN238" s="11" t="str">
        <f t="shared" si="237"/>
        <v/>
      </c>
      <c r="AO238" s="11" t="str">
        <f t="shared" si="237"/>
        <v/>
      </c>
      <c r="AP238" s="21" t="str">
        <f t="shared" si="119"/>
        <v>0405-bottle-wide</v>
      </c>
    </row>
    <row r="239" ht="16.5" customHeight="1">
      <c r="A239" s="32" t="s">
        <v>2922</v>
      </c>
      <c r="B239" s="32" t="s">
        <v>2689</v>
      </c>
      <c r="C239" s="32" t="s">
        <v>2951</v>
      </c>
      <c r="D239" s="32" t="s">
        <v>2952</v>
      </c>
      <c r="E239" s="32" t="s">
        <v>2953</v>
      </c>
      <c r="F239" s="4" t="s">
        <v>2954</v>
      </c>
      <c r="G239" s="4" t="s">
        <v>2947</v>
      </c>
      <c r="H239" s="4"/>
      <c r="K239" s="18"/>
      <c r="L239" s="33"/>
      <c r="M239" s="20"/>
      <c r="N239" s="20"/>
      <c r="O239" s="20"/>
      <c r="P239" s="20"/>
      <c r="Q239" s="20"/>
      <c r="R239" s="20"/>
      <c r="S239" s="20"/>
      <c r="T239" s="20"/>
      <c r="U239" s="34"/>
      <c r="AF239" s="11" t="str">
        <f t="shared" si="117"/>
        <v/>
      </c>
      <c r="AG239" s="11" t="str">
        <f t="shared" ref="AG239:AO239" si="238">if(not(isblank(M239)),", "&amp;M239,"")</f>
        <v/>
      </c>
      <c r="AH239" s="11" t="str">
        <f t="shared" si="238"/>
        <v/>
      </c>
      <c r="AI239" s="11" t="str">
        <f t="shared" si="238"/>
        <v/>
      </c>
      <c r="AJ239" s="11" t="str">
        <f t="shared" si="238"/>
        <v/>
      </c>
      <c r="AK239" s="11" t="str">
        <f t="shared" si="238"/>
        <v/>
      </c>
      <c r="AL239" s="11" t="str">
        <f t="shared" si="238"/>
        <v/>
      </c>
      <c r="AM239" s="11" t="str">
        <f t="shared" si="238"/>
        <v/>
      </c>
      <c r="AN239" s="11" t="str">
        <f t="shared" si="238"/>
        <v/>
      </c>
      <c r="AO239" s="11" t="str">
        <f t="shared" si="238"/>
        <v/>
      </c>
      <c r="AP239" s="21" t="str">
        <f t="shared" si="119"/>
        <v>0405-bottle-round</v>
      </c>
    </row>
    <row r="240" ht="16.5" customHeight="1">
      <c r="A240" s="32" t="s">
        <v>2922</v>
      </c>
      <c r="B240" s="32" t="s">
        <v>2689</v>
      </c>
      <c r="C240" s="32" t="s">
        <v>2955</v>
      </c>
      <c r="D240" s="32" t="s">
        <v>2956</v>
      </c>
      <c r="E240" s="32" t="s">
        <v>2957</v>
      </c>
      <c r="F240" s="4" t="s">
        <v>2958</v>
      </c>
      <c r="G240" s="4" t="s">
        <v>2959</v>
      </c>
      <c r="H240" s="4"/>
      <c r="K240" s="18"/>
      <c r="L240" s="33"/>
      <c r="M240" s="20"/>
      <c r="N240" s="20"/>
      <c r="O240" s="20"/>
      <c r="P240" s="20"/>
      <c r="Q240" s="20"/>
      <c r="R240" s="20"/>
      <c r="S240" s="20"/>
      <c r="T240" s="20"/>
      <c r="U240" s="34"/>
      <c r="AF240" s="11" t="str">
        <f t="shared" si="117"/>
        <v/>
      </c>
      <c r="AG240" s="11" t="str">
        <f t="shared" ref="AG240:AO240" si="239">if(not(isblank(M240)),", "&amp;M240,"")</f>
        <v/>
      </c>
      <c r="AH240" s="11" t="str">
        <f t="shared" si="239"/>
        <v/>
      </c>
      <c r="AI240" s="11" t="str">
        <f t="shared" si="239"/>
        <v/>
      </c>
      <c r="AJ240" s="11" t="str">
        <f t="shared" si="239"/>
        <v/>
      </c>
      <c r="AK240" s="11" t="str">
        <f t="shared" si="239"/>
        <v/>
      </c>
      <c r="AL240" s="11" t="str">
        <f t="shared" si="239"/>
        <v/>
      </c>
      <c r="AM240" s="11" t="str">
        <f t="shared" si="239"/>
        <v/>
      </c>
      <c r="AN240" s="11" t="str">
        <f t="shared" si="239"/>
        <v/>
      </c>
      <c r="AO240" s="11" t="str">
        <f t="shared" si="239"/>
        <v/>
      </c>
      <c r="AP240" s="21" t="str">
        <f t="shared" si="119"/>
        <v>0405-glass-wide</v>
      </c>
    </row>
    <row r="241" ht="16.5" customHeight="1">
      <c r="A241" s="32" t="s">
        <v>2922</v>
      </c>
      <c r="B241" s="32" t="s">
        <v>2689</v>
      </c>
      <c r="C241" s="32" t="s">
        <v>2959</v>
      </c>
      <c r="D241" s="32" t="s">
        <v>2960</v>
      </c>
      <c r="E241" s="32" t="s">
        <v>2961</v>
      </c>
      <c r="F241" s="4" t="s">
        <v>2962</v>
      </c>
      <c r="G241" s="4" t="s">
        <v>2955</v>
      </c>
      <c r="H241" s="4"/>
      <c r="K241" s="18"/>
      <c r="L241" s="33"/>
      <c r="M241" s="20"/>
      <c r="N241" s="20"/>
      <c r="O241" s="20"/>
      <c r="P241" s="20"/>
      <c r="Q241" s="20"/>
      <c r="R241" s="20"/>
      <c r="S241" s="20"/>
      <c r="T241" s="20"/>
      <c r="U241" s="34"/>
      <c r="AF241" s="11" t="str">
        <f t="shared" si="117"/>
        <v/>
      </c>
      <c r="AG241" s="11" t="str">
        <f t="shared" ref="AG241:AO241" si="240">if(not(isblank(M241)),", "&amp;M241,"")</f>
        <v/>
      </c>
      <c r="AH241" s="11" t="str">
        <f t="shared" si="240"/>
        <v/>
      </c>
      <c r="AI241" s="11" t="str">
        <f t="shared" si="240"/>
        <v/>
      </c>
      <c r="AJ241" s="11" t="str">
        <f t="shared" si="240"/>
        <v/>
      </c>
      <c r="AK241" s="11" t="str">
        <f t="shared" si="240"/>
        <v/>
      </c>
      <c r="AL241" s="11" t="str">
        <f t="shared" si="240"/>
        <v/>
      </c>
      <c r="AM241" s="11" t="str">
        <f t="shared" si="240"/>
        <v/>
      </c>
      <c r="AN241" s="11" t="str">
        <f t="shared" si="240"/>
        <v/>
      </c>
      <c r="AO241" s="11" t="str">
        <f t="shared" si="240"/>
        <v/>
      </c>
      <c r="AP241" s="21" t="str">
        <f t="shared" si="119"/>
        <v>0405-glass-medium</v>
      </c>
    </row>
    <row r="242" ht="16.5" customHeight="1">
      <c r="A242" s="32" t="s">
        <v>2922</v>
      </c>
      <c r="B242" s="32" t="s">
        <v>2423</v>
      </c>
      <c r="C242" s="32" t="s">
        <v>2963</v>
      </c>
      <c r="D242" s="32" t="s">
        <v>2964</v>
      </c>
      <c r="E242" s="32" t="s">
        <v>2965</v>
      </c>
      <c r="F242" s="4" t="s">
        <v>2966</v>
      </c>
      <c r="G242" s="4"/>
      <c r="H242" s="4"/>
      <c r="K242" s="18"/>
      <c r="L242" s="33"/>
      <c r="M242" s="20"/>
      <c r="N242" s="20"/>
      <c r="O242" s="20"/>
      <c r="P242" s="20"/>
      <c r="Q242" s="20"/>
      <c r="R242" s="20"/>
      <c r="S242" s="20"/>
      <c r="T242" s="20"/>
      <c r="U242" s="34"/>
      <c r="AF242" s="11" t="str">
        <f t="shared" si="117"/>
        <v/>
      </c>
      <c r="AG242" s="11" t="str">
        <f t="shared" ref="AG242:AO242" si="241">if(not(isblank(M242)),", "&amp;M242,"")</f>
        <v/>
      </c>
      <c r="AH242" s="11" t="str">
        <f t="shared" si="241"/>
        <v/>
      </c>
      <c r="AI242" s="11" t="str">
        <f t="shared" si="241"/>
        <v/>
      </c>
      <c r="AJ242" s="11" t="str">
        <f t="shared" si="241"/>
        <v/>
      </c>
      <c r="AK242" s="11" t="str">
        <f t="shared" si="241"/>
        <v/>
      </c>
      <c r="AL242" s="11" t="str">
        <f t="shared" si="241"/>
        <v/>
      </c>
      <c r="AM242" s="11" t="str">
        <f t="shared" si="241"/>
        <v/>
      </c>
      <c r="AN242" s="11" t="str">
        <f t="shared" si="241"/>
        <v/>
      </c>
      <c r="AO242" s="11" t="str">
        <f t="shared" si="241"/>
        <v/>
      </c>
      <c r="AP242" s="21" t="str">
        <f t="shared" si="119"/>
        <v/>
      </c>
    </row>
    <row r="243" ht="16.5" customHeight="1">
      <c r="A243" s="32" t="s">
        <v>2922</v>
      </c>
      <c r="B243" s="32" t="s">
        <v>2689</v>
      </c>
      <c r="C243" s="32" t="s">
        <v>2967</v>
      </c>
      <c r="D243" s="32" t="s">
        <v>2968</v>
      </c>
      <c r="E243" s="32" t="s">
        <v>2969</v>
      </c>
      <c r="F243" s="4" t="s">
        <v>2970</v>
      </c>
      <c r="G243" s="4"/>
      <c r="H243" s="4"/>
      <c r="K243" s="18"/>
      <c r="L243" s="33"/>
      <c r="M243" s="20"/>
      <c r="N243" s="20"/>
      <c r="O243" s="20"/>
      <c r="P243" s="20"/>
      <c r="Q243" s="20"/>
      <c r="R243" s="20"/>
      <c r="S243" s="20"/>
      <c r="T243" s="20"/>
      <c r="U243" s="34"/>
      <c r="AF243" s="11" t="str">
        <f t="shared" si="117"/>
        <v/>
      </c>
      <c r="AG243" s="11" t="str">
        <f t="shared" ref="AG243:AO243" si="242">if(not(isblank(M243)),", "&amp;M243,"")</f>
        <v/>
      </c>
      <c r="AH243" s="11" t="str">
        <f t="shared" si="242"/>
        <v/>
      </c>
      <c r="AI243" s="11" t="str">
        <f t="shared" si="242"/>
        <v/>
      </c>
      <c r="AJ243" s="11" t="str">
        <f t="shared" si="242"/>
        <v/>
      </c>
      <c r="AK243" s="11" t="str">
        <f t="shared" si="242"/>
        <v/>
      </c>
      <c r="AL243" s="11" t="str">
        <f t="shared" si="242"/>
        <v/>
      </c>
      <c r="AM243" s="11" t="str">
        <f t="shared" si="242"/>
        <v/>
      </c>
      <c r="AN243" s="11" t="str">
        <f t="shared" si="242"/>
        <v/>
      </c>
      <c r="AO243" s="11" t="str">
        <f t="shared" si="242"/>
        <v/>
      </c>
      <c r="AP243" s="21" t="str">
        <f t="shared" si="119"/>
        <v/>
      </c>
    </row>
    <row r="244" ht="16.5" customHeight="1">
      <c r="A244" s="32" t="s">
        <v>2922</v>
      </c>
      <c r="B244" s="32" t="s">
        <v>2689</v>
      </c>
      <c r="C244" s="32" t="s">
        <v>2971</v>
      </c>
      <c r="D244" s="32" t="s">
        <v>2972</v>
      </c>
      <c r="E244" s="32" t="s">
        <v>2973</v>
      </c>
      <c r="F244" s="4" t="s">
        <v>2974</v>
      </c>
      <c r="G244" s="4"/>
      <c r="H244" s="4"/>
      <c r="K244" s="18"/>
      <c r="L244" s="33"/>
      <c r="M244" s="20"/>
      <c r="N244" s="20"/>
      <c r="O244" s="20"/>
      <c r="P244" s="20"/>
      <c r="Q244" s="20"/>
      <c r="R244" s="20"/>
      <c r="S244" s="20"/>
      <c r="T244" s="20"/>
      <c r="U244" s="34"/>
      <c r="AF244" s="11" t="str">
        <f t="shared" si="117"/>
        <v/>
      </c>
      <c r="AG244" s="11" t="str">
        <f t="shared" ref="AG244:AO244" si="243">if(not(isblank(M244)),", "&amp;M244,"")</f>
        <v/>
      </c>
      <c r="AH244" s="11" t="str">
        <f t="shared" si="243"/>
        <v/>
      </c>
      <c r="AI244" s="11" t="str">
        <f t="shared" si="243"/>
        <v/>
      </c>
      <c r="AJ244" s="11" t="str">
        <f t="shared" si="243"/>
        <v/>
      </c>
      <c r="AK244" s="11" t="str">
        <f t="shared" si="243"/>
        <v/>
      </c>
      <c r="AL244" s="11" t="str">
        <f t="shared" si="243"/>
        <v/>
      </c>
      <c r="AM244" s="11" t="str">
        <f t="shared" si="243"/>
        <v/>
      </c>
      <c r="AN244" s="11" t="str">
        <f t="shared" si="243"/>
        <v/>
      </c>
      <c r="AO244" s="11" t="str">
        <f t="shared" si="243"/>
        <v/>
      </c>
      <c r="AP244" s="21" t="str">
        <f t="shared" si="119"/>
        <v/>
      </c>
    </row>
    <row r="245" ht="16.5" customHeight="1">
      <c r="A245" s="32" t="s">
        <v>2922</v>
      </c>
      <c r="B245" s="32" t="s">
        <v>2423</v>
      </c>
      <c r="C245" s="32" t="s">
        <v>2975</v>
      </c>
      <c r="D245" s="32" t="s">
        <v>2976</v>
      </c>
      <c r="E245" s="32" t="s">
        <v>2977</v>
      </c>
      <c r="F245" s="4" t="s">
        <v>2978</v>
      </c>
      <c r="G245" s="4"/>
      <c r="H245" s="4"/>
      <c r="K245" s="18"/>
      <c r="L245" s="33"/>
      <c r="M245" s="20"/>
      <c r="N245" s="20"/>
      <c r="O245" s="20"/>
      <c r="P245" s="20"/>
      <c r="Q245" s="20"/>
      <c r="R245" s="20"/>
      <c r="S245" s="20"/>
      <c r="T245" s="20"/>
      <c r="U245" s="34"/>
      <c r="AF245" s="11" t="str">
        <f t="shared" si="117"/>
        <v/>
      </c>
      <c r="AG245" s="11" t="str">
        <f t="shared" ref="AG245:AO245" si="244">if(not(isblank(M245)),", "&amp;M245,"")</f>
        <v/>
      </c>
      <c r="AH245" s="11" t="str">
        <f t="shared" si="244"/>
        <v/>
      </c>
      <c r="AI245" s="11" t="str">
        <f t="shared" si="244"/>
        <v/>
      </c>
      <c r="AJ245" s="11" t="str">
        <f t="shared" si="244"/>
        <v/>
      </c>
      <c r="AK245" s="11" t="str">
        <f t="shared" si="244"/>
        <v/>
      </c>
      <c r="AL245" s="11" t="str">
        <f t="shared" si="244"/>
        <v/>
      </c>
      <c r="AM245" s="11" t="str">
        <f t="shared" si="244"/>
        <v/>
      </c>
      <c r="AN245" s="11" t="str">
        <f t="shared" si="244"/>
        <v/>
      </c>
      <c r="AO245" s="11" t="str">
        <f t="shared" si="244"/>
        <v/>
      </c>
      <c r="AP245" s="21" t="str">
        <f t="shared" si="119"/>
        <v/>
      </c>
    </row>
    <row r="246" ht="16.5" customHeight="1">
      <c r="A246" s="32" t="s">
        <v>2922</v>
      </c>
      <c r="B246" s="32" t="s">
        <v>2423</v>
      </c>
      <c r="C246" s="32" t="s">
        <v>2979</v>
      </c>
      <c r="D246" s="32" t="s">
        <v>2980</v>
      </c>
      <c r="E246" s="32" t="s">
        <v>2981</v>
      </c>
      <c r="F246" s="4" t="s">
        <v>2982</v>
      </c>
      <c r="G246" s="4"/>
      <c r="H246" s="4"/>
      <c r="K246" s="18"/>
      <c r="L246" s="33"/>
      <c r="M246" s="20"/>
      <c r="N246" s="20"/>
      <c r="O246" s="20"/>
      <c r="P246" s="20"/>
      <c r="Q246" s="20"/>
      <c r="R246" s="20"/>
      <c r="S246" s="20"/>
      <c r="T246" s="20"/>
      <c r="U246" s="34"/>
      <c r="AF246" s="11" t="str">
        <f t="shared" si="117"/>
        <v/>
      </c>
      <c r="AG246" s="11" t="str">
        <f t="shared" ref="AG246:AO246" si="245">if(not(isblank(M246)),", "&amp;M246,"")</f>
        <v/>
      </c>
      <c r="AH246" s="11" t="str">
        <f t="shared" si="245"/>
        <v/>
      </c>
      <c r="AI246" s="11" t="str">
        <f t="shared" si="245"/>
        <v/>
      </c>
      <c r="AJ246" s="11" t="str">
        <f t="shared" si="245"/>
        <v/>
      </c>
      <c r="AK246" s="11" t="str">
        <f t="shared" si="245"/>
        <v/>
      </c>
      <c r="AL246" s="11" t="str">
        <f t="shared" si="245"/>
        <v/>
      </c>
      <c r="AM246" s="11" t="str">
        <f t="shared" si="245"/>
        <v/>
      </c>
      <c r="AN246" s="11" t="str">
        <f t="shared" si="245"/>
        <v/>
      </c>
      <c r="AO246" s="11" t="str">
        <f t="shared" si="245"/>
        <v/>
      </c>
      <c r="AP246" s="21" t="str">
        <f t="shared" si="119"/>
        <v/>
      </c>
    </row>
    <row r="247" ht="16.5" customHeight="1">
      <c r="A247" s="32" t="s">
        <v>2922</v>
      </c>
      <c r="B247" s="32" t="s">
        <v>2423</v>
      </c>
      <c r="C247" s="32" t="s">
        <v>2983</v>
      </c>
      <c r="D247" s="32" t="s">
        <v>2984</v>
      </c>
      <c r="E247" s="32" t="s">
        <v>2985</v>
      </c>
      <c r="F247" s="4" t="s">
        <v>2986</v>
      </c>
      <c r="G247" s="4"/>
      <c r="H247" s="4"/>
      <c r="K247" s="18"/>
      <c r="L247" s="33"/>
      <c r="M247" s="20"/>
      <c r="N247" s="20"/>
      <c r="O247" s="20"/>
      <c r="P247" s="20"/>
      <c r="Q247" s="20"/>
      <c r="R247" s="20"/>
      <c r="S247" s="20"/>
      <c r="T247" s="20"/>
      <c r="U247" s="34"/>
      <c r="AF247" s="11" t="str">
        <f t="shared" si="117"/>
        <v/>
      </c>
      <c r="AG247" s="11" t="str">
        <f t="shared" ref="AG247:AO247" si="246">if(not(isblank(M247)),", "&amp;M247,"")</f>
        <v/>
      </c>
      <c r="AH247" s="11" t="str">
        <f t="shared" si="246"/>
        <v/>
      </c>
      <c r="AI247" s="11" t="str">
        <f t="shared" si="246"/>
        <v/>
      </c>
      <c r="AJ247" s="11" t="str">
        <f t="shared" si="246"/>
        <v/>
      </c>
      <c r="AK247" s="11" t="str">
        <f t="shared" si="246"/>
        <v/>
      </c>
      <c r="AL247" s="11" t="str">
        <f t="shared" si="246"/>
        <v/>
      </c>
      <c r="AM247" s="11" t="str">
        <f t="shared" si="246"/>
        <v/>
      </c>
      <c r="AN247" s="11" t="str">
        <f t="shared" si="246"/>
        <v/>
      </c>
      <c r="AO247" s="11" t="str">
        <f t="shared" si="246"/>
        <v/>
      </c>
      <c r="AP247" s="21" t="str">
        <f t="shared" si="119"/>
        <v/>
      </c>
    </row>
    <row r="248" ht="16.5" customHeight="1">
      <c r="A248" s="32" t="s">
        <v>2922</v>
      </c>
      <c r="B248" s="32" t="s">
        <v>2423</v>
      </c>
      <c r="C248" s="32" t="s">
        <v>2987</v>
      </c>
      <c r="D248" s="32" t="s">
        <v>2988</v>
      </c>
      <c r="E248" s="32" t="s">
        <v>2989</v>
      </c>
      <c r="F248" s="4" t="s">
        <v>2990</v>
      </c>
      <c r="G248" s="4"/>
      <c r="H248" s="4"/>
      <c r="K248" s="18"/>
      <c r="L248" s="33"/>
      <c r="M248" s="20"/>
      <c r="N248" s="20"/>
      <c r="O248" s="20"/>
      <c r="P248" s="20"/>
      <c r="Q248" s="20"/>
      <c r="R248" s="20"/>
      <c r="S248" s="20"/>
      <c r="T248" s="20"/>
      <c r="U248" s="34"/>
      <c r="AF248" s="11" t="str">
        <f t="shared" si="117"/>
        <v/>
      </c>
      <c r="AG248" s="11" t="str">
        <f t="shared" ref="AG248:AO248" si="247">if(not(isblank(M248)),", "&amp;M248,"")</f>
        <v/>
      </c>
      <c r="AH248" s="11" t="str">
        <f t="shared" si="247"/>
        <v/>
      </c>
      <c r="AI248" s="11" t="str">
        <f t="shared" si="247"/>
        <v/>
      </c>
      <c r="AJ248" s="11" t="str">
        <f t="shared" si="247"/>
        <v/>
      </c>
      <c r="AK248" s="11" t="str">
        <f t="shared" si="247"/>
        <v/>
      </c>
      <c r="AL248" s="11" t="str">
        <f t="shared" si="247"/>
        <v/>
      </c>
      <c r="AM248" s="11" t="str">
        <f t="shared" si="247"/>
        <v/>
      </c>
      <c r="AN248" s="11" t="str">
        <f t="shared" si="247"/>
        <v/>
      </c>
      <c r="AO248" s="11" t="str">
        <f t="shared" si="247"/>
        <v/>
      </c>
      <c r="AP248" s="21" t="str">
        <f t="shared" si="119"/>
        <v/>
      </c>
    </row>
    <row r="249" ht="16.5" customHeight="1">
      <c r="A249" s="32" t="s">
        <v>2922</v>
      </c>
      <c r="B249" s="32" t="s">
        <v>2423</v>
      </c>
      <c r="C249" s="32" t="s">
        <v>2991</v>
      </c>
      <c r="D249" s="32" t="s">
        <v>2992</v>
      </c>
      <c r="E249" s="32" t="s">
        <v>2993</v>
      </c>
      <c r="F249" s="4" t="s">
        <v>2994</v>
      </c>
      <c r="G249" s="4"/>
      <c r="H249" s="4"/>
      <c r="K249" s="18"/>
      <c r="L249" s="33"/>
      <c r="M249" s="20"/>
      <c r="N249" s="20"/>
      <c r="O249" s="20"/>
      <c r="P249" s="20"/>
      <c r="Q249" s="20"/>
      <c r="R249" s="20"/>
      <c r="S249" s="20"/>
      <c r="T249" s="20"/>
      <c r="U249" s="34"/>
      <c r="AF249" s="11" t="str">
        <f t="shared" si="117"/>
        <v/>
      </c>
      <c r="AG249" s="11" t="str">
        <f t="shared" ref="AG249:AO249" si="248">if(not(isblank(M249)),", "&amp;M249,"")</f>
        <v/>
      </c>
      <c r="AH249" s="11" t="str">
        <f t="shared" si="248"/>
        <v/>
      </c>
      <c r="AI249" s="11" t="str">
        <f t="shared" si="248"/>
        <v/>
      </c>
      <c r="AJ249" s="11" t="str">
        <f t="shared" si="248"/>
        <v/>
      </c>
      <c r="AK249" s="11" t="str">
        <f t="shared" si="248"/>
        <v/>
      </c>
      <c r="AL249" s="11" t="str">
        <f t="shared" si="248"/>
        <v/>
      </c>
      <c r="AM249" s="11" t="str">
        <f t="shared" si="248"/>
        <v/>
      </c>
      <c r="AN249" s="11" t="str">
        <f t="shared" si="248"/>
        <v/>
      </c>
      <c r="AO249" s="11" t="str">
        <f t="shared" si="248"/>
        <v/>
      </c>
      <c r="AP249" s="21" t="str">
        <f t="shared" si="119"/>
        <v/>
      </c>
    </row>
    <row r="250" ht="16.5" customHeight="1">
      <c r="A250" s="32" t="s">
        <v>2922</v>
      </c>
      <c r="B250" s="32" t="s">
        <v>2423</v>
      </c>
      <c r="C250" s="32" t="s">
        <v>2995</v>
      </c>
      <c r="D250" s="32" t="s">
        <v>2996</v>
      </c>
      <c r="E250" s="36"/>
      <c r="F250" s="4"/>
      <c r="G250" s="4"/>
      <c r="H250" s="4"/>
      <c r="K250" s="18"/>
      <c r="L250" s="35" t="s">
        <v>1879</v>
      </c>
      <c r="M250" s="19" t="s">
        <v>1957</v>
      </c>
      <c r="N250" s="19" t="s">
        <v>1892</v>
      </c>
      <c r="O250" s="19" t="s">
        <v>1896</v>
      </c>
      <c r="P250" s="19" t="s">
        <v>1900</v>
      </c>
      <c r="Q250" s="19" t="s">
        <v>1888</v>
      </c>
      <c r="R250" s="19" t="s">
        <v>1886</v>
      </c>
      <c r="S250" s="19"/>
      <c r="T250" s="20"/>
      <c r="U250" s="34"/>
      <c r="AF250" s="11" t="str">
        <f t="shared" si="117"/>
        <v>plath-blue-mohair-mix</v>
      </c>
      <c r="AG250" s="11" t="str">
        <f t="shared" ref="AG250:AO250" si="249">if(not(isblank(M250)),", "&amp;M250,"")</f>
        <v>, plath-brown-mohair-mix-1</v>
      </c>
      <c r="AH250" s="11" t="str">
        <f t="shared" si="249"/>
        <v>, plath-grey-mohair-mix</v>
      </c>
      <c r="AI250" s="11" t="str">
        <f t="shared" si="249"/>
        <v>, plath-olive-mohair-mix</v>
      </c>
      <c r="AJ250" s="11" t="str">
        <f t="shared" si="249"/>
        <v>, plath-taupe-mohair-mix</v>
      </c>
      <c r="AK250" s="11" t="str">
        <f t="shared" si="249"/>
        <v>, plath-black-merino-1</v>
      </c>
      <c r="AL250" s="11" t="str">
        <f t="shared" si="249"/>
        <v>, plath-charcoal-merino</v>
      </c>
      <c r="AM250" s="11" t="str">
        <f t="shared" si="249"/>
        <v/>
      </c>
      <c r="AN250" s="11" t="str">
        <f t="shared" si="249"/>
        <v/>
      </c>
      <c r="AO250" s="11" t="str">
        <f t="shared" si="249"/>
        <v/>
      </c>
      <c r="AP250" s="21" t="str">
        <f t="shared" si="119"/>
        <v>plath-blue-mohair-mix, plath-brown-mohair-mix-1, plath-grey-mohair-mix, plath-olive-mohair-mix, plath-taupe-mohair-mix, plath-black-merino-1, plath-charcoal-merino</v>
      </c>
    </row>
    <row r="251" ht="16.5" customHeight="1">
      <c r="A251" s="32" t="s">
        <v>2922</v>
      </c>
      <c r="B251" s="32" t="s">
        <v>2423</v>
      </c>
      <c r="C251" s="32" t="s">
        <v>2997</v>
      </c>
      <c r="D251" s="32" t="s">
        <v>2998</v>
      </c>
      <c r="E251" s="36"/>
      <c r="F251" s="4"/>
      <c r="G251" s="4"/>
      <c r="H251" s="4"/>
      <c r="K251" s="18"/>
      <c r="L251" s="35" t="s">
        <v>1879</v>
      </c>
      <c r="M251" s="19" t="s">
        <v>1957</v>
      </c>
      <c r="N251" s="19" t="s">
        <v>1892</v>
      </c>
      <c r="O251" s="19" t="s">
        <v>1896</v>
      </c>
      <c r="P251" s="19" t="s">
        <v>1961</v>
      </c>
      <c r="Q251" s="19" t="s">
        <v>1888</v>
      </c>
      <c r="R251" s="19" t="s">
        <v>1886</v>
      </c>
      <c r="S251" s="19"/>
      <c r="T251" s="20"/>
      <c r="U251" s="34"/>
      <c r="AF251" s="11" t="str">
        <f t="shared" si="117"/>
        <v>plath-blue-mohair-mix</v>
      </c>
      <c r="AG251" s="11" t="str">
        <f t="shared" ref="AG251:AO251" si="250">if(not(isblank(M251)),", "&amp;M251,"")</f>
        <v>, plath-brown-mohair-mix-1</v>
      </c>
      <c r="AH251" s="11" t="str">
        <f t="shared" si="250"/>
        <v>, plath-grey-mohair-mix</v>
      </c>
      <c r="AI251" s="11" t="str">
        <f t="shared" si="250"/>
        <v>, plath-olive-mohair-mix</v>
      </c>
      <c r="AJ251" s="11" t="str">
        <f t="shared" si="250"/>
        <v>, plath-spice-mohair-mix-1</v>
      </c>
      <c r="AK251" s="11" t="str">
        <f t="shared" si="250"/>
        <v>, plath-black-merino-1</v>
      </c>
      <c r="AL251" s="11" t="str">
        <f t="shared" si="250"/>
        <v>, plath-charcoal-merino</v>
      </c>
      <c r="AM251" s="11" t="str">
        <f t="shared" si="250"/>
        <v/>
      </c>
      <c r="AN251" s="11" t="str">
        <f t="shared" si="250"/>
        <v/>
      </c>
      <c r="AO251" s="11" t="str">
        <f t="shared" si="250"/>
        <v/>
      </c>
      <c r="AP251" s="21" t="str">
        <f t="shared" si="119"/>
        <v>plath-blue-mohair-mix, plath-brown-mohair-mix-1, plath-grey-mohair-mix, plath-olive-mohair-mix, plath-spice-mohair-mix-1, plath-black-merino-1, plath-charcoal-merino</v>
      </c>
    </row>
    <row r="252" ht="16.5" customHeight="1">
      <c r="A252" s="32" t="s">
        <v>2922</v>
      </c>
      <c r="B252" s="32" t="s">
        <v>2423</v>
      </c>
      <c r="C252" s="32" t="s">
        <v>2999</v>
      </c>
      <c r="D252" s="32" t="s">
        <v>3000</v>
      </c>
      <c r="E252" s="36"/>
      <c r="F252" s="4"/>
      <c r="G252" s="4"/>
      <c r="H252" s="4"/>
      <c r="K252" s="18"/>
      <c r="L252" s="35" t="s">
        <v>1800</v>
      </c>
      <c r="M252" s="20"/>
      <c r="N252" s="20"/>
      <c r="O252" s="20"/>
      <c r="P252" s="20"/>
      <c r="Q252" s="20"/>
      <c r="R252" s="20"/>
      <c r="S252" s="20"/>
      <c r="T252" s="20"/>
      <c r="U252" s="34"/>
      <c r="AF252" s="11" t="str">
        <f t="shared" si="117"/>
        <v>blake-taupe</v>
      </c>
      <c r="AG252" s="11" t="str">
        <f t="shared" ref="AG252:AO252" si="251">if(not(isblank(M252)),", "&amp;M252,"")</f>
        <v/>
      </c>
      <c r="AH252" s="11" t="str">
        <f t="shared" si="251"/>
        <v/>
      </c>
      <c r="AI252" s="11" t="str">
        <f t="shared" si="251"/>
        <v/>
      </c>
      <c r="AJ252" s="11" t="str">
        <f t="shared" si="251"/>
        <v/>
      </c>
      <c r="AK252" s="11" t="str">
        <f t="shared" si="251"/>
        <v/>
      </c>
      <c r="AL252" s="11" t="str">
        <f t="shared" si="251"/>
        <v/>
      </c>
      <c r="AM252" s="11" t="str">
        <f t="shared" si="251"/>
        <v/>
      </c>
      <c r="AN252" s="11" t="str">
        <f t="shared" si="251"/>
        <v/>
      </c>
      <c r="AO252" s="11" t="str">
        <f t="shared" si="251"/>
        <v/>
      </c>
      <c r="AP252" s="21" t="str">
        <f t="shared" si="119"/>
        <v>blake-taupe</v>
      </c>
    </row>
    <row r="253" ht="16.5" customHeight="1">
      <c r="A253" s="32" t="s">
        <v>2922</v>
      </c>
      <c r="B253" s="32" t="s">
        <v>2689</v>
      </c>
      <c r="C253" s="32" t="s">
        <v>3001</v>
      </c>
      <c r="D253" s="32" t="s">
        <v>3002</v>
      </c>
      <c r="E253" s="32" t="s">
        <v>3003</v>
      </c>
      <c r="F253" s="4" t="s">
        <v>3004</v>
      </c>
      <c r="G253" s="4"/>
      <c r="H253" s="4"/>
      <c r="K253" s="18"/>
      <c r="L253" s="33"/>
      <c r="M253" s="20"/>
      <c r="N253" s="20"/>
      <c r="O253" s="20"/>
      <c r="P253" s="20"/>
      <c r="Q253" s="20"/>
      <c r="R253" s="20"/>
      <c r="S253" s="20"/>
      <c r="T253" s="20"/>
      <c r="U253" s="34"/>
      <c r="AF253" s="11" t="str">
        <f t="shared" si="117"/>
        <v/>
      </c>
      <c r="AG253" s="11" t="str">
        <f t="shared" ref="AG253:AO253" si="252">if(not(isblank(M253)),", "&amp;M253,"")</f>
        <v/>
      </c>
      <c r="AH253" s="11" t="str">
        <f t="shared" si="252"/>
        <v/>
      </c>
      <c r="AI253" s="11" t="str">
        <f t="shared" si="252"/>
        <v/>
      </c>
      <c r="AJ253" s="11" t="str">
        <f t="shared" si="252"/>
        <v/>
      </c>
      <c r="AK253" s="11" t="str">
        <f t="shared" si="252"/>
        <v/>
      </c>
      <c r="AL253" s="11" t="str">
        <f t="shared" si="252"/>
        <v/>
      </c>
      <c r="AM253" s="11" t="str">
        <f t="shared" si="252"/>
        <v/>
      </c>
      <c r="AN253" s="11" t="str">
        <f t="shared" si="252"/>
        <v/>
      </c>
      <c r="AO253" s="11" t="str">
        <f t="shared" si="252"/>
        <v/>
      </c>
      <c r="AP253" s="21" t="str">
        <f t="shared" si="119"/>
        <v/>
      </c>
    </row>
    <row r="254" ht="16.5" customHeight="1">
      <c r="A254" s="32" t="s">
        <v>2922</v>
      </c>
      <c r="B254" s="32" t="s">
        <v>2689</v>
      </c>
      <c r="C254" s="32" t="s">
        <v>3005</v>
      </c>
      <c r="D254" s="32" t="s">
        <v>3006</v>
      </c>
      <c r="E254" s="32" t="s">
        <v>3007</v>
      </c>
      <c r="F254" s="4" t="s">
        <v>3008</v>
      </c>
      <c r="G254" s="4"/>
      <c r="H254" s="4"/>
      <c r="K254" s="18"/>
      <c r="L254" s="35" t="s">
        <v>1782</v>
      </c>
      <c r="M254" s="19" t="s">
        <v>2677</v>
      </c>
      <c r="N254" s="19" t="s">
        <v>2682</v>
      </c>
      <c r="O254" s="19" t="s">
        <v>2678</v>
      </c>
      <c r="P254" s="20"/>
      <c r="Q254" s="20"/>
      <c r="R254" s="20"/>
      <c r="S254" s="20"/>
      <c r="T254" s="20"/>
      <c r="U254" s="34"/>
      <c r="AF254" s="11" t="str">
        <f t="shared" si="117"/>
        <v>aiden-white-ox</v>
      </c>
      <c r="AG254" s="11" t="str">
        <f t="shared" ref="AG254:AO254" si="253">if(not(isblank(M254)),", "&amp;M254,"")</f>
        <v>, aiden-blue-check-pop</v>
      </c>
      <c r="AH254" s="11" t="str">
        <f t="shared" si="253"/>
        <v>, aiden-brown-stripe-pop</v>
      </c>
      <c r="AI254" s="11" t="str">
        <f t="shared" si="253"/>
        <v>, aiden-grey-oxford</v>
      </c>
      <c r="AJ254" s="11" t="str">
        <f t="shared" si="253"/>
        <v/>
      </c>
      <c r="AK254" s="11" t="str">
        <f t="shared" si="253"/>
        <v/>
      </c>
      <c r="AL254" s="11" t="str">
        <f t="shared" si="253"/>
        <v/>
      </c>
      <c r="AM254" s="11" t="str">
        <f t="shared" si="253"/>
        <v/>
      </c>
      <c r="AN254" s="11" t="str">
        <f t="shared" si="253"/>
        <v/>
      </c>
      <c r="AO254" s="11" t="str">
        <f t="shared" si="253"/>
        <v/>
      </c>
      <c r="AP254" s="21" t="str">
        <f t="shared" si="119"/>
        <v>aiden-white-ox, aiden-blue-check-pop, aiden-brown-stripe-pop, aiden-grey-oxford</v>
      </c>
    </row>
    <row r="255" ht="16.5" customHeight="1">
      <c r="A255" s="32" t="s">
        <v>2922</v>
      </c>
      <c r="B255" s="32" t="s">
        <v>2689</v>
      </c>
      <c r="C255" s="32" t="s">
        <v>3009</v>
      </c>
      <c r="D255" s="32" t="s">
        <v>3010</v>
      </c>
      <c r="E255" s="32" t="s">
        <v>3007</v>
      </c>
      <c r="F255" s="4" t="s">
        <v>3011</v>
      </c>
      <c r="G255" s="4"/>
      <c r="H255" s="4"/>
      <c r="K255" s="18"/>
      <c r="L255" s="35" t="s">
        <v>2682</v>
      </c>
      <c r="M255" s="19" t="s">
        <v>1782</v>
      </c>
      <c r="N255" s="19" t="s">
        <v>2677</v>
      </c>
      <c r="O255" s="19" t="s">
        <v>2678</v>
      </c>
      <c r="P255" s="20"/>
      <c r="Q255" s="20"/>
      <c r="R255" s="20"/>
      <c r="S255" s="20"/>
      <c r="T255" s="20"/>
      <c r="U255" s="34"/>
      <c r="AF255" s="11" t="str">
        <f t="shared" si="117"/>
        <v>aiden-brown-stripe-pop</v>
      </c>
      <c r="AG255" s="11" t="str">
        <f t="shared" ref="AG255:AO255" si="254">if(not(isblank(M255)),", "&amp;M255,"")</f>
        <v>, aiden-white-ox</v>
      </c>
      <c r="AH255" s="11" t="str">
        <f t="shared" si="254"/>
        <v>, aiden-blue-check-pop</v>
      </c>
      <c r="AI255" s="11" t="str">
        <f t="shared" si="254"/>
        <v>, aiden-grey-oxford</v>
      </c>
      <c r="AJ255" s="11" t="str">
        <f t="shared" si="254"/>
        <v/>
      </c>
      <c r="AK255" s="11" t="str">
        <f t="shared" si="254"/>
        <v/>
      </c>
      <c r="AL255" s="11" t="str">
        <f t="shared" si="254"/>
        <v/>
      </c>
      <c r="AM255" s="11" t="str">
        <f t="shared" si="254"/>
        <v/>
      </c>
      <c r="AN255" s="11" t="str">
        <f t="shared" si="254"/>
        <v/>
      </c>
      <c r="AO255" s="11" t="str">
        <f t="shared" si="254"/>
        <v/>
      </c>
      <c r="AP255" s="21" t="str">
        <f t="shared" si="119"/>
        <v>aiden-brown-stripe-pop, aiden-white-ox, aiden-blue-check-pop, aiden-grey-oxford</v>
      </c>
    </row>
    <row r="256" ht="16.5" customHeight="1">
      <c r="A256" s="32" t="s">
        <v>3012</v>
      </c>
      <c r="B256" s="32" t="s">
        <v>3013</v>
      </c>
      <c r="C256" s="32" t="s">
        <v>3014</v>
      </c>
      <c r="D256" s="32" t="s">
        <v>3015</v>
      </c>
      <c r="E256" s="32" t="s">
        <v>3016</v>
      </c>
      <c r="F256" s="7" t="s">
        <v>3017</v>
      </c>
      <c r="G256" s="4" t="s">
        <v>3018</v>
      </c>
      <c r="H256" s="4"/>
      <c r="K256" s="18"/>
      <c r="L256" s="33"/>
      <c r="M256" s="20"/>
      <c r="N256" s="20"/>
      <c r="O256" s="20"/>
      <c r="P256" s="20"/>
      <c r="Q256" s="20"/>
      <c r="R256" s="20"/>
      <c r="S256" s="20"/>
      <c r="T256" s="20"/>
      <c r="U256" s="34"/>
      <c r="AF256" s="11" t="str">
        <f t="shared" si="117"/>
        <v/>
      </c>
      <c r="AG256" s="11" t="str">
        <f t="shared" ref="AG256:AO256" si="255">if(not(isblank(M256)),", "&amp;M256,"")</f>
        <v/>
      </c>
      <c r="AH256" s="11" t="str">
        <f t="shared" si="255"/>
        <v/>
      </c>
      <c r="AI256" s="11" t="str">
        <f t="shared" si="255"/>
        <v/>
      </c>
      <c r="AJ256" s="11" t="str">
        <f t="shared" si="255"/>
        <v/>
      </c>
      <c r="AK256" s="11" t="str">
        <f t="shared" si="255"/>
        <v/>
      </c>
      <c r="AL256" s="11" t="str">
        <f t="shared" si="255"/>
        <v/>
      </c>
      <c r="AM256" s="11" t="str">
        <f t="shared" si="255"/>
        <v/>
      </c>
      <c r="AN256" s="11" t="str">
        <f t="shared" si="255"/>
        <v/>
      </c>
      <c r="AO256" s="11" t="str">
        <f t="shared" si="255"/>
        <v/>
      </c>
      <c r="AP256" s="21" t="str">
        <f t="shared" si="119"/>
        <v>20210-100-deerskin-primaloft-rib</v>
      </c>
    </row>
    <row r="257" ht="16.5" customHeight="1">
      <c r="A257" s="32" t="s">
        <v>3012</v>
      </c>
      <c r="B257" s="32" t="s">
        <v>3019</v>
      </c>
      <c r="C257" s="32" t="s">
        <v>3020</v>
      </c>
      <c r="D257" s="32" t="s">
        <v>3021</v>
      </c>
      <c r="E257" s="32" t="s">
        <v>3022</v>
      </c>
      <c r="F257" s="4" t="s">
        <v>3023</v>
      </c>
      <c r="G257" s="4"/>
      <c r="H257" s="4"/>
      <c r="K257" s="18"/>
      <c r="L257" s="35" t="s">
        <v>3024</v>
      </c>
      <c r="M257" s="20"/>
      <c r="N257" s="20"/>
      <c r="O257" s="20"/>
      <c r="P257" s="20"/>
      <c r="Q257" s="20"/>
      <c r="R257" s="20"/>
      <c r="S257" s="20"/>
      <c r="T257" s="20"/>
      <c r="U257" s="34"/>
      <c r="AF257" s="11" t="str">
        <f t="shared" si="117"/>
        <v>megan-chestnut</v>
      </c>
      <c r="AG257" s="11" t="str">
        <f t="shared" ref="AG257:AO257" si="256">if(not(isblank(M257)),", "&amp;M257,"")</f>
        <v/>
      </c>
      <c r="AH257" s="11" t="str">
        <f t="shared" si="256"/>
        <v/>
      </c>
      <c r="AI257" s="11" t="str">
        <f t="shared" si="256"/>
        <v/>
      </c>
      <c r="AJ257" s="11" t="str">
        <f t="shared" si="256"/>
        <v/>
      </c>
      <c r="AK257" s="11" t="str">
        <f t="shared" si="256"/>
        <v/>
      </c>
      <c r="AL257" s="11" t="str">
        <f t="shared" si="256"/>
        <v/>
      </c>
      <c r="AM257" s="11" t="str">
        <f t="shared" si="256"/>
        <v/>
      </c>
      <c r="AN257" s="11" t="str">
        <f t="shared" si="256"/>
        <v/>
      </c>
      <c r="AO257" s="11" t="str">
        <f t="shared" si="256"/>
        <v/>
      </c>
      <c r="AP257" s="21" t="str">
        <f t="shared" si="119"/>
        <v>megan-chestnut</v>
      </c>
    </row>
    <row r="258" ht="16.5" customHeight="1">
      <c r="A258" s="32" t="s">
        <v>3012</v>
      </c>
      <c r="B258" s="32" t="s">
        <v>3019</v>
      </c>
      <c r="C258" s="32" t="s">
        <v>3024</v>
      </c>
      <c r="D258" s="32" t="s">
        <v>3025</v>
      </c>
      <c r="E258" s="32" t="s">
        <v>3026</v>
      </c>
      <c r="F258" s="4" t="s">
        <v>3023</v>
      </c>
      <c r="G258" s="4"/>
      <c r="H258" s="4"/>
      <c r="K258" s="18"/>
      <c r="L258" s="35" t="s">
        <v>3020</v>
      </c>
      <c r="M258" s="20"/>
      <c r="N258" s="20"/>
      <c r="O258" s="20"/>
      <c r="P258" s="20"/>
      <c r="Q258" s="20"/>
      <c r="R258" s="20"/>
      <c r="S258" s="20"/>
      <c r="T258" s="20"/>
      <c r="U258" s="34"/>
      <c r="AF258" s="11" t="str">
        <f t="shared" si="117"/>
        <v>megan-black</v>
      </c>
      <c r="AG258" s="11" t="str">
        <f t="shared" ref="AG258:AO258" si="257">if(not(isblank(M258)),", "&amp;M258,"")</f>
        <v/>
      </c>
      <c r="AH258" s="11" t="str">
        <f t="shared" si="257"/>
        <v/>
      </c>
      <c r="AI258" s="11" t="str">
        <f t="shared" si="257"/>
        <v/>
      </c>
      <c r="AJ258" s="11" t="str">
        <f t="shared" si="257"/>
        <v/>
      </c>
      <c r="AK258" s="11" t="str">
        <f t="shared" si="257"/>
        <v/>
      </c>
      <c r="AL258" s="11" t="str">
        <f t="shared" si="257"/>
        <v/>
      </c>
      <c r="AM258" s="11" t="str">
        <f t="shared" si="257"/>
        <v/>
      </c>
      <c r="AN258" s="11" t="str">
        <f t="shared" si="257"/>
        <v/>
      </c>
      <c r="AO258" s="11" t="str">
        <f t="shared" si="257"/>
        <v/>
      </c>
      <c r="AP258" s="21" t="str">
        <f t="shared" si="119"/>
        <v>megan-black</v>
      </c>
    </row>
    <row r="259" ht="16.5" customHeight="1">
      <c r="A259" s="32" t="s">
        <v>3012</v>
      </c>
      <c r="B259" s="32" t="s">
        <v>3019</v>
      </c>
      <c r="C259" s="32" t="s">
        <v>3027</v>
      </c>
      <c r="D259" s="32" t="s">
        <v>3028</v>
      </c>
      <c r="E259" s="32" t="s">
        <v>3029</v>
      </c>
      <c r="F259" s="39" t="s">
        <v>3030</v>
      </c>
      <c r="G259" s="4"/>
      <c r="H259" s="4"/>
      <c r="K259" s="18"/>
      <c r="L259" s="33"/>
      <c r="M259" s="20"/>
      <c r="N259" s="20"/>
      <c r="O259" s="20"/>
      <c r="P259" s="20"/>
      <c r="Q259" s="20"/>
      <c r="R259" s="20"/>
      <c r="S259" s="20"/>
      <c r="T259" s="20"/>
      <c r="U259" s="34"/>
      <c r="AF259" s="11" t="str">
        <f t="shared" si="117"/>
        <v/>
      </c>
      <c r="AG259" s="11" t="str">
        <f t="shared" ref="AG259:AO259" si="258">if(not(isblank(M259)),", "&amp;M259,"")</f>
        <v/>
      </c>
      <c r="AH259" s="11" t="str">
        <f t="shared" si="258"/>
        <v/>
      </c>
      <c r="AI259" s="11" t="str">
        <f t="shared" si="258"/>
        <v/>
      </c>
      <c r="AJ259" s="11" t="str">
        <f t="shared" si="258"/>
        <v/>
      </c>
      <c r="AK259" s="11" t="str">
        <f t="shared" si="258"/>
        <v/>
      </c>
      <c r="AL259" s="11" t="str">
        <f t="shared" si="258"/>
        <v/>
      </c>
      <c r="AM259" s="11" t="str">
        <f t="shared" si="258"/>
        <v/>
      </c>
      <c r="AN259" s="11" t="str">
        <f t="shared" si="258"/>
        <v/>
      </c>
      <c r="AO259" s="11" t="str">
        <f t="shared" si="258"/>
        <v/>
      </c>
      <c r="AP259" s="21" t="str">
        <f t="shared" si="119"/>
        <v/>
      </c>
    </row>
    <row r="260" ht="16.5" customHeight="1">
      <c r="A260" s="32" t="s">
        <v>3012</v>
      </c>
      <c r="B260" s="32" t="s">
        <v>3013</v>
      </c>
      <c r="C260" s="32" t="s">
        <v>3031</v>
      </c>
      <c r="D260" s="32" t="s">
        <v>3032</v>
      </c>
      <c r="E260" s="32" t="s">
        <v>3033</v>
      </c>
      <c r="F260" s="4" t="s">
        <v>3034</v>
      </c>
      <c r="G260" s="4" t="s">
        <v>3035</v>
      </c>
      <c r="H260" s="4"/>
      <c r="K260" s="18"/>
      <c r="L260" s="35" t="s">
        <v>3035</v>
      </c>
      <c r="M260" s="20"/>
      <c r="N260" s="20"/>
      <c r="O260" s="20"/>
      <c r="P260" s="20"/>
      <c r="Q260" s="20"/>
      <c r="R260" s="20"/>
      <c r="S260" s="20"/>
      <c r="T260" s="20"/>
      <c r="U260" s="34"/>
      <c r="AF260" s="11" t="str">
        <f t="shared" si="117"/>
        <v>bergvik-tan</v>
      </c>
      <c r="AG260" s="11" t="str">
        <f t="shared" ref="AG260:AO260" si="259">if(not(isblank(M260)),", "&amp;M260,"")</f>
        <v/>
      </c>
      <c r="AH260" s="11" t="str">
        <f t="shared" si="259"/>
        <v/>
      </c>
      <c r="AI260" s="11" t="str">
        <f t="shared" si="259"/>
        <v/>
      </c>
      <c r="AJ260" s="11" t="str">
        <f t="shared" si="259"/>
        <v/>
      </c>
      <c r="AK260" s="11" t="str">
        <f t="shared" si="259"/>
        <v/>
      </c>
      <c r="AL260" s="11" t="str">
        <f t="shared" si="259"/>
        <v/>
      </c>
      <c r="AM260" s="11" t="str">
        <f t="shared" si="259"/>
        <v/>
      </c>
      <c r="AN260" s="11" t="str">
        <f t="shared" si="259"/>
        <v/>
      </c>
      <c r="AO260" s="11" t="str">
        <f t="shared" si="259"/>
        <v/>
      </c>
      <c r="AP260" s="21" t="str">
        <f t="shared" si="119"/>
        <v>bergvik-tan</v>
      </c>
    </row>
    <row r="261" ht="16.5" customHeight="1">
      <c r="A261" s="32" t="s">
        <v>3012</v>
      </c>
      <c r="B261" s="32" t="s">
        <v>3013</v>
      </c>
      <c r="C261" s="32" t="s">
        <v>3035</v>
      </c>
      <c r="D261" s="32" t="s">
        <v>3036</v>
      </c>
      <c r="E261" s="32" t="s">
        <v>3033</v>
      </c>
      <c r="F261" s="4" t="s">
        <v>3034</v>
      </c>
      <c r="G261" s="4" t="s">
        <v>3031</v>
      </c>
      <c r="H261" s="4"/>
      <c r="K261" s="18"/>
      <c r="L261" s="35" t="s">
        <v>3031</v>
      </c>
      <c r="M261" s="20"/>
      <c r="N261" s="20"/>
      <c r="O261" s="20"/>
      <c r="P261" s="20"/>
      <c r="Q261" s="20"/>
      <c r="R261" s="20"/>
      <c r="S261" s="20"/>
      <c r="T261" s="20"/>
      <c r="U261" s="34"/>
      <c r="AF261" s="11" t="str">
        <f t="shared" si="117"/>
        <v>bergvik-bottle-green</v>
      </c>
      <c r="AG261" s="11" t="str">
        <f t="shared" ref="AG261:AO261" si="260">if(not(isblank(M261)),", "&amp;M261,"")</f>
        <v/>
      </c>
      <c r="AH261" s="11" t="str">
        <f t="shared" si="260"/>
        <v/>
      </c>
      <c r="AI261" s="11" t="str">
        <f t="shared" si="260"/>
        <v/>
      </c>
      <c r="AJ261" s="11" t="str">
        <f t="shared" si="260"/>
        <v/>
      </c>
      <c r="AK261" s="11" t="str">
        <f t="shared" si="260"/>
        <v/>
      </c>
      <c r="AL261" s="11" t="str">
        <f t="shared" si="260"/>
        <v/>
      </c>
      <c r="AM261" s="11" t="str">
        <f t="shared" si="260"/>
        <v/>
      </c>
      <c r="AN261" s="11" t="str">
        <f t="shared" si="260"/>
        <v/>
      </c>
      <c r="AO261" s="11" t="str">
        <f t="shared" si="260"/>
        <v/>
      </c>
      <c r="AP261" s="21" t="str">
        <f t="shared" si="119"/>
        <v>bergvik-bottle-green</v>
      </c>
    </row>
    <row r="262" ht="16.5" customHeight="1">
      <c r="A262" s="32" t="s">
        <v>3012</v>
      </c>
      <c r="B262" s="32" t="s">
        <v>3013</v>
      </c>
      <c r="C262" s="32" t="s">
        <v>3037</v>
      </c>
      <c r="D262" s="32" t="s">
        <v>3038</v>
      </c>
      <c r="E262" s="32" t="s">
        <v>3039</v>
      </c>
      <c r="F262" s="4" t="s">
        <v>3040</v>
      </c>
      <c r="G262" s="4"/>
      <c r="H262" s="4"/>
      <c r="K262" s="18"/>
      <c r="L262" s="35" t="s">
        <v>3041</v>
      </c>
      <c r="M262" s="20"/>
      <c r="N262" s="20"/>
      <c r="O262" s="20"/>
      <c r="P262" s="20"/>
      <c r="Q262" s="20"/>
      <c r="R262" s="20"/>
      <c r="S262" s="20"/>
      <c r="T262" s="20"/>
      <c r="U262" s="34"/>
      <c r="AF262" s="11" t="str">
        <f t="shared" si="117"/>
        <v>ebela-brown</v>
      </c>
      <c r="AG262" s="11" t="str">
        <f t="shared" ref="AG262:AO262" si="261">if(not(isblank(M262)),", "&amp;M262,"")</f>
        <v/>
      </c>
      <c r="AH262" s="11" t="str">
        <f t="shared" si="261"/>
        <v/>
      </c>
      <c r="AI262" s="11" t="str">
        <f t="shared" si="261"/>
        <v/>
      </c>
      <c r="AJ262" s="11" t="str">
        <f t="shared" si="261"/>
        <v/>
      </c>
      <c r="AK262" s="11" t="str">
        <f t="shared" si="261"/>
        <v/>
      </c>
      <c r="AL262" s="11" t="str">
        <f t="shared" si="261"/>
        <v/>
      </c>
      <c r="AM262" s="11" t="str">
        <f t="shared" si="261"/>
        <v/>
      </c>
      <c r="AN262" s="11" t="str">
        <f t="shared" si="261"/>
        <v/>
      </c>
      <c r="AO262" s="11" t="str">
        <f t="shared" si="261"/>
        <v/>
      </c>
      <c r="AP262" s="21" t="str">
        <f t="shared" si="119"/>
        <v>ebela-brown</v>
      </c>
    </row>
    <row r="263" ht="16.5" customHeight="1">
      <c r="A263" s="32" t="s">
        <v>3012</v>
      </c>
      <c r="B263" s="32" t="s">
        <v>3019</v>
      </c>
      <c r="C263" s="32" t="s">
        <v>3042</v>
      </c>
      <c r="D263" s="32" t="s">
        <v>3043</v>
      </c>
      <c r="E263" s="32" t="s">
        <v>3044</v>
      </c>
      <c r="F263" s="40" t="s">
        <v>3045</v>
      </c>
      <c r="G263" s="4"/>
      <c r="H263" s="4"/>
      <c r="K263" s="18"/>
      <c r="L263" s="33"/>
      <c r="M263" s="20"/>
      <c r="N263" s="20"/>
      <c r="O263" s="20"/>
      <c r="P263" s="20"/>
      <c r="Q263" s="20"/>
      <c r="R263" s="20"/>
      <c r="S263" s="20"/>
      <c r="T263" s="20"/>
      <c r="U263" s="34"/>
      <c r="AP263" s="21"/>
    </row>
    <row r="264" ht="16.5" customHeight="1">
      <c r="A264" s="32" t="s">
        <v>3012</v>
      </c>
      <c r="B264" s="32" t="s">
        <v>3019</v>
      </c>
      <c r="C264" s="32" t="s">
        <v>3046</v>
      </c>
      <c r="D264" s="32" t="s">
        <v>3047</v>
      </c>
      <c r="E264" s="32" t="s">
        <v>3048</v>
      </c>
      <c r="F264" s="7" t="s">
        <v>3049</v>
      </c>
      <c r="G264" s="4"/>
      <c r="H264" s="4"/>
      <c r="K264" s="18"/>
      <c r="L264" s="19" t="s">
        <v>3050</v>
      </c>
      <c r="M264" s="19" t="s">
        <v>3051</v>
      </c>
      <c r="N264" s="19"/>
      <c r="O264" s="20"/>
      <c r="P264" s="20"/>
      <c r="Q264" s="20"/>
      <c r="R264" s="20"/>
      <c r="S264" s="20"/>
      <c r="T264" s="20"/>
      <c r="U264" s="34"/>
      <c r="AP264" s="21"/>
    </row>
    <row r="265" ht="16.5" customHeight="1">
      <c r="A265" s="32" t="s">
        <v>3012</v>
      </c>
      <c r="B265" s="32" t="s">
        <v>3019</v>
      </c>
      <c r="C265" s="32" t="s">
        <v>3050</v>
      </c>
      <c r="D265" s="32" t="s">
        <v>3052</v>
      </c>
      <c r="E265" s="32" t="s">
        <v>3053</v>
      </c>
      <c r="F265" s="7" t="s">
        <v>3049</v>
      </c>
      <c r="G265" s="4"/>
      <c r="H265" s="4"/>
      <c r="K265" s="18"/>
      <c r="L265" s="35" t="s">
        <v>3046</v>
      </c>
      <c r="M265" s="19" t="s">
        <v>3051</v>
      </c>
      <c r="N265" s="19"/>
      <c r="O265" s="20"/>
      <c r="P265" s="20"/>
      <c r="Q265" s="20"/>
      <c r="R265" s="20"/>
      <c r="S265" s="20"/>
      <c r="T265" s="20"/>
      <c r="U265" s="34"/>
      <c r="AP265" s="21"/>
    </row>
    <row r="266" ht="16.5" customHeight="1">
      <c r="A266" s="32" t="s">
        <v>3012</v>
      </c>
      <c r="B266" s="32" t="s">
        <v>3019</v>
      </c>
      <c r="C266" s="32" t="s">
        <v>3051</v>
      </c>
      <c r="D266" s="32" t="s">
        <v>3054</v>
      </c>
      <c r="E266" s="32" t="s">
        <v>3053</v>
      </c>
      <c r="F266" s="7" t="s">
        <v>3049</v>
      </c>
      <c r="G266" s="4"/>
      <c r="H266" s="4"/>
      <c r="K266" s="18"/>
      <c r="L266" s="35" t="s">
        <v>3046</v>
      </c>
      <c r="M266" s="19" t="s">
        <v>3050</v>
      </c>
      <c r="N266" s="19"/>
      <c r="O266" s="20"/>
      <c r="P266" s="20"/>
      <c r="Q266" s="20"/>
      <c r="R266" s="20"/>
      <c r="S266" s="20"/>
      <c r="T266" s="20"/>
      <c r="U266" s="34"/>
      <c r="AP266" s="21"/>
    </row>
    <row r="267" ht="16.5" customHeight="1">
      <c r="A267" s="32" t="s">
        <v>3012</v>
      </c>
      <c r="B267" s="32" t="s">
        <v>3013</v>
      </c>
      <c r="C267" s="32" t="s">
        <v>3055</v>
      </c>
      <c r="D267" s="32" t="s">
        <v>3056</v>
      </c>
      <c r="E267" s="32" t="s">
        <v>3057</v>
      </c>
      <c r="F267" s="7" t="s">
        <v>3058</v>
      </c>
      <c r="G267" s="4"/>
      <c r="H267" s="4"/>
      <c r="K267" s="18"/>
      <c r="L267" s="33"/>
      <c r="M267" s="20"/>
      <c r="N267" s="20"/>
      <c r="O267" s="20"/>
      <c r="P267" s="20"/>
      <c r="Q267" s="20"/>
      <c r="R267" s="20"/>
      <c r="S267" s="20"/>
      <c r="T267" s="20"/>
      <c r="U267" s="34"/>
      <c r="AP267" s="21"/>
    </row>
    <row r="268" ht="16.5" customHeight="1">
      <c r="A268" s="32" t="s">
        <v>3059</v>
      </c>
      <c r="B268" s="32" t="s">
        <v>2689</v>
      </c>
      <c r="C268" s="32" t="s">
        <v>3060</v>
      </c>
      <c r="D268" s="32" t="s">
        <v>3061</v>
      </c>
      <c r="E268" s="32" t="s">
        <v>3062</v>
      </c>
      <c r="F268" s="7" t="s">
        <v>3063</v>
      </c>
      <c r="G268" s="4"/>
      <c r="H268" s="4"/>
      <c r="K268" s="18"/>
      <c r="L268" s="33"/>
      <c r="M268" s="20"/>
      <c r="N268" s="20"/>
      <c r="O268" s="20"/>
      <c r="P268" s="20"/>
      <c r="Q268" s="20"/>
      <c r="R268" s="20"/>
      <c r="S268" s="20"/>
      <c r="T268" s="20"/>
      <c r="U268" s="34"/>
      <c r="AP268" s="21"/>
    </row>
    <row r="269" ht="16.5" customHeight="1">
      <c r="A269" s="32" t="s">
        <v>3059</v>
      </c>
      <c r="B269" s="32" t="s">
        <v>2689</v>
      </c>
      <c r="C269" s="32" t="s">
        <v>3064</v>
      </c>
      <c r="D269" s="32" t="s">
        <v>3065</v>
      </c>
      <c r="E269" s="32" t="s">
        <v>3066</v>
      </c>
      <c r="F269" s="7" t="s">
        <v>3067</v>
      </c>
      <c r="G269" s="4"/>
      <c r="H269" s="4"/>
      <c r="K269" s="18"/>
      <c r="L269" s="35" t="s">
        <v>3060</v>
      </c>
      <c r="M269" s="19" t="s">
        <v>3068</v>
      </c>
      <c r="N269" s="19" t="s">
        <v>3069</v>
      </c>
      <c r="O269" s="19" t="s">
        <v>3070</v>
      </c>
      <c r="P269" s="19" t="s">
        <v>3071</v>
      </c>
      <c r="Q269" s="19"/>
      <c r="R269" s="20"/>
      <c r="S269" s="20"/>
      <c r="T269" s="20"/>
      <c r="U269" s="34"/>
      <c r="AP269" s="21"/>
    </row>
    <row r="270" ht="16.5" customHeight="1">
      <c r="A270" s="32" t="s">
        <v>3059</v>
      </c>
      <c r="B270" s="32" t="s">
        <v>2689</v>
      </c>
      <c r="C270" s="32" t="s">
        <v>3068</v>
      </c>
      <c r="D270" s="32" t="s">
        <v>3072</v>
      </c>
      <c r="E270" s="32" t="s">
        <v>3073</v>
      </c>
      <c r="F270" s="7" t="s">
        <v>3074</v>
      </c>
      <c r="G270" s="4"/>
      <c r="H270" s="4"/>
      <c r="K270" s="18"/>
      <c r="L270" s="35" t="s">
        <v>3060</v>
      </c>
      <c r="M270" s="19" t="s">
        <v>3064</v>
      </c>
      <c r="N270" s="19" t="s">
        <v>3069</v>
      </c>
      <c r="O270" s="19" t="s">
        <v>3070</v>
      </c>
      <c r="P270" s="19" t="s">
        <v>3071</v>
      </c>
      <c r="Q270" s="19"/>
      <c r="R270" s="20"/>
      <c r="S270" s="20"/>
      <c r="T270" s="20"/>
      <c r="U270" s="34"/>
      <c r="AP270" s="21"/>
    </row>
    <row r="271" ht="16.5" customHeight="1">
      <c r="A271" s="32" t="s">
        <v>3059</v>
      </c>
      <c r="B271" s="32" t="s">
        <v>2689</v>
      </c>
      <c r="C271" s="32" t="s">
        <v>3069</v>
      </c>
      <c r="D271" s="32" t="s">
        <v>3075</v>
      </c>
      <c r="E271" s="32" t="s">
        <v>3062</v>
      </c>
      <c r="F271" s="7" t="s">
        <v>3076</v>
      </c>
      <c r="G271" s="4"/>
      <c r="H271" s="4"/>
      <c r="K271" s="18"/>
      <c r="L271" s="35" t="s">
        <v>3060</v>
      </c>
      <c r="M271" s="19" t="s">
        <v>3064</v>
      </c>
      <c r="N271" s="19" t="s">
        <v>3068</v>
      </c>
      <c r="O271" s="19" t="s">
        <v>3070</v>
      </c>
      <c r="P271" s="19" t="s">
        <v>3071</v>
      </c>
      <c r="Q271" s="19"/>
      <c r="R271" s="20"/>
      <c r="S271" s="20"/>
      <c r="T271" s="20"/>
      <c r="U271" s="34"/>
      <c r="AP271" s="21"/>
    </row>
    <row r="272" ht="16.5" customHeight="1">
      <c r="A272" s="32" t="s">
        <v>3059</v>
      </c>
      <c r="B272" s="32" t="s">
        <v>2689</v>
      </c>
      <c r="C272" s="32" t="s">
        <v>3071</v>
      </c>
      <c r="D272" s="32" t="s">
        <v>3077</v>
      </c>
      <c r="E272" s="32" t="s">
        <v>3078</v>
      </c>
      <c r="F272" s="7" t="s">
        <v>3079</v>
      </c>
      <c r="G272" s="4"/>
      <c r="H272" s="4"/>
      <c r="K272" s="18"/>
      <c r="L272" s="19" t="s">
        <v>3070</v>
      </c>
      <c r="M272" s="35" t="s">
        <v>3060</v>
      </c>
      <c r="N272" s="19" t="s">
        <v>3064</v>
      </c>
      <c r="O272" s="19" t="s">
        <v>3068</v>
      </c>
      <c r="P272" s="19" t="s">
        <v>3069</v>
      </c>
      <c r="Q272" s="19"/>
      <c r="R272" s="20"/>
      <c r="S272" s="20"/>
      <c r="T272" s="20"/>
      <c r="U272" s="34"/>
      <c r="AP272" s="21"/>
    </row>
    <row r="273" ht="16.5" customHeight="1">
      <c r="A273" s="32" t="s">
        <v>3059</v>
      </c>
      <c r="B273" s="32" t="s">
        <v>2689</v>
      </c>
      <c r="C273" s="32" t="s">
        <v>3070</v>
      </c>
      <c r="D273" s="32" t="s">
        <v>3080</v>
      </c>
      <c r="E273" s="32" t="s">
        <v>3081</v>
      </c>
      <c r="F273" s="7" t="s">
        <v>3082</v>
      </c>
      <c r="G273" s="4"/>
      <c r="H273" s="4"/>
      <c r="K273" s="18"/>
      <c r="L273" s="19" t="s">
        <v>3071</v>
      </c>
      <c r="M273" s="35" t="s">
        <v>3060</v>
      </c>
      <c r="N273" s="19" t="s">
        <v>3064</v>
      </c>
      <c r="O273" s="19" t="s">
        <v>3068</v>
      </c>
      <c r="P273" s="19" t="s">
        <v>3069</v>
      </c>
      <c r="Q273" s="19"/>
      <c r="R273" s="20"/>
      <c r="S273" s="20"/>
      <c r="T273" s="20"/>
      <c r="U273" s="34"/>
      <c r="AP273" s="21"/>
    </row>
    <row r="274" ht="16.5" customHeight="1">
      <c r="A274" s="32" t="s">
        <v>2864</v>
      </c>
      <c r="B274" s="32" t="s">
        <v>3083</v>
      </c>
      <c r="C274" s="32" t="s">
        <v>3084</v>
      </c>
      <c r="D274" s="32" t="s">
        <v>3085</v>
      </c>
      <c r="E274" s="32" t="s">
        <v>3086</v>
      </c>
      <c r="F274" s="7" t="s">
        <v>3087</v>
      </c>
      <c r="G274" s="4"/>
      <c r="H274" s="4"/>
      <c r="K274" s="18"/>
      <c r="L274" s="35" t="s">
        <v>3088</v>
      </c>
      <c r="M274" s="20"/>
      <c r="N274" s="20"/>
      <c r="O274" s="20"/>
      <c r="P274" s="20"/>
      <c r="Q274" s="20"/>
      <c r="R274" s="20"/>
      <c r="S274" s="20"/>
      <c r="T274" s="20"/>
      <c r="U274" s="34"/>
      <c r="AF274" s="11" t="str">
        <f t="shared" ref="AF274:AF276" si="263">if(not(isblank(L274)),L274,"")</f>
        <v>jasper-silver-mink</v>
      </c>
      <c r="AG274" s="11" t="str">
        <f t="shared" ref="AG274:AO274" si="262">if(not(isblank(M274)),", "&amp;M274,"")</f>
        <v/>
      </c>
      <c r="AH274" s="11" t="str">
        <f t="shared" si="262"/>
        <v/>
      </c>
      <c r="AI274" s="11" t="str">
        <f t="shared" si="262"/>
        <v/>
      </c>
      <c r="AJ274" s="11" t="str">
        <f t="shared" si="262"/>
        <v/>
      </c>
      <c r="AK274" s="11" t="str">
        <f t="shared" si="262"/>
        <v/>
      </c>
      <c r="AL274" s="11" t="str">
        <f t="shared" si="262"/>
        <v/>
      </c>
      <c r="AM274" s="11" t="str">
        <f t="shared" si="262"/>
        <v/>
      </c>
      <c r="AN274" s="11" t="str">
        <f t="shared" si="262"/>
        <v/>
      </c>
      <c r="AO274" s="11" t="str">
        <f t="shared" si="262"/>
        <v/>
      </c>
      <c r="AP274" s="21" t="str">
        <f t="shared" ref="AP274:AP276" si="265">if(isblank(L274),G274,AF274&amp;AG274&amp;AH274&amp;AI274&amp;AJ274&amp;AK274&amp;AL274&amp;AM274&amp;AN274&amp;AO274)</f>
        <v>jasper-silver-mink</v>
      </c>
    </row>
    <row r="275" ht="16.5" customHeight="1">
      <c r="A275" s="32" t="s">
        <v>2864</v>
      </c>
      <c r="B275" s="32" t="s">
        <v>3083</v>
      </c>
      <c r="C275" s="32" t="s">
        <v>3089</v>
      </c>
      <c r="D275" s="32" t="s">
        <v>3090</v>
      </c>
      <c r="E275" s="32" t="s">
        <v>3091</v>
      </c>
      <c r="F275" s="7" t="s">
        <v>3092</v>
      </c>
      <c r="G275" s="4"/>
      <c r="H275" s="4"/>
      <c r="K275" s="18"/>
      <c r="L275" s="35" t="s">
        <v>3088</v>
      </c>
      <c r="M275" s="19" t="s">
        <v>3084</v>
      </c>
      <c r="N275" s="20"/>
      <c r="O275" s="20"/>
      <c r="P275" s="20"/>
      <c r="Q275" s="20"/>
      <c r="R275" s="20"/>
      <c r="S275" s="20"/>
      <c r="T275" s="20"/>
      <c r="U275" s="34"/>
      <c r="AF275" s="11" t="str">
        <f t="shared" si="263"/>
        <v>jasper-silver-mink</v>
      </c>
      <c r="AG275" s="11" t="str">
        <f t="shared" ref="AG275:AO275" si="264">if(not(isblank(M275)),", "&amp;M275,"")</f>
        <v>, jasper-black-black</v>
      </c>
      <c r="AH275" s="11" t="str">
        <f t="shared" si="264"/>
        <v/>
      </c>
      <c r="AI275" s="11" t="str">
        <f t="shared" si="264"/>
        <v/>
      </c>
      <c r="AJ275" s="11" t="str">
        <f t="shared" si="264"/>
        <v/>
      </c>
      <c r="AK275" s="11" t="str">
        <f t="shared" si="264"/>
        <v/>
      </c>
      <c r="AL275" s="11" t="str">
        <f t="shared" si="264"/>
        <v/>
      </c>
      <c r="AM275" s="11" t="str">
        <f t="shared" si="264"/>
        <v/>
      </c>
      <c r="AN275" s="11" t="str">
        <f t="shared" si="264"/>
        <v/>
      </c>
      <c r="AO275" s="11" t="str">
        <f t="shared" si="264"/>
        <v/>
      </c>
      <c r="AP275" s="21" t="str">
        <f t="shared" si="265"/>
        <v>jasper-silver-mink, jasper-black-black</v>
      </c>
    </row>
    <row r="276" ht="16.5" customHeight="1">
      <c r="A276" s="32" t="s">
        <v>2864</v>
      </c>
      <c r="B276" s="32" t="s">
        <v>3093</v>
      </c>
      <c r="C276" s="32" t="s">
        <v>3094</v>
      </c>
      <c r="D276" s="32" t="s">
        <v>3095</v>
      </c>
      <c r="E276" s="32" t="s">
        <v>3096</v>
      </c>
      <c r="F276" s="7" t="s">
        <v>3092</v>
      </c>
      <c r="G276" s="4"/>
      <c r="H276" s="4"/>
      <c r="K276" s="18"/>
      <c r="L276" s="41" t="s">
        <v>3088</v>
      </c>
      <c r="M276" s="22" t="s">
        <v>3097</v>
      </c>
      <c r="N276" s="20"/>
      <c r="O276" s="20"/>
      <c r="P276" s="20"/>
      <c r="Q276" s="20"/>
      <c r="R276" s="20"/>
      <c r="S276" s="20"/>
      <c r="T276" s="20"/>
      <c r="U276" s="34"/>
      <c r="AF276" s="11" t="str">
        <f t="shared" si="263"/>
        <v>jasper-silver-mink</v>
      </c>
      <c r="AG276" s="11" t="str">
        <f t="shared" ref="AG276:AO276" si="266">if(not(isblank(M276)),", "&amp;M276,"")</f>
        <v>, jasper-nostalgia-rose-birch</v>
      </c>
      <c r="AH276" s="11" t="str">
        <f t="shared" si="266"/>
        <v/>
      </c>
      <c r="AI276" s="11" t="str">
        <f t="shared" si="266"/>
        <v/>
      </c>
      <c r="AJ276" s="11" t="str">
        <f t="shared" si="266"/>
        <v/>
      </c>
      <c r="AK276" s="11" t="str">
        <f t="shared" si="266"/>
        <v/>
      </c>
      <c r="AL276" s="11" t="str">
        <f t="shared" si="266"/>
        <v/>
      </c>
      <c r="AM276" s="11" t="str">
        <f t="shared" si="266"/>
        <v/>
      </c>
      <c r="AN276" s="11" t="str">
        <f t="shared" si="266"/>
        <v/>
      </c>
      <c r="AO276" s="11" t="str">
        <f t="shared" si="266"/>
        <v/>
      </c>
      <c r="AP276" s="21" t="str">
        <f t="shared" si="265"/>
        <v>jasper-silver-mink, jasper-nostalgia-rose-birch</v>
      </c>
    </row>
    <row r="277" ht="16.5" customHeight="1">
      <c r="A277" s="32" t="s">
        <v>2864</v>
      </c>
      <c r="B277" s="32" t="s">
        <v>3093</v>
      </c>
      <c r="C277" s="32" t="s">
        <v>3097</v>
      </c>
      <c r="D277" s="32" t="s">
        <v>3098</v>
      </c>
      <c r="E277" s="32" t="s">
        <v>3086</v>
      </c>
      <c r="F277" s="7" t="s">
        <v>3087</v>
      </c>
      <c r="G277" s="4"/>
      <c r="H277" s="4"/>
      <c r="K277" s="18"/>
      <c r="L277" s="35" t="s">
        <v>3088</v>
      </c>
      <c r="M277" s="20"/>
      <c r="N277" s="20"/>
      <c r="O277" s="20"/>
      <c r="P277" s="20"/>
      <c r="Q277" s="20"/>
      <c r="R277" s="20"/>
      <c r="S277" s="20"/>
      <c r="T277" s="20"/>
      <c r="U277" s="34"/>
      <c r="AP277" s="21"/>
    </row>
    <row r="278" ht="16.5" customHeight="1">
      <c r="A278" s="32" t="s">
        <v>2864</v>
      </c>
      <c r="B278" s="32" t="s">
        <v>2635</v>
      </c>
      <c r="C278" s="32" t="s">
        <v>3088</v>
      </c>
      <c r="D278" s="32" t="s">
        <v>3099</v>
      </c>
      <c r="E278" s="32" t="s">
        <v>3086</v>
      </c>
      <c r="F278" s="7" t="s">
        <v>3087</v>
      </c>
      <c r="G278" s="4"/>
      <c r="H278" s="4"/>
      <c r="K278" s="18"/>
      <c r="L278" s="35" t="s">
        <v>3097</v>
      </c>
      <c r="M278" s="19" t="s">
        <v>3084</v>
      </c>
      <c r="N278" s="20"/>
      <c r="O278" s="20"/>
      <c r="P278" s="20"/>
      <c r="Q278" s="20"/>
      <c r="R278" s="20"/>
      <c r="S278" s="20"/>
      <c r="T278" s="20"/>
      <c r="U278" s="34"/>
      <c r="AP278" s="21"/>
    </row>
    <row r="279" ht="16.5" customHeight="1">
      <c r="A279" s="32" t="s">
        <v>2864</v>
      </c>
      <c r="B279" s="32" t="s">
        <v>3083</v>
      </c>
      <c r="C279" s="32" t="s">
        <v>3100</v>
      </c>
      <c r="D279" s="32" t="s">
        <v>3101</v>
      </c>
      <c r="E279" s="32" t="s">
        <v>3102</v>
      </c>
      <c r="F279" s="7" t="s">
        <v>3103</v>
      </c>
      <c r="G279" s="4"/>
      <c r="H279" s="4"/>
      <c r="K279" s="18"/>
      <c r="L279" s="35" t="s">
        <v>3104</v>
      </c>
      <c r="M279" s="20"/>
      <c r="N279" s="20"/>
      <c r="O279" s="20"/>
      <c r="P279" s="20"/>
      <c r="Q279" s="20"/>
      <c r="R279" s="20"/>
      <c r="S279" s="20"/>
      <c r="T279" s="20"/>
      <c r="U279" s="34"/>
      <c r="AP279" s="21"/>
    </row>
    <row r="280" ht="16.5" customHeight="1">
      <c r="A280" s="32" t="s">
        <v>2864</v>
      </c>
      <c r="B280" s="32" t="s">
        <v>3083</v>
      </c>
      <c r="C280" s="32" t="s">
        <v>3104</v>
      </c>
      <c r="D280" s="32" t="s">
        <v>3105</v>
      </c>
      <c r="E280" s="32" t="s">
        <v>3102</v>
      </c>
      <c r="F280" s="7" t="s">
        <v>3103</v>
      </c>
      <c r="G280" s="4"/>
      <c r="H280" s="4"/>
      <c r="K280" s="18"/>
      <c r="L280" s="35" t="s">
        <v>3100</v>
      </c>
      <c r="M280" s="20"/>
      <c r="N280" s="20"/>
      <c r="O280" s="20"/>
      <c r="P280" s="20"/>
      <c r="Q280" s="20"/>
      <c r="R280" s="20"/>
      <c r="S280" s="20"/>
      <c r="T280" s="20"/>
      <c r="U280" s="34"/>
      <c r="AP280" s="21"/>
    </row>
    <row r="281" ht="16.5" customHeight="1">
      <c r="A281" s="32" t="s">
        <v>3106</v>
      </c>
      <c r="B281" s="32" t="s">
        <v>2689</v>
      </c>
      <c r="C281" s="32" t="s">
        <v>3107</v>
      </c>
      <c r="D281" s="32" t="s">
        <v>3108</v>
      </c>
      <c r="E281" s="32" t="s">
        <v>3109</v>
      </c>
      <c r="F281" s="4" t="s">
        <v>3110</v>
      </c>
      <c r="G281" s="4"/>
      <c r="H281" s="4"/>
      <c r="K281" s="18"/>
      <c r="L281" s="33"/>
      <c r="M281" s="20"/>
      <c r="N281" s="20"/>
      <c r="O281" s="20"/>
      <c r="P281" s="20"/>
      <c r="Q281" s="20"/>
      <c r="R281" s="20"/>
      <c r="S281" s="20"/>
      <c r="T281" s="20"/>
      <c r="U281" s="34"/>
      <c r="AF281" s="11" t="str">
        <f t="shared" ref="AF281:AF404" si="268">if(not(isblank(L281)),L281,"")</f>
        <v/>
      </c>
      <c r="AG281" s="11" t="str">
        <f t="shared" ref="AG281:AO281" si="267">if(not(isblank(M281)),", "&amp;M281,"")</f>
        <v/>
      </c>
      <c r="AH281" s="11" t="str">
        <f t="shared" si="267"/>
        <v/>
      </c>
      <c r="AI281" s="11" t="str">
        <f t="shared" si="267"/>
        <v/>
      </c>
      <c r="AJ281" s="11" t="str">
        <f t="shared" si="267"/>
        <v/>
      </c>
      <c r="AK281" s="11" t="str">
        <f t="shared" si="267"/>
        <v/>
      </c>
      <c r="AL281" s="11" t="str">
        <f t="shared" si="267"/>
        <v/>
      </c>
      <c r="AM281" s="11" t="str">
        <f t="shared" si="267"/>
        <v/>
      </c>
      <c r="AN281" s="11" t="str">
        <f t="shared" si="267"/>
        <v/>
      </c>
      <c r="AO281" s="11" t="str">
        <f t="shared" si="267"/>
        <v/>
      </c>
      <c r="AP281" s="21" t="str">
        <f t="shared" ref="AP281:AP404" si="270">if(isblank(L281),G281,AF281&amp;AG281&amp;AH281&amp;AI281&amp;AJ281&amp;AK281&amp;AL281&amp;AM281&amp;AN281&amp;AO281)</f>
        <v/>
      </c>
    </row>
    <row r="282" ht="16.5" customHeight="1">
      <c r="A282" s="32" t="s">
        <v>3106</v>
      </c>
      <c r="B282" s="32" t="s">
        <v>2689</v>
      </c>
      <c r="C282" s="32" t="s">
        <v>3111</v>
      </c>
      <c r="D282" s="32" t="s">
        <v>3112</v>
      </c>
      <c r="E282" s="32" t="s">
        <v>3113</v>
      </c>
      <c r="F282" s="4" t="s">
        <v>3114</v>
      </c>
      <c r="G282" s="4"/>
      <c r="H282" s="4"/>
      <c r="K282" s="18"/>
      <c r="L282" s="33"/>
      <c r="M282" s="20"/>
      <c r="N282" s="20"/>
      <c r="O282" s="20"/>
      <c r="P282" s="20"/>
      <c r="Q282" s="20"/>
      <c r="R282" s="20"/>
      <c r="S282" s="20"/>
      <c r="T282" s="20"/>
      <c r="U282" s="34"/>
      <c r="AF282" s="11" t="str">
        <f t="shared" si="268"/>
        <v/>
      </c>
      <c r="AG282" s="11" t="str">
        <f t="shared" ref="AG282:AO282" si="269">if(not(isblank(M282)),", "&amp;M282,"")</f>
        <v/>
      </c>
      <c r="AH282" s="11" t="str">
        <f t="shared" si="269"/>
        <v/>
      </c>
      <c r="AI282" s="11" t="str">
        <f t="shared" si="269"/>
        <v/>
      </c>
      <c r="AJ282" s="11" t="str">
        <f t="shared" si="269"/>
        <v/>
      </c>
      <c r="AK282" s="11" t="str">
        <f t="shared" si="269"/>
        <v/>
      </c>
      <c r="AL282" s="11" t="str">
        <f t="shared" si="269"/>
        <v/>
      </c>
      <c r="AM282" s="11" t="str">
        <f t="shared" si="269"/>
        <v/>
      </c>
      <c r="AN282" s="11" t="str">
        <f t="shared" si="269"/>
        <v/>
      </c>
      <c r="AO282" s="11" t="str">
        <f t="shared" si="269"/>
        <v/>
      </c>
      <c r="AP282" s="21" t="str">
        <f t="shared" si="270"/>
        <v/>
      </c>
    </row>
    <row r="283" ht="16.5" customHeight="1">
      <c r="A283" s="32" t="s">
        <v>3106</v>
      </c>
      <c r="B283" s="32" t="s">
        <v>2689</v>
      </c>
      <c r="C283" s="32" t="s">
        <v>3115</v>
      </c>
      <c r="D283" s="32" t="s">
        <v>3116</v>
      </c>
      <c r="E283" s="32" t="s">
        <v>3117</v>
      </c>
      <c r="F283" s="4" t="s">
        <v>3118</v>
      </c>
      <c r="G283" s="4"/>
      <c r="H283" s="4"/>
      <c r="K283" s="18"/>
      <c r="L283" s="33"/>
      <c r="M283" s="20"/>
      <c r="N283" s="20"/>
      <c r="O283" s="20"/>
      <c r="P283" s="20"/>
      <c r="Q283" s="20"/>
      <c r="R283" s="20"/>
      <c r="S283" s="20"/>
      <c r="T283" s="20"/>
      <c r="U283" s="34"/>
      <c r="AF283" s="11" t="str">
        <f t="shared" si="268"/>
        <v/>
      </c>
      <c r="AG283" s="11" t="str">
        <f t="shared" ref="AG283:AO283" si="271">if(not(isblank(M283)),", "&amp;M283,"")</f>
        <v/>
      </c>
      <c r="AH283" s="11" t="str">
        <f t="shared" si="271"/>
        <v/>
      </c>
      <c r="AI283" s="11" t="str">
        <f t="shared" si="271"/>
        <v/>
      </c>
      <c r="AJ283" s="11" t="str">
        <f t="shared" si="271"/>
        <v/>
      </c>
      <c r="AK283" s="11" t="str">
        <f t="shared" si="271"/>
        <v/>
      </c>
      <c r="AL283" s="11" t="str">
        <f t="shared" si="271"/>
        <v/>
      </c>
      <c r="AM283" s="11" t="str">
        <f t="shared" si="271"/>
        <v/>
      </c>
      <c r="AN283" s="11" t="str">
        <f t="shared" si="271"/>
        <v/>
      </c>
      <c r="AO283" s="11" t="str">
        <f t="shared" si="271"/>
        <v/>
      </c>
      <c r="AP283" s="21" t="str">
        <f t="shared" si="270"/>
        <v/>
      </c>
    </row>
    <row r="284" ht="16.5" customHeight="1">
      <c r="A284" s="32" t="s">
        <v>3106</v>
      </c>
      <c r="B284" s="32" t="s">
        <v>2689</v>
      </c>
      <c r="C284" s="32" t="s">
        <v>3119</v>
      </c>
      <c r="D284" s="32" t="s">
        <v>3120</v>
      </c>
      <c r="E284" s="32" t="s">
        <v>3121</v>
      </c>
      <c r="F284" s="4" t="s">
        <v>3122</v>
      </c>
      <c r="G284" s="4"/>
      <c r="H284" s="4"/>
      <c r="K284" s="18"/>
      <c r="L284" s="33"/>
      <c r="M284" s="20"/>
      <c r="N284" s="20"/>
      <c r="O284" s="20"/>
      <c r="P284" s="20"/>
      <c r="Q284" s="20"/>
      <c r="R284" s="20"/>
      <c r="S284" s="20"/>
      <c r="T284" s="20"/>
      <c r="U284" s="34"/>
      <c r="AF284" s="11" t="str">
        <f t="shared" si="268"/>
        <v/>
      </c>
      <c r="AG284" s="11" t="str">
        <f t="shared" ref="AG284:AO284" si="272">if(not(isblank(M284)),", "&amp;M284,"")</f>
        <v/>
      </c>
      <c r="AH284" s="11" t="str">
        <f t="shared" si="272"/>
        <v/>
      </c>
      <c r="AI284" s="11" t="str">
        <f t="shared" si="272"/>
        <v/>
      </c>
      <c r="AJ284" s="11" t="str">
        <f t="shared" si="272"/>
        <v/>
      </c>
      <c r="AK284" s="11" t="str">
        <f t="shared" si="272"/>
        <v/>
      </c>
      <c r="AL284" s="11" t="str">
        <f t="shared" si="272"/>
        <v/>
      </c>
      <c r="AM284" s="11" t="str">
        <f t="shared" si="272"/>
        <v/>
      </c>
      <c r="AN284" s="11" t="str">
        <f t="shared" si="272"/>
        <v/>
      </c>
      <c r="AO284" s="11" t="str">
        <f t="shared" si="272"/>
        <v/>
      </c>
      <c r="AP284" s="21" t="str">
        <f t="shared" si="270"/>
        <v/>
      </c>
    </row>
    <row r="285" ht="16.5" customHeight="1">
      <c r="A285" s="32" t="s">
        <v>3123</v>
      </c>
      <c r="B285" s="32" t="s">
        <v>2689</v>
      </c>
      <c r="C285" s="32" t="s">
        <v>3124</v>
      </c>
      <c r="D285" s="32" t="s">
        <v>3125</v>
      </c>
      <c r="E285" s="32" t="s">
        <v>3126</v>
      </c>
      <c r="F285" s="4" t="s">
        <v>3127</v>
      </c>
      <c r="G285" s="4" t="s">
        <v>3128</v>
      </c>
      <c r="K285" s="18"/>
      <c r="L285" s="20"/>
      <c r="M285" s="20"/>
      <c r="N285" s="20"/>
      <c r="O285" s="20"/>
      <c r="P285" s="20"/>
      <c r="Q285" s="20"/>
      <c r="R285" s="20"/>
      <c r="S285" s="20"/>
      <c r="T285" s="20"/>
      <c r="U285" s="34"/>
      <c r="AF285" s="11" t="str">
        <f t="shared" si="268"/>
        <v/>
      </c>
      <c r="AG285" s="11" t="str">
        <f t="shared" ref="AG285:AO285" si="273">if(not(isblank(M285)),", "&amp;M285,"")</f>
        <v/>
      </c>
      <c r="AH285" s="11" t="str">
        <f t="shared" si="273"/>
        <v/>
      </c>
      <c r="AI285" s="11" t="str">
        <f t="shared" si="273"/>
        <v/>
      </c>
      <c r="AJ285" s="11" t="str">
        <f t="shared" si="273"/>
        <v/>
      </c>
      <c r="AK285" s="11" t="str">
        <f t="shared" si="273"/>
        <v/>
      </c>
      <c r="AL285" s="11" t="str">
        <f t="shared" si="273"/>
        <v/>
      </c>
      <c r="AM285" s="11" t="str">
        <f t="shared" si="273"/>
        <v/>
      </c>
      <c r="AN285" s="11" t="str">
        <f t="shared" si="273"/>
        <v/>
      </c>
      <c r="AO285" s="11" t="str">
        <f t="shared" si="273"/>
        <v/>
      </c>
      <c r="AP285" s="21" t="str">
        <f t="shared" si="270"/>
        <v>travel-tumbler-350-ml-white, travel-tumbler-350-ml-khaki</v>
      </c>
    </row>
    <row r="286" ht="16.5" customHeight="1">
      <c r="A286" s="32" t="s">
        <v>3123</v>
      </c>
      <c r="B286" s="32" t="s">
        <v>2689</v>
      </c>
      <c r="C286" s="32" t="s">
        <v>3129</v>
      </c>
      <c r="D286" s="32" t="s">
        <v>3130</v>
      </c>
      <c r="E286" s="32" t="s">
        <v>3126</v>
      </c>
      <c r="F286" s="4" t="s">
        <v>3131</v>
      </c>
      <c r="G286" s="4" t="s">
        <v>3132</v>
      </c>
      <c r="K286" s="18"/>
      <c r="L286" s="20"/>
      <c r="M286" s="20"/>
      <c r="N286" s="20"/>
      <c r="O286" s="20"/>
      <c r="P286" s="20"/>
      <c r="Q286" s="20"/>
      <c r="R286" s="20"/>
      <c r="S286" s="20"/>
      <c r="T286" s="20"/>
      <c r="U286" s="34"/>
      <c r="AF286" s="11" t="str">
        <f t="shared" si="268"/>
        <v/>
      </c>
      <c r="AG286" s="11" t="str">
        <f t="shared" ref="AG286:AO286" si="274">if(not(isblank(M286)),", "&amp;M286,"")</f>
        <v/>
      </c>
      <c r="AH286" s="11" t="str">
        <f t="shared" si="274"/>
        <v/>
      </c>
      <c r="AI286" s="11" t="str">
        <f t="shared" si="274"/>
        <v/>
      </c>
      <c r="AJ286" s="11" t="str">
        <f t="shared" si="274"/>
        <v/>
      </c>
      <c r="AK286" s="11" t="str">
        <f t="shared" si="274"/>
        <v/>
      </c>
      <c r="AL286" s="11" t="str">
        <f t="shared" si="274"/>
        <v/>
      </c>
      <c r="AM286" s="11" t="str">
        <f t="shared" si="274"/>
        <v/>
      </c>
      <c r="AN286" s="11" t="str">
        <f t="shared" si="274"/>
        <v/>
      </c>
      <c r="AO286" s="11" t="str">
        <f t="shared" si="274"/>
        <v/>
      </c>
      <c r="AP286" s="21" t="str">
        <f t="shared" si="270"/>
        <v>travel-tumbler-350-ml-black, travel-tumbler-350-ml-white</v>
      </c>
    </row>
    <row r="287" ht="16.5" customHeight="1">
      <c r="A287" s="32" t="s">
        <v>3123</v>
      </c>
      <c r="B287" s="32" t="s">
        <v>2689</v>
      </c>
      <c r="C287" s="32" t="s">
        <v>3133</v>
      </c>
      <c r="D287" s="32" t="s">
        <v>3134</v>
      </c>
      <c r="E287" s="32" t="s">
        <v>3126</v>
      </c>
      <c r="F287" s="4" t="s">
        <v>3135</v>
      </c>
      <c r="G287" s="4" t="s">
        <v>3136</v>
      </c>
      <c r="K287" s="18"/>
      <c r="L287" s="33"/>
      <c r="M287" s="20"/>
      <c r="N287" s="20"/>
      <c r="O287" s="20"/>
      <c r="P287" s="20"/>
      <c r="Q287" s="20"/>
      <c r="R287" s="20"/>
      <c r="S287" s="20"/>
      <c r="T287" s="20"/>
      <c r="U287" s="34"/>
      <c r="AF287" s="11" t="str">
        <f t="shared" si="268"/>
        <v/>
      </c>
      <c r="AG287" s="11" t="str">
        <f t="shared" ref="AG287:AO287" si="275">if(not(isblank(M287)),", "&amp;M287,"")</f>
        <v/>
      </c>
      <c r="AH287" s="11" t="str">
        <f t="shared" si="275"/>
        <v/>
      </c>
      <c r="AI287" s="11" t="str">
        <f t="shared" si="275"/>
        <v/>
      </c>
      <c r="AJ287" s="11" t="str">
        <f t="shared" si="275"/>
        <v/>
      </c>
      <c r="AK287" s="11" t="str">
        <f t="shared" si="275"/>
        <v/>
      </c>
      <c r="AL287" s="11" t="str">
        <f t="shared" si="275"/>
        <v/>
      </c>
      <c r="AM287" s="11" t="str">
        <f t="shared" si="275"/>
        <v/>
      </c>
      <c r="AN287" s="11" t="str">
        <f t="shared" si="275"/>
        <v/>
      </c>
      <c r="AO287" s="11" t="str">
        <f t="shared" si="275"/>
        <v/>
      </c>
      <c r="AP287" s="21" t="str">
        <f t="shared" si="270"/>
        <v>travel-tumbler-350-ml-black, travel-tumbler-350-ml-khaki</v>
      </c>
    </row>
    <row r="288" ht="16.5" customHeight="1">
      <c r="A288" s="32" t="s">
        <v>3123</v>
      </c>
      <c r="B288" s="32" t="s">
        <v>2689</v>
      </c>
      <c r="C288" s="32" t="s">
        <v>3137</v>
      </c>
      <c r="D288" s="32" t="s">
        <v>3138</v>
      </c>
      <c r="E288" s="32" t="s">
        <v>3139</v>
      </c>
      <c r="F288" s="4" t="s">
        <v>3140</v>
      </c>
      <c r="G288" s="4"/>
      <c r="H288" s="4"/>
      <c r="K288" s="18"/>
      <c r="L288" s="33"/>
      <c r="M288" s="20"/>
      <c r="N288" s="20"/>
      <c r="O288" s="20"/>
      <c r="P288" s="20"/>
      <c r="Q288" s="20"/>
      <c r="R288" s="20"/>
      <c r="S288" s="20"/>
      <c r="T288" s="20"/>
      <c r="U288" s="34"/>
      <c r="AF288" s="11" t="str">
        <f t="shared" si="268"/>
        <v/>
      </c>
      <c r="AG288" s="11" t="str">
        <f t="shared" ref="AG288:AO288" si="276">if(not(isblank(M288)),", "&amp;M288,"")</f>
        <v/>
      </c>
      <c r="AH288" s="11" t="str">
        <f t="shared" si="276"/>
        <v/>
      </c>
      <c r="AI288" s="11" t="str">
        <f t="shared" si="276"/>
        <v/>
      </c>
      <c r="AJ288" s="11" t="str">
        <f t="shared" si="276"/>
        <v/>
      </c>
      <c r="AK288" s="11" t="str">
        <f t="shared" si="276"/>
        <v/>
      </c>
      <c r="AL288" s="11" t="str">
        <f t="shared" si="276"/>
        <v/>
      </c>
      <c r="AM288" s="11" t="str">
        <f t="shared" si="276"/>
        <v/>
      </c>
      <c r="AN288" s="11" t="str">
        <f t="shared" si="276"/>
        <v/>
      </c>
      <c r="AO288" s="11" t="str">
        <f t="shared" si="276"/>
        <v/>
      </c>
      <c r="AP288" s="21" t="str">
        <f t="shared" si="270"/>
        <v/>
      </c>
    </row>
    <row r="289" ht="16.5" customHeight="1">
      <c r="A289" s="32" t="s">
        <v>3123</v>
      </c>
      <c r="B289" s="32" t="s">
        <v>2689</v>
      </c>
      <c r="C289" s="32" t="s">
        <v>3141</v>
      </c>
      <c r="D289" s="32" t="s">
        <v>3142</v>
      </c>
      <c r="E289" s="32" t="s">
        <v>3143</v>
      </c>
      <c r="F289" s="4" t="s">
        <v>3144</v>
      </c>
      <c r="G289" s="4" t="s">
        <v>3145</v>
      </c>
      <c r="H289" s="4"/>
      <c r="K289" s="18"/>
      <c r="L289" s="33"/>
      <c r="M289" s="20"/>
      <c r="N289" s="20"/>
      <c r="O289" s="20"/>
      <c r="P289" s="20"/>
      <c r="Q289" s="20"/>
      <c r="R289" s="20"/>
      <c r="S289" s="20"/>
      <c r="T289" s="20"/>
      <c r="U289" s="34"/>
      <c r="AF289" s="11" t="str">
        <f t="shared" si="268"/>
        <v/>
      </c>
      <c r="AG289" s="11" t="str">
        <f t="shared" ref="AG289:AO289" si="277">if(not(isblank(M289)),", "&amp;M289,"")</f>
        <v/>
      </c>
      <c r="AH289" s="11" t="str">
        <f t="shared" si="277"/>
        <v/>
      </c>
      <c r="AI289" s="11" t="str">
        <f t="shared" si="277"/>
        <v/>
      </c>
      <c r="AJ289" s="11" t="str">
        <f t="shared" si="277"/>
        <v/>
      </c>
      <c r="AK289" s="11" t="str">
        <f t="shared" si="277"/>
        <v/>
      </c>
      <c r="AL289" s="11" t="str">
        <f t="shared" si="277"/>
        <v/>
      </c>
      <c r="AM289" s="11" t="str">
        <f t="shared" si="277"/>
        <v/>
      </c>
      <c r="AN289" s="11" t="str">
        <f t="shared" si="277"/>
        <v/>
      </c>
      <c r="AO289" s="11" t="str">
        <f t="shared" si="277"/>
        <v/>
      </c>
      <c r="AP289" s="21" t="str">
        <f t="shared" si="270"/>
        <v>cotton-paper-filt-4cup</v>
      </c>
    </row>
    <row r="290" ht="16.5" customHeight="1">
      <c r="A290" s="32" t="s">
        <v>3123</v>
      </c>
      <c r="B290" s="32" t="s">
        <v>2689</v>
      </c>
      <c r="C290" s="32" t="s">
        <v>3145</v>
      </c>
      <c r="D290" s="32" t="s">
        <v>3146</v>
      </c>
      <c r="E290" s="32" t="s">
        <v>3147</v>
      </c>
      <c r="F290" s="4" t="s">
        <v>3148</v>
      </c>
      <c r="G290" s="4" t="s">
        <v>3141</v>
      </c>
      <c r="H290" s="4"/>
      <c r="K290" s="18"/>
      <c r="L290" s="33"/>
      <c r="M290" s="20"/>
      <c r="N290" s="20"/>
      <c r="O290" s="20"/>
      <c r="P290" s="20"/>
      <c r="Q290" s="20"/>
      <c r="R290" s="20"/>
      <c r="S290" s="20"/>
      <c r="T290" s="20"/>
      <c r="U290" s="34"/>
      <c r="AF290" s="11" t="str">
        <f t="shared" si="268"/>
        <v/>
      </c>
      <c r="AG290" s="11" t="str">
        <f t="shared" ref="AG290:AO290" si="278">if(not(isblank(M290)),", "&amp;M290,"")</f>
        <v/>
      </c>
      <c r="AH290" s="11" t="str">
        <f t="shared" si="278"/>
        <v/>
      </c>
      <c r="AI290" s="11" t="str">
        <f t="shared" si="278"/>
        <v/>
      </c>
      <c r="AJ290" s="11" t="str">
        <f t="shared" si="278"/>
        <v/>
      </c>
      <c r="AK290" s="11" t="str">
        <f t="shared" si="278"/>
        <v/>
      </c>
      <c r="AL290" s="11" t="str">
        <f t="shared" si="278"/>
        <v/>
      </c>
      <c r="AM290" s="11" t="str">
        <f t="shared" si="278"/>
        <v/>
      </c>
      <c r="AN290" s="11" t="str">
        <f t="shared" si="278"/>
        <v/>
      </c>
      <c r="AO290" s="11" t="str">
        <f t="shared" si="278"/>
        <v/>
      </c>
      <c r="AP290" s="21" t="str">
        <f t="shared" si="270"/>
        <v>cotton-paper-filt-2cup</v>
      </c>
    </row>
    <row r="291" ht="16.5" customHeight="1">
      <c r="A291" s="32" t="s">
        <v>3123</v>
      </c>
      <c r="B291" s="32" t="s">
        <v>2689</v>
      </c>
      <c r="C291" s="32" t="s">
        <v>3149</v>
      </c>
      <c r="D291" s="32" t="s">
        <v>3150</v>
      </c>
      <c r="E291" s="32" t="s">
        <v>3151</v>
      </c>
      <c r="F291" s="4" t="s">
        <v>3152</v>
      </c>
      <c r="G291" s="4" t="s">
        <v>3153</v>
      </c>
      <c r="K291" s="18"/>
      <c r="L291" s="33"/>
      <c r="M291" s="20"/>
      <c r="N291" s="20"/>
      <c r="O291" s="20"/>
      <c r="P291" s="20"/>
      <c r="Q291" s="20"/>
      <c r="R291" s="20"/>
      <c r="S291" s="20"/>
      <c r="T291" s="20"/>
      <c r="U291" s="34"/>
      <c r="AF291" s="11" t="str">
        <f t="shared" si="268"/>
        <v/>
      </c>
      <c r="AG291" s="11" t="str">
        <f t="shared" ref="AG291:AO291" si="279">if(not(isblank(M291)),", "&amp;M291,"")</f>
        <v/>
      </c>
      <c r="AH291" s="11" t="str">
        <f t="shared" si="279"/>
        <v/>
      </c>
      <c r="AI291" s="11" t="str">
        <f t="shared" si="279"/>
        <v/>
      </c>
      <c r="AJ291" s="11" t="str">
        <f t="shared" si="279"/>
        <v/>
      </c>
      <c r="AK291" s="11" t="str">
        <f t="shared" si="279"/>
        <v/>
      </c>
      <c r="AL291" s="11" t="str">
        <f t="shared" si="279"/>
        <v/>
      </c>
      <c r="AM291" s="11" t="str">
        <f t="shared" si="279"/>
        <v/>
      </c>
      <c r="AN291" s="11" t="str">
        <f t="shared" si="279"/>
        <v/>
      </c>
      <c r="AO291" s="11" t="str">
        <f t="shared" si="279"/>
        <v/>
      </c>
      <c r="AP291" s="21" t="str">
        <f t="shared" si="270"/>
        <v>water-bottle-500-ml-blue, water-bottle-500-ml-green, water-bottle-500-ml-clear, water-bottle-500-ml-smoke</v>
      </c>
    </row>
    <row r="292" ht="16.5" customHeight="1">
      <c r="A292" s="32" t="s">
        <v>3123</v>
      </c>
      <c r="B292" s="32" t="s">
        <v>2689</v>
      </c>
      <c r="C292" s="32" t="s">
        <v>3154</v>
      </c>
      <c r="D292" s="32" t="s">
        <v>3155</v>
      </c>
      <c r="E292" s="32" t="s">
        <v>3151</v>
      </c>
      <c r="F292" s="4" t="s">
        <v>3156</v>
      </c>
      <c r="G292" s="4" t="s">
        <v>3157</v>
      </c>
      <c r="K292" s="18"/>
      <c r="L292" s="33"/>
      <c r="M292" s="20"/>
      <c r="N292" s="20"/>
      <c r="O292" s="20"/>
      <c r="P292" s="20"/>
      <c r="Q292" s="20"/>
      <c r="R292" s="20"/>
      <c r="S292" s="20"/>
      <c r="T292" s="20"/>
      <c r="U292" s="34"/>
      <c r="AF292" s="11" t="str">
        <f t="shared" si="268"/>
        <v/>
      </c>
      <c r="AG292" s="11" t="str">
        <f t="shared" ref="AG292:AO292" si="280">if(not(isblank(M292)),", "&amp;M292,"")</f>
        <v/>
      </c>
      <c r="AH292" s="11" t="str">
        <f t="shared" si="280"/>
        <v/>
      </c>
      <c r="AI292" s="11" t="str">
        <f t="shared" si="280"/>
        <v/>
      </c>
      <c r="AJ292" s="11" t="str">
        <f t="shared" si="280"/>
        <v/>
      </c>
      <c r="AK292" s="11" t="str">
        <f t="shared" si="280"/>
        <v/>
      </c>
      <c r="AL292" s="11" t="str">
        <f t="shared" si="280"/>
        <v/>
      </c>
      <c r="AM292" s="11" t="str">
        <f t="shared" si="280"/>
        <v/>
      </c>
      <c r="AN292" s="11" t="str">
        <f t="shared" si="280"/>
        <v/>
      </c>
      <c r="AO292" s="11" t="str">
        <f t="shared" si="280"/>
        <v/>
      </c>
      <c r="AP292" s="21" t="str">
        <f t="shared" si="270"/>
        <v>water-bottle-500-ml-blue, water-bottle-500-ml-green, water-bottle-500-ml-smoke, water-bottle-500-ml-amber</v>
      </c>
    </row>
    <row r="293" ht="16.5" customHeight="1">
      <c r="A293" s="32" t="s">
        <v>3123</v>
      </c>
      <c r="B293" s="32" t="s">
        <v>2689</v>
      </c>
      <c r="C293" s="32" t="s">
        <v>3158</v>
      </c>
      <c r="D293" s="32" t="s">
        <v>3159</v>
      </c>
      <c r="E293" s="32" t="s">
        <v>3151</v>
      </c>
      <c r="F293" s="4" t="s">
        <v>3160</v>
      </c>
      <c r="G293" s="4" t="s">
        <v>3161</v>
      </c>
      <c r="K293" s="18"/>
      <c r="L293" s="33"/>
      <c r="M293" s="20"/>
      <c r="N293" s="20"/>
      <c r="O293" s="20"/>
      <c r="P293" s="20"/>
      <c r="Q293" s="20"/>
      <c r="R293" s="20"/>
      <c r="S293" s="20"/>
      <c r="T293" s="20"/>
      <c r="U293" s="34"/>
      <c r="AF293" s="11" t="str">
        <f t="shared" si="268"/>
        <v/>
      </c>
      <c r="AG293" s="11" t="str">
        <f t="shared" ref="AG293:AO293" si="281">if(not(isblank(M293)),", "&amp;M293,"")</f>
        <v/>
      </c>
      <c r="AH293" s="11" t="str">
        <f t="shared" si="281"/>
        <v/>
      </c>
      <c r="AI293" s="11" t="str">
        <f t="shared" si="281"/>
        <v/>
      </c>
      <c r="AJ293" s="11" t="str">
        <f t="shared" si="281"/>
        <v/>
      </c>
      <c r="AK293" s="11" t="str">
        <f t="shared" si="281"/>
        <v/>
      </c>
      <c r="AL293" s="11" t="str">
        <f t="shared" si="281"/>
        <v/>
      </c>
      <c r="AM293" s="11" t="str">
        <f t="shared" si="281"/>
        <v/>
      </c>
      <c r="AN293" s="11" t="str">
        <f t="shared" si="281"/>
        <v/>
      </c>
      <c r="AO293" s="11" t="str">
        <f t="shared" si="281"/>
        <v/>
      </c>
      <c r="AP293" s="21" t="str">
        <f t="shared" si="270"/>
        <v>water-bottle-500-ml-blue, water-bottle-500-ml-green, water-bottle-500-ml-clear, water-bottle-500-ml-amber</v>
      </c>
    </row>
    <row r="294" ht="16.5" customHeight="1">
      <c r="A294" s="32" t="s">
        <v>3123</v>
      </c>
      <c r="B294" s="32" t="s">
        <v>2689</v>
      </c>
      <c r="C294" s="32" t="s">
        <v>3162</v>
      </c>
      <c r="D294" s="32" t="s">
        <v>3163</v>
      </c>
      <c r="E294" s="32" t="s">
        <v>3151</v>
      </c>
      <c r="F294" s="4" t="s">
        <v>3164</v>
      </c>
      <c r="G294" s="4" t="s">
        <v>3165</v>
      </c>
      <c r="K294" s="18"/>
      <c r="L294" s="42"/>
      <c r="M294" s="11"/>
      <c r="N294" s="11"/>
      <c r="O294" s="11"/>
      <c r="P294" s="19"/>
      <c r="Q294" s="20"/>
      <c r="R294" s="20"/>
      <c r="S294" s="20"/>
      <c r="T294" s="20"/>
      <c r="U294" s="34"/>
      <c r="AF294" s="11" t="str">
        <f t="shared" si="268"/>
        <v/>
      </c>
      <c r="AG294" s="11" t="str">
        <f t="shared" ref="AG294:AO294" si="282">if(not(isblank(M294)),", "&amp;M294,"")</f>
        <v/>
      </c>
      <c r="AH294" s="11" t="str">
        <f t="shared" si="282"/>
        <v/>
      </c>
      <c r="AI294" s="11" t="str">
        <f t="shared" si="282"/>
        <v/>
      </c>
      <c r="AJ294" s="11" t="str">
        <f t="shared" si="282"/>
        <v/>
      </c>
      <c r="AK294" s="11" t="str">
        <f t="shared" si="282"/>
        <v/>
      </c>
      <c r="AL294" s="11" t="str">
        <f t="shared" si="282"/>
        <v/>
      </c>
      <c r="AM294" s="11" t="str">
        <f t="shared" si="282"/>
        <v/>
      </c>
      <c r="AN294" s="11" t="str">
        <f t="shared" si="282"/>
        <v/>
      </c>
      <c r="AO294" s="11" t="str">
        <f t="shared" si="282"/>
        <v/>
      </c>
      <c r="AP294" s="21" t="str">
        <f t="shared" si="270"/>
        <v>water-bottle-500-ml-green, water-bottle-500-ml-clear, water-bottle-500-ml-smoke, water-bottle-500-ml-amber</v>
      </c>
    </row>
    <row r="295" ht="16.5" customHeight="1">
      <c r="A295" s="32" t="s">
        <v>3123</v>
      </c>
      <c r="B295" s="32" t="s">
        <v>2689</v>
      </c>
      <c r="C295" s="32" t="s">
        <v>3166</v>
      </c>
      <c r="D295" s="32" t="s">
        <v>3167</v>
      </c>
      <c r="E295" s="32" t="s">
        <v>3151</v>
      </c>
      <c r="F295" s="4" t="s">
        <v>3168</v>
      </c>
      <c r="G295" s="4" t="s">
        <v>3169</v>
      </c>
      <c r="K295" s="18"/>
      <c r="L295" s="43" t="s">
        <v>3170</v>
      </c>
      <c r="M295" s="19" t="s">
        <v>3171</v>
      </c>
      <c r="N295" s="19" t="s">
        <v>3172</v>
      </c>
      <c r="O295" s="19" t="s">
        <v>3173</v>
      </c>
      <c r="P295" s="20"/>
      <c r="Q295" s="20"/>
      <c r="R295" s="20"/>
      <c r="S295" s="20"/>
      <c r="T295" s="20"/>
      <c r="U295" s="34"/>
      <c r="AF295" s="11" t="str">
        <f t="shared" si="268"/>
        <v>w750-cashmere-lt-grey</v>
      </c>
      <c r="AG295" s="11" t="str">
        <f t="shared" ref="AG295:AO295" si="283">if(not(isblank(M295)),", "&amp;M295,"")</f>
        <v>, w750-cashmere-winter-white</v>
      </c>
      <c r="AH295" s="11" t="str">
        <f t="shared" si="283"/>
        <v>, tabitha-lilac-mix</v>
      </c>
      <c r="AI295" s="11" t="str">
        <f t="shared" si="283"/>
        <v>, tabitha-cashmere-denim-chine</v>
      </c>
      <c r="AJ295" s="11" t="str">
        <f t="shared" si="283"/>
        <v/>
      </c>
      <c r="AK295" s="11" t="str">
        <f t="shared" si="283"/>
        <v/>
      </c>
      <c r="AL295" s="11" t="str">
        <f t="shared" si="283"/>
        <v/>
      </c>
      <c r="AM295" s="11" t="str">
        <f t="shared" si="283"/>
        <v/>
      </c>
      <c r="AN295" s="11" t="str">
        <f t="shared" si="283"/>
        <v/>
      </c>
      <c r="AO295" s="11" t="str">
        <f t="shared" si="283"/>
        <v/>
      </c>
      <c r="AP295" s="21" t="str">
        <f t="shared" si="270"/>
        <v>w750-cashmere-lt-grey, w750-cashmere-winter-white, tabitha-lilac-mix, tabitha-cashmere-denim-chine</v>
      </c>
    </row>
    <row r="296" ht="16.5" customHeight="1">
      <c r="A296" s="32" t="s">
        <v>3123</v>
      </c>
      <c r="B296" s="32" t="s">
        <v>2689</v>
      </c>
      <c r="C296" s="32" t="s">
        <v>3174</v>
      </c>
      <c r="D296" s="32" t="s">
        <v>3175</v>
      </c>
      <c r="E296" s="32" t="s">
        <v>3176</v>
      </c>
      <c r="F296" s="4" t="s">
        <v>3177</v>
      </c>
      <c r="G296" s="4" t="s">
        <v>3178</v>
      </c>
      <c r="K296" s="18"/>
      <c r="L296" s="35" t="s">
        <v>3179</v>
      </c>
      <c r="M296" s="19" t="s">
        <v>3171</v>
      </c>
      <c r="N296" s="19" t="s">
        <v>3172</v>
      </c>
      <c r="O296" s="19" t="s">
        <v>3173</v>
      </c>
      <c r="P296" s="19"/>
      <c r="Q296" s="20"/>
      <c r="R296" s="20"/>
      <c r="S296" s="20"/>
      <c r="T296" s="20"/>
      <c r="U296" s="34"/>
      <c r="AF296" s="11" t="str">
        <f t="shared" si="268"/>
        <v>w750-cashmere-black</v>
      </c>
      <c r="AG296" s="11" t="str">
        <f t="shared" ref="AG296:AO296" si="284">if(not(isblank(M296)),", "&amp;M296,"")</f>
        <v>, w750-cashmere-winter-white</v>
      </c>
      <c r="AH296" s="11" t="str">
        <f t="shared" si="284"/>
        <v>, tabitha-lilac-mix</v>
      </c>
      <c r="AI296" s="11" t="str">
        <f t="shared" si="284"/>
        <v>, tabitha-cashmere-denim-chine</v>
      </c>
      <c r="AJ296" s="11" t="str">
        <f t="shared" si="284"/>
        <v/>
      </c>
      <c r="AK296" s="11" t="str">
        <f t="shared" si="284"/>
        <v/>
      </c>
      <c r="AL296" s="11" t="str">
        <f t="shared" si="284"/>
        <v/>
      </c>
      <c r="AM296" s="11" t="str">
        <f t="shared" si="284"/>
        <v/>
      </c>
      <c r="AN296" s="11" t="str">
        <f t="shared" si="284"/>
        <v/>
      </c>
      <c r="AO296" s="11" t="str">
        <f t="shared" si="284"/>
        <v/>
      </c>
      <c r="AP296" s="21" t="str">
        <f t="shared" si="270"/>
        <v>w750-cashmere-black, w750-cashmere-winter-white, tabitha-lilac-mix, tabitha-cashmere-denim-chine</v>
      </c>
    </row>
    <row r="297" ht="16.5" customHeight="1">
      <c r="A297" s="32" t="s">
        <v>3123</v>
      </c>
      <c r="B297" s="32" t="s">
        <v>2689</v>
      </c>
      <c r="C297" s="32" t="s">
        <v>3180</v>
      </c>
      <c r="D297" s="32" t="s">
        <v>3181</v>
      </c>
      <c r="E297" s="32" t="s">
        <v>3176</v>
      </c>
      <c r="F297" s="4" t="s">
        <v>3182</v>
      </c>
      <c r="G297" s="4" t="s">
        <v>3183</v>
      </c>
      <c r="K297" s="18"/>
      <c r="L297" s="35" t="s">
        <v>3179</v>
      </c>
      <c r="M297" s="44" t="s">
        <v>3170</v>
      </c>
      <c r="N297" s="19" t="s">
        <v>3172</v>
      </c>
      <c r="O297" s="19" t="s">
        <v>3173</v>
      </c>
      <c r="P297" s="19"/>
      <c r="Q297" s="20"/>
      <c r="R297" s="20"/>
      <c r="S297" s="20"/>
      <c r="T297" s="20"/>
      <c r="U297" s="34"/>
      <c r="AF297" s="11" t="str">
        <f t="shared" si="268"/>
        <v>w750-cashmere-black</v>
      </c>
      <c r="AG297" s="11" t="str">
        <f t="shared" ref="AG297:AO297" si="285">if(not(isblank(M297)),", "&amp;M297,"")</f>
        <v>, w750-cashmere-lt-grey</v>
      </c>
      <c r="AH297" s="11" t="str">
        <f t="shared" si="285"/>
        <v>, tabitha-lilac-mix</v>
      </c>
      <c r="AI297" s="11" t="str">
        <f t="shared" si="285"/>
        <v>, tabitha-cashmere-denim-chine</v>
      </c>
      <c r="AJ297" s="11" t="str">
        <f t="shared" si="285"/>
        <v/>
      </c>
      <c r="AK297" s="11" t="str">
        <f t="shared" si="285"/>
        <v/>
      </c>
      <c r="AL297" s="11" t="str">
        <f t="shared" si="285"/>
        <v/>
      </c>
      <c r="AM297" s="11" t="str">
        <f t="shared" si="285"/>
        <v/>
      </c>
      <c r="AN297" s="11" t="str">
        <f t="shared" si="285"/>
        <v/>
      </c>
      <c r="AO297" s="11" t="str">
        <f t="shared" si="285"/>
        <v/>
      </c>
      <c r="AP297" s="21" t="str">
        <f t="shared" si="270"/>
        <v>w750-cashmere-black, w750-cashmere-lt-grey, tabitha-lilac-mix, tabitha-cashmere-denim-chine</v>
      </c>
    </row>
    <row r="298" ht="16.5" customHeight="1">
      <c r="A298" s="32" t="s">
        <v>3123</v>
      </c>
      <c r="B298" s="32" t="s">
        <v>2689</v>
      </c>
      <c r="C298" s="32" t="s">
        <v>3184</v>
      </c>
      <c r="D298" s="32" t="s">
        <v>3185</v>
      </c>
      <c r="E298" s="32" t="s">
        <v>3176</v>
      </c>
      <c r="F298" s="4" t="s">
        <v>3186</v>
      </c>
      <c r="G298" s="4" t="s">
        <v>3187</v>
      </c>
      <c r="K298" s="18"/>
      <c r="L298" s="35" t="s">
        <v>3179</v>
      </c>
      <c r="M298" s="44" t="s">
        <v>3170</v>
      </c>
      <c r="N298" s="19" t="s">
        <v>3171</v>
      </c>
      <c r="O298" s="19" t="s">
        <v>3173</v>
      </c>
      <c r="P298" s="19"/>
      <c r="Q298" s="20"/>
      <c r="R298" s="20"/>
      <c r="S298" s="20"/>
      <c r="T298" s="20"/>
      <c r="U298" s="34"/>
      <c r="AF298" s="11" t="str">
        <f t="shared" si="268"/>
        <v>w750-cashmere-black</v>
      </c>
      <c r="AG298" s="11" t="str">
        <f t="shared" ref="AG298:AO298" si="286">if(not(isblank(M298)),", "&amp;M298,"")</f>
        <v>, w750-cashmere-lt-grey</v>
      </c>
      <c r="AH298" s="11" t="str">
        <f t="shared" si="286"/>
        <v>, w750-cashmere-winter-white</v>
      </c>
      <c r="AI298" s="11" t="str">
        <f t="shared" si="286"/>
        <v>, tabitha-cashmere-denim-chine</v>
      </c>
      <c r="AJ298" s="11" t="str">
        <f t="shared" si="286"/>
        <v/>
      </c>
      <c r="AK298" s="11" t="str">
        <f t="shared" si="286"/>
        <v/>
      </c>
      <c r="AL298" s="11" t="str">
        <f t="shared" si="286"/>
        <v/>
      </c>
      <c r="AM298" s="11" t="str">
        <f t="shared" si="286"/>
        <v/>
      </c>
      <c r="AN298" s="11" t="str">
        <f t="shared" si="286"/>
        <v/>
      </c>
      <c r="AO298" s="11" t="str">
        <f t="shared" si="286"/>
        <v/>
      </c>
      <c r="AP298" s="21" t="str">
        <f t="shared" si="270"/>
        <v>w750-cashmere-black, w750-cashmere-lt-grey, w750-cashmere-winter-white, tabitha-cashmere-denim-chine</v>
      </c>
    </row>
    <row r="299" ht="16.5" customHeight="1">
      <c r="A299" s="32" t="s">
        <v>3123</v>
      </c>
      <c r="B299" s="32" t="s">
        <v>2689</v>
      </c>
      <c r="C299" s="32" t="s">
        <v>3188</v>
      </c>
      <c r="D299" s="32" t="s">
        <v>3189</v>
      </c>
      <c r="E299" s="32" t="s">
        <v>3176</v>
      </c>
      <c r="F299" s="4" t="s">
        <v>3190</v>
      </c>
      <c r="G299" s="4" t="s">
        <v>3191</v>
      </c>
      <c r="K299" s="18"/>
      <c r="L299" s="35" t="s">
        <v>3179</v>
      </c>
      <c r="M299" s="44" t="s">
        <v>3170</v>
      </c>
      <c r="N299" s="19" t="s">
        <v>3171</v>
      </c>
      <c r="O299" s="19" t="s">
        <v>3172</v>
      </c>
      <c r="P299" s="20"/>
      <c r="Q299" s="20"/>
      <c r="R299" s="20"/>
      <c r="S299" s="20"/>
      <c r="T299" s="20"/>
      <c r="U299" s="34"/>
      <c r="AF299" s="11" t="str">
        <f t="shared" si="268"/>
        <v>w750-cashmere-black</v>
      </c>
      <c r="AG299" s="11" t="str">
        <f t="shared" ref="AG299:AO299" si="287">if(not(isblank(M299)),", "&amp;M299,"")</f>
        <v>, w750-cashmere-lt-grey</v>
      </c>
      <c r="AH299" s="11" t="str">
        <f t="shared" si="287"/>
        <v>, w750-cashmere-winter-white</v>
      </c>
      <c r="AI299" s="11" t="str">
        <f t="shared" si="287"/>
        <v>, tabitha-lilac-mix</v>
      </c>
      <c r="AJ299" s="11" t="str">
        <f t="shared" si="287"/>
        <v/>
      </c>
      <c r="AK299" s="11" t="str">
        <f t="shared" si="287"/>
        <v/>
      </c>
      <c r="AL299" s="11" t="str">
        <f t="shared" si="287"/>
        <v/>
      </c>
      <c r="AM299" s="11" t="str">
        <f t="shared" si="287"/>
        <v/>
      </c>
      <c r="AN299" s="11" t="str">
        <f t="shared" si="287"/>
        <v/>
      </c>
      <c r="AO299" s="11" t="str">
        <f t="shared" si="287"/>
        <v/>
      </c>
      <c r="AP299" s="21" t="str">
        <f t="shared" si="270"/>
        <v>w750-cashmere-black, w750-cashmere-lt-grey, w750-cashmere-winter-white, tabitha-lilac-mix</v>
      </c>
    </row>
    <row r="300" ht="16.5" customHeight="1">
      <c r="A300" s="32" t="s">
        <v>3123</v>
      </c>
      <c r="B300" s="32" t="s">
        <v>2689</v>
      </c>
      <c r="C300" s="32" t="s">
        <v>3192</v>
      </c>
      <c r="D300" s="32" t="s">
        <v>3193</v>
      </c>
      <c r="E300" s="32" t="s">
        <v>3176</v>
      </c>
      <c r="F300" s="4" t="s">
        <v>3194</v>
      </c>
      <c r="G300" s="4" t="s">
        <v>3195</v>
      </c>
      <c r="K300" s="18"/>
      <c r="L300" s="33"/>
      <c r="M300" s="20"/>
      <c r="N300" s="20"/>
      <c r="O300" s="20"/>
      <c r="P300" s="19"/>
      <c r="Q300" s="20"/>
      <c r="R300" s="20"/>
      <c r="S300" s="20"/>
      <c r="T300" s="20"/>
      <c r="U300" s="34"/>
      <c r="AF300" s="11" t="str">
        <f t="shared" si="268"/>
        <v/>
      </c>
      <c r="AG300" s="11" t="str">
        <f t="shared" ref="AG300:AO300" si="288">if(not(isblank(M300)),", "&amp;M300,"")</f>
        <v/>
      </c>
      <c r="AH300" s="11" t="str">
        <f t="shared" si="288"/>
        <v/>
      </c>
      <c r="AI300" s="11" t="str">
        <f t="shared" si="288"/>
        <v/>
      </c>
      <c r="AJ300" s="11" t="str">
        <f t="shared" si="288"/>
        <v/>
      </c>
      <c r="AK300" s="11" t="str">
        <f t="shared" si="288"/>
        <v/>
      </c>
      <c r="AL300" s="11" t="str">
        <f t="shared" si="288"/>
        <v/>
      </c>
      <c r="AM300" s="11" t="str">
        <f t="shared" si="288"/>
        <v/>
      </c>
      <c r="AN300" s="11" t="str">
        <f t="shared" si="288"/>
        <v/>
      </c>
      <c r="AO300" s="11" t="str">
        <f t="shared" si="288"/>
        <v/>
      </c>
      <c r="AP300" s="21" t="str">
        <f t="shared" si="270"/>
        <v>water-bottle-950-ml-blue, water-bottle-950-ml-green, water-bottle-950-ml-clear, water-bottle-950-ml-amber</v>
      </c>
    </row>
    <row r="301" ht="16.5" customHeight="1">
      <c r="A301" s="32" t="s">
        <v>38</v>
      </c>
      <c r="B301" s="32" t="s">
        <v>257</v>
      </c>
      <c r="C301" s="32" t="s">
        <v>3196</v>
      </c>
      <c r="D301" s="32" t="s">
        <v>3197</v>
      </c>
      <c r="E301" s="32" t="s">
        <v>3198</v>
      </c>
      <c r="F301" s="4" t="s">
        <v>3199</v>
      </c>
      <c r="G301" s="4"/>
      <c r="H301" s="4"/>
      <c r="K301" s="18"/>
      <c r="L301" s="33"/>
      <c r="M301" s="20"/>
      <c r="N301" s="20"/>
      <c r="O301" s="20"/>
      <c r="P301" s="20"/>
      <c r="Q301" s="20"/>
      <c r="R301" s="20"/>
      <c r="S301" s="20"/>
      <c r="T301" s="20"/>
      <c r="U301" s="34"/>
      <c r="AF301" s="11" t="str">
        <f t="shared" si="268"/>
        <v/>
      </c>
      <c r="AG301" s="11" t="str">
        <f t="shared" ref="AG301:AO301" si="289">if(not(isblank(M301)),", "&amp;M301,"")</f>
        <v/>
      </c>
      <c r="AH301" s="11" t="str">
        <f t="shared" si="289"/>
        <v/>
      </c>
      <c r="AI301" s="11" t="str">
        <f t="shared" si="289"/>
        <v/>
      </c>
      <c r="AJ301" s="11" t="str">
        <f t="shared" si="289"/>
        <v/>
      </c>
      <c r="AK301" s="11" t="str">
        <f t="shared" si="289"/>
        <v/>
      </c>
      <c r="AL301" s="11" t="str">
        <f t="shared" si="289"/>
        <v/>
      </c>
      <c r="AM301" s="11" t="str">
        <f t="shared" si="289"/>
        <v/>
      </c>
      <c r="AN301" s="11" t="str">
        <f t="shared" si="289"/>
        <v/>
      </c>
      <c r="AO301" s="11" t="str">
        <f t="shared" si="289"/>
        <v/>
      </c>
      <c r="AP301" s="21" t="str">
        <f t="shared" si="270"/>
        <v/>
      </c>
    </row>
    <row r="302" ht="16.5" customHeight="1">
      <c r="A302" s="32" t="s">
        <v>38</v>
      </c>
      <c r="B302" s="32" t="s">
        <v>257</v>
      </c>
      <c r="C302" s="32" t="s">
        <v>1256</v>
      </c>
      <c r="D302" s="32" t="s">
        <v>1257</v>
      </c>
      <c r="E302" s="32" t="s">
        <v>3200</v>
      </c>
      <c r="F302" s="4" t="s">
        <v>1259</v>
      </c>
      <c r="G302" s="4" t="s">
        <v>1258</v>
      </c>
      <c r="H302" s="4"/>
      <c r="K302" s="18"/>
      <c r="L302" s="33"/>
      <c r="M302" s="20"/>
      <c r="N302" s="20"/>
      <c r="O302" s="20"/>
      <c r="P302" s="20"/>
      <c r="Q302" s="20"/>
      <c r="R302" s="20"/>
      <c r="S302" s="20"/>
      <c r="T302" s="20"/>
      <c r="U302" s="34"/>
      <c r="AF302" s="11" t="str">
        <f t="shared" si="268"/>
        <v/>
      </c>
      <c r="AG302" s="11" t="str">
        <f t="shared" ref="AG302:AO302" si="290">if(not(isblank(M302)),", "&amp;M302,"")</f>
        <v/>
      </c>
      <c r="AH302" s="11" t="str">
        <f t="shared" si="290"/>
        <v/>
      </c>
      <c r="AI302" s="11" t="str">
        <f t="shared" si="290"/>
        <v/>
      </c>
      <c r="AJ302" s="11" t="str">
        <f t="shared" si="290"/>
        <v/>
      </c>
      <c r="AK302" s="11" t="str">
        <f t="shared" si="290"/>
        <v/>
      </c>
      <c r="AL302" s="11" t="str">
        <f t="shared" si="290"/>
        <v/>
      </c>
      <c r="AM302" s="11" t="str">
        <f t="shared" si="290"/>
        <v/>
      </c>
      <c r="AN302" s="11" t="str">
        <f t="shared" si="290"/>
        <v/>
      </c>
      <c r="AO302" s="11" t="str">
        <f t="shared" si="290"/>
        <v/>
      </c>
      <c r="AP302" s="21" t="str">
        <f t="shared" si="270"/>
        <v>var-japan-indigo-rinse</v>
      </c>
    </row>
    <row r="303" ht="16.5" customHeight="1">
      <c r="A303" s="32" t="s">
        <v>38</v>
      </c>
      <c r="B303" s="32" t="s">
        <v>257</v>
      </c>
      <c r="C303" s="32" t="s">
        <v>3201</v>
      </c>
      <c r="D303" s="32" t="s">
        <v>3202</v>
      </c>
      <c r="E303" s="32" t="s">
        <v>3203</v>
      </c>
      <c r="F303" s="4" t="s">
        <v>3204</v>
      </c>
      <c r="G303" s="4"/>
      <c r="H303" s="4"/>
      <c r="K303" s="18"/>
      <c r="L303" s="33"/>
      <c r="M303" s="20"/>
      <c r="N303" s="20"/>
      <c r="O303" s="20"/>
      <c r="P303" s="20"/>
      <c r="Q303" s="20"/>
      <c r="R303" s="20"/>
      <c r="S303" s="20"/>
      <c r="T303" s="20"/>
      <c r="U303" s="34"/>
      <c r="AF303" s="11" t="str">
        <f t="shared" si="268"/>
        <v/>
      </c>
      <c r="AG303" s="11" t="str">
        <f t="shared" ref="AG303:AO303" si="291">if(not(isblank(M303)),", "&amp;M303,"")</f>
        <v/>
      </c>
      <c r="AH303" s="11" t="str">
        <f t="shared" si="291"/>
        <v/>
      </c>
      <c r="AI303" s="11" t="str">
        <f t="shared" si="291"/>
        <v/>
      </c>
      <c r="AJ303" s="11" t="str">
        <f t="shared" si="291"/>
        <v/>
      </c>
      <c r="AK303" s="11" t="str">
        <f t="shared" si="291"/>
        <v/>
      </c>
      <c r="AL303" s="11" t="str">
        <f t="shared" si="291"/>
        <v/>
      </c>
      <c r="AM303" s="11" t="str">
        <f t="shared" si="291"/>
        <v/>
      </c>
      <c r="AN303" s="11" t="str">
        <f t="shared" si="291"/>
        <v/>
      </c>
      <c r="AO303" s="11" t="str">
        <f t="shared" si="291"/>
        <v/>
      </c>
      <c r="AP303" s="21" t="str">
        <f t="shared" si="270"/>
        <v/>
      </c>
    </row>
    <row r="304" ht="16.5" customHeight="1">
      <c r="A304" s="32" t="s">
        <v>38</v>
      </c>
      <c r="B304" s="32" t="s">
        <v>257</v>
      </c>
      <c r="C304" s="32" t="s">
        <v>1271</v>
      </c>
      <c r="D304" s="32" t="s">
        <v>1272</v>
      </c>
      <c r="E304" s="32" t="s">
        <v>3205</v>
      </c>
      <c r="F304" s="4" t="s">
        <v>1274</v>
      </c>
      <c r="G304" s="4" t="s">
        <v>1273</v>
      </c>
      <c r="H304" s="4"/>
      <c r="K304" s="18"/>
      <c r="L304" s="33"/>
      <c r="M304" s="20"/>
      <c r="N304" s="20"/>
      <c r="O304" s="20"/>
      <c r="P304" s="20"/>
      <c r="Q304" s="20"/>
      <c r="R304" s="20"/>
      <c r="S304" s="20"/>
      <c r="T304" s="20"/>
      <c r="U304" s="34"/>
      <c r="AF304" s="11" t="str">
        <f t="shared" si="268"/>
        <v/>
      </c>
      <c r="AG304" s="11" t="str">
        <f t="shared" ref="AG304:AO304" si="292">if(not(isblank(M304)),", "&amp;M304,"")</f>
        <v/>
      </c>
      <c r="AH304" s="11" t="str">
        <f t="shared" si="292"/>
        <v/>
      </c>
      <c r="AI304" s="11" t="str">
        <f t="shared" si="292"/>
        <v/>
      </c>
      <c r="AJ304" s="11" t="str">
        <f t="shared" si="292"/>
        <v/>
      </c>
      <c r="AK304" s="11" t="str">
        <f t="shared" si="292"/>
        <v/>
      </c>
      <c r="AL304" s="11" t="str">
        <f t="shared" si="292"/>
        <v/>
      </c>
      <c r="AM304" s="11" t="str">
        <f t="shared" si="292"/>
        <v/>
      </c>
      <c r="AN304" s="11" t="str">
        <f t="shared" si="292"/>
        <v/>
      </c>
      <c r="AO304" s="11" t="str">
        <f t="shared" si="292"/>
        <v/>
      </c>
      <c r="AP304" s="21" t="str">
        <f t="shared" si="270"/>
        <v>ella-japan-black</v>
      </c>
    </row>
    <row r="305" ht="16.5" customHeight="1">
      <c r="A305" s="32" t="s">
        <v>38</v>
      </c>
      <c r="B305" s="32" t="s">
        <v>35</v>
      </c>
      <c r="C305" s="32" t="s">
        <v>1279</v>
      </c>
      <c r="D305" s="32" t="s">
        <v>1280</v>
      </c>
      <c r="E305" s="32" t="s">
        <v>3206</v>
      </c>
      <c r="F305" s="4" t="s">
        <v>3207</v>
      </c>
      <c r="G305" s="4" t="s">
        <v>1281</v>
      </c>
      <c r="H305" s="4"/>
      <c r="K305" s="18"/>
      <c r="L305" s="33"/>
      <c r="M305" s="20"/>
      <c r="N305" s="20"/>
      <c r="O305" s="20"/>
      <c r="P305" s="20"/>
      <c r="Q305" s="20"/>
      <c r="R305" s="20"/>
      <c r="S305" s="20"/>
      <c r="T305" s="20"/>
      <c r="U305" s="34"/>
      <c r="AF305" s="11" t="str">
        <f t="shared" si="268"/>
        <v/>
      </c>
      <c r="AG305" s="11" t="str">
        <f t="shared" ref="AG305:AO305" si="293">if(not(isblank(M305)),", "&amp;M305,"")</f>
        <v/>
      </c>
      <c r="AH305" s="11" t="str">
        <f t="shared" si="293"/>
        <v/>
      </c>
      <c r="AI305" s="11" t="str">
        <f t="shared" si="293"/>
        <v/>
      </c>
      <c r="AJ305" s="11" t="str">
        <f t="shared" si="293"/>
        <v/>
      </c>
      <c r="AK305" s="11" t="str">
        <f t="shared" si="293"/>
        <v/>
      </c>
      <c r="AL305" s="11" t="str">
        <f t="shared" si="293"/>
        <v/>
      </c>
      <c r="AM305" s="11" t="str">
        <f t="shared" si="293"/>
        <v/>
      </c>
      <c r="AN305" s="11" t="str">
        <f t="shared" si="293"/>
        <v/>
      </c>
      <c r="AO305" s="11" t="str">
        <f t="shared" si="293"/>
        <v/>
      </c>
      <c r="AP305" s="21" t="str">
        <f t="shared" si="270"/>
        <v>ida-black, ida-violet</v>
      </c>
    </row>
    <row r="306" ht="16.5" customHeight="1">
      <c r="A306" s="32" t="s">
        <v>38</v>
      </c>
      <c r="B306" s="32" t="s">
        <v>257</v>
      </c>
      <c r="C306" s="32" t="s">
        <v>1289</v>
      </c>
      <c r="D306" s="32" t="s">
        <v>1290</v>
      </c>
      <c r="E306" s="32" t="s">
        <v>3208</v>
      </c>
      <c r="F306" s="4" t="s">
        <v>1291</v>
      </c>
      <c r="G306" s="4" t="s">
        <v>3209</v>
      </c>
      <c r="H306" s="4"/>
      <c r="K306" s="18"/>
      <c r="L306" s="33"/>
      <c r="M306" s="20"/>
      <c r="N306" s="20"/>
      <c r="O306" s="20"/>
      <c r="P306" s="20"/>
      <c r="Q306" s="20"/>
      <c r="R306" s="20"/>
      <c r="S306" s="20"/>
      <c r="T306" s="20"/>
      <c r="U306" s="34"/>
      <c r="AF306" s="11" t="str">
        <f t="shared" si="268"/>
        <v/>
      </c>
      <c r="AG306" s="11" t="str">
        <f t="shared" ref="AG306:AO306" si="294">if(not(isblank(M306)),", "&amp;M306,"")</f>
        <v/>
      </c>
      <c r="AH306" s="11" t="str">
        <f t="shared" si="294"/>
        <v/>
      </c>
      <c r="AI306" s="11" t="str">
        <f t="shared" si="294"/>
        <v/>
      </c>
      <c r="AJ306" s="11" t="str">
        <f t="shared" si="294"/>
        <v/>
      </c>
      <c r="AK306" s="11" t="str">
        <f t="shared" si="294"/>
        <v/>
      </c>
      <c r="AL306" s="11" t="str">
        <f t="shared" si="294"/>
        <v/>
      </c>
      <c r="AM306" s="11" t="str">
        <f t="shared" si="294"/>
        <v/>
      </c>
      <c r="AN306" s="11" t="str">
        <f t="shared" si="294"/>
        <v/>
      </c>
      <c r="AO306" s="11" t="str">
        <f t="shared" si="294"/>
        <v/>
      </c>
      <c r="AP306" s="21" t="str">
        <f t="shared" si="270"/>
        <v>tia-japan-indigo, tia-japan-blue</v>
      </c>
    </row>
    <row r="307" ht="16.5" customHeight="1">
      <c r="A307" s="32" t="s">
        <v>38</v>
      </c>
      <c r="B307" s="32" t="s">
        <v>257</v>
      </c>
      <c r="C307" s="32" t="s">
        <v>1298</v>
      </c>
      <c r="D307" s="32" t="s">
        <v>1299</v>
      </c>
      <c r="E307" s="32" t="s">
        <v>3210</v>
      </c>
      <c r="F307" s="4" t="s">
        <v>3211</v>
      </c>
      <c r="G307" s="4" t="s">
        <v>3212</v>
      </c>
      <c r="H307" s="4"/>
      <c r="K307" s="18"/>
      <c r="L307" s="33"/>
      <c r="M307" s="20"/>
      <c r="N307" s="20"/>
      <c r="O307" s="20"/>
      <c r="P307" s="20"/>
      <c r="Q307" s="20"/>
      <c r="R307" s="20"/>
      <c r="S307" s="20"/>
      <c r="T307" s="20"/>
      <c r="U307" s="34"/>
      <c r="AF307" s="11" t="str">
        <f t="shared" si="268"/>
        <v/>
      </c>
      <c r="AG307" s="11" t="str">
        <f t="shared" ref="AG307:AO307" si="295">if(not(isblank(M307)),", "&amp;M307,"")</f>
        <v/>
      </c>
      <c r="AH307" s="11" t="str">
        <f t="shared" si="295"/>
        <v/>
      </c>
      <c r="AI307" s="11" t="str">
        <f t="shared" si="295"/>
        <v/>
      </c>
      <c r="AJ307" s="11" t="str">
        <f t="shared" si="295"/>
        <v/>
      </c>
      <c r="AK307" s="11" t="str">
        <f t="shared" si="295"/>
        <v/>
      </c>
      <c r="AL307" s="11" t="str">
        <f t="shared" si="295"/>
        <v/>
      </c>
      <c r="AM307" s="11" t="str">
        <f t="shared" si="295"/>
        <v/>
      </c>
      <c r="AN307" s="11" t="str">
        <f t="shared" si="295"/>
        <v/>
      </c>
      <c r="AO307" s="11" t="str">
        <f t="shared" si="295"/>
        <v/>
      </c>
      <c r="AP307" s="21" t="str">
        <f t="shared" si="270"/>
        <v>tia-japan-blue, tia-japan-black</v>
      </c>
    </row>
    <row r="308" ht="16.5" customHeight="1">
      <c r="A308" s="32" t="s">
        <v>38</v>
      </c>
      <c r="B308" s="32" t="s">
        <v>257</v>
      </c>
      <c r="C308" s="32" t="s">
        <v>1258</v>
      </c>
      <c r="D308" s="32" t="s">
        <v>1361</v>
      </c>
      <c r="E308" s="32" t="s">
        <v>3213</v>
      </c>
      <c r="F308" s="4" t="s">
        <v>1362</v>
      </c>
      <c r="G308" s="4" t="s">
        <v>1256</v>
      </c>
      <c r="H308" s="4"/>
      <c r="K308" s="18"/>
      <c r="L308" s="33"/>
      <c r="M308" s="20"/>
      <c r="N308" s="20"/>
      <c r="O308" s="20"/>
      <c r="P308" s="20"/>
      <c r="Q308" s="20"/>
      <c r="R308" s="20"/>
      <c r="S308" s="20"/>
      <c r="T308" s="20"/>
      <c r="U308" s="34"/>
      <c r="AF308" s="11" t="str">
        <f t="shared" si="268"/>
        <v/>
      </c>
      <c r="AG308" s="11" t="str">
        <f t="shared" ref="AG308:AO308" si="296">if(not(isblank(M308)),", "&amp;M308,"")</f>
        <v/>
      </c>
      <c r="AH308" s="11" t="str">
        <f t="shared" si="296"/>
        <v/>
      </c>
      <c r="AI308" s="11" t="str">
        <f t="shared" si="296"/>
        <v/>
      </c>
      <c r="AJ308" s="11" t="str">
        <f t="shared" si="296"/>
        <v/>
      </c>
      <c r="AK308" s="11" t="str">
        <f t="shared" si="296"/>
        <v/>
      </c>
      <c r="AL308" s="11" t="str">
        <f t="shared" si="296"/>
        <v/>
      </c>
      <c r="AM308" s="11" t="str">
        <f t="shared" si="296"/>
        <v/>
      </c>
      <c r="AN308" s="11" t="str">
        <f t="shared" si="296"/>
        <v/>
      </c>
      <c r="AO308" s="11" t="str">
        <f t="shared" si="296"/>
        <v/>
      </c>
      <c r="AP308" s="21" t="str">
        <f t="shared" si="270"/>
        <v>var-japan-black-comfort</v>
      </c>
    </row>
    <row r="309" ht="16.5" customHeight="1">
      <c r="A309" s="32" t="s">
        <v>38</v>
      </c>
      <c r="B309" s="32" t="s">
        <v>257</v>
      </c>
      <c r="C309" s="32" t="s">
        <v>1395</v>
      </c>
      <c r="D309" s="32" t="s">
        <v>1396</v>
      </c>
      <c r="E309" s="32" t="s">
        <v>3214</v>
      </c>
      <c r="F309" s="4" t="s">
        <v>1398</v>
      </c>
      <c r="G309" s="4" t="s">
        <v>1397</v>
      </c>
      <c r="H309" s="4"/>
      <c r="K309" s="18"/>
      <c r="L309" s="33"/>
      <c r="M309" s="20"/>
      <c r="N309" s="20"/>
      <c r="O309" s="20"/>
      <c r="P309" s="20"/>
      <c r="Q309" s="20"/>
      <c r="R309" s="20"/>
      <c r="S309" s="20"/>
      <c r="T309" s="20"/>
      <c r="U309" s="34"/>
      <c r="AF309" s="11" t="str">
        <f t="shared" si="268"/>
        <v/>
      </c>
      <c r="AG309" s="11" t="str">
        <f t="shared" ref="AG309:AO309" si="297">if(not(isblank(M309)),", "&amp;M309,"")</f>
        <v/>
      </c>
      <c r="AH309" s="11" t="str">
        <f t="shared" si="297"/>
        <v/>
      </c>
      <c r="AI309" s="11" t="str">
        <f t="shared" si="297"/>
        <v/>
      </c>
      <c r="AJ309" s="11" t="str">
        <f t="shared" si="297"/>
        <v/>
      </c>
      <c r="AK309" s="11" t="str">
        <f t="shared" si="297"/>
        <v/>
      </c>
      <c r="AL309" s="11" t="str">
        <f t="shared" si="297"/>
        <v/>
      </c>
      <c r="AM309" s="11" t="str">
        <f t="shared" si="297"/>
        <v/>
      </c>
      <c r="AN309" s="11" t="str">
        <f t="shared" si="297"/>
        <v/>
      </c>
      <c r="AO309" s="11" t="str">
        <f t="shared" si="297"/>
        <v/>
      </c>
      <c r="AP309" s="21" t="str">
        <f t="shared" si="270"/>
        <v>tia-japan-indigo, tia-japan-black</v>
      </c>
    </row>
    <row r="310" ht="16.5" customHeight="1">
      <c r="A310" s="32" t="s">
        <v>38</v>
      </c>
      <c r="B310" s="32" t="s">
        <v>52</v>
      </c>
      <c r="C310" s="32" t="s">
        <v>3215</v>
      </c>
      <c r="D310" s="32" t="s">
        <v>3216</v>
      </c>
      <c r="E310" s="36"/>
      <c r="F310" s="4"/>
      <c r="G310" s="4"/>
      <c r="H310" s="4"/>
      <c r="K310" s="18"/>
      <c r="L310" s="33"/>
      <c r="M310" s="20"/>
      <c r="N310" s="20"/>
      <c r="O310" s="20"/>
      <c r="P310" s="20"/>
      <c r="Q310" s="20"/>
      <c r="R310" s="20"/>
      <c r="S310" s="20"/>
      <c r="T310" s="20"/>
      <c r="U310" s="34"/>
      <c r="AF310" s="11" t="str">
        <f t="shared" si="268"/>
        <v/>
      </c>
      <c r="AG310" s="11" t="str">
        <f t="shared" ref="AG310:AO310" si="298">if(not(isblank(M310)),", "&amp;M310,"")</f>
        <v/>
      </c>
      <c r="AH310" s="11" t="str">
        <f t="shared" si="298"/>
        <v/>
      </c>
      <c r="AI310" s="11" t="str">
        <f t="shared" si="298"/>
        <v/>
      </c>
      <c r="AJ310" s="11" t="str">
        <f t="shared" si="298"/>
        <v/>
      </c>
      <c r="AK310" s="11" t="str">
        <f t="shared" si="298"/>
        <v/>
      </c>
      <c r="AL310" s="11" t="str">
        <f t="shared" si="298"/>
        <v/>
      </c>
      <c r="AM310" s="11" t="str">
        <f t="shared" si="298"/>
        <v/>
      </c>
      <c r="AN310" s="11" t="str">
        <f t="shared" si="298"/>
        <v/>
      </c>
      <c r="AO310" s="11" t="str">
        <f t="shared" si="298"/>
        <v/>
      </c>
      <c r="AP310" s="21" t="str">
        <f t="shared" si="270"/>
        <v/>
      </c>
    </row>
    <row r="311" ht="16.5" customHeight="1">
      <c r="A311" s="32" t="s">
        <v>38</v>
      </c>
      <c r="B311" s="32" t="s">
        <v>257</v>
      </c>
      <c r="C311" s="32" t="s">
        <v>1680</v>
      </c>
      <c r="D311" s="32" t="s">
        <v>3217</v>
      </c>
      <c r="E311" s="32" t="s">
        <v>3218</v>
      </c>
      <c r="F311" s="4" t="s">
        <v>310</v>
      </c>
      <c r="G311" s="4" t="s">
        <v>3219</v>
      </c>
      <c r="K311" s="18"/>
      <c r="L311" s="33"/>
      <c r="M311" s="20"/>
      <c r="N311" s="20"/>
      <c r="O311" s="20"/>
      <c r="P311" s="20"/>
      <c r="Q311" s="20"/>
      <c r="R311" s="20"/>
      <c r="S311" s="20"/>
      <c r="T311" s="20"/>
      <c r="U311" s="34"/>
      <c r="AF311" s="11" t="str">
        <f t="shared" si="268"/>
        <v/>
      </c>
      <c r="AG311" s="11" t="str">
        <f t="shared" ref="AG311:AO311" si="299">if(not(isblank(M311)),", "&amp;M311,"")</f>
        <v/>
      </c>
      <c r="AH311" s="11" t="str">
        <f t="shared" si="299"/>
        <v/>
      </c>
      <c r="AI311" s="11" t="str">
        <f t="shared" si="299"/>
        <v/>
      </c>
      <c r="AJ311" s="11" t="str">
        <f t="shared" si="299"/>
        <v/>
      </c>
      <c r="AK311" s="11" t="str">
        <f t="shared" si="299"/>
        <v/>
      </c>
      <c r="AL311" s="11" t="str">
        <f t="shared" si="299"/>
        <v/>
      </c>
      <c r="AM311" s="11" t="str">
        <f t="shared" si="299"/>
        <v/>
      </c>
      <c r="AN311" s="11" t="str">
        <f t="shared" si="299"/>
        <v/>
      </c>
      <c r="AO311" s="11" t="str">
        <f t="shared" si="299"/>
        <v/>
      </c>
      <c r="AP311" s="21" t="str">
        <f t="shared" si="270"/>
        <v>keri-green-linen, keri-magnet-linen, keri-stone-linen, keri-white-linen</v>
      </c>
    </row>
    <row r="312" ht="16.5" customHeight="1">
      <c r="A312" s="32" t="s">
        <v>38</v>
      </c>
      <c r="B312" s="32" t="s">
        <v>257</v>
      </c>
      <c r="C312" s="32" t="s">
        <v>1273</v>
      </c>
      <c r="D312" s="32" t="s">
        <v>1418</v>
      </c>
      <c r="E312" s="32" t="s">
        <v>3220</v>
      </c>
      <c r="F312" s="4" t="s">
        <v>1419</v>
      </c>
      <c r="G312" s="4" t="s">
        <v>1271</v>
      </c>
      <c r="H312" s="4"/>
      <c r="K312" s="18"/>
      <c r="L312" s="35" t="s">
        <v>2669</v>
      </c>
      <c r="M312" s="19" t="s">
        <v>2630</v>
      </c>
      <c r="N312" s="20"/>
      <c r="O312" s="20"/>
      <c r="P312" s="20"/>
      <c r="Q312" s="20"/>
      <c r="R312" s="20"/>
      <c r="S312" s="20"/>
      <c r="T312" s="20"/>
      <c r="U312" s="34"/>
      <c r="AF312" s="11" t="str">
        <f t="shared" si="268"/>
        <v>roccia-vet-gomma-cognac</v>
      </c>
      <c r="AG312" s="11" t="str">
        <f t="shared" ref="AG312:AO312" si="300">if(not(isblank(M312)),", "&amp;M312,"")</f>
        <v>, roccia-vet-sport-black</v>
      </c>
      <c r="AH312" s="11" t="str">
        <f t="shared" si="300"/>
        <v/>
      </c>
      <c r="AI312" s="11" t="str">
        <f t="shared" si="300"/>
        <v/>
      </c>
      <c r="AJ312" s="11" t="str">
        <f t="shared" si="300"/>
        <v/>
      </c>
      <c r="AK312" s="11" t="str">
        <f t="shared" si="300"/>
        <v/>
      </c>
      <c r="AL312" s="11" t="str">
        <f t="shared" si="300"/>
        <v/>
      </c>
      <c r="AM312" s="11" t="str">
        <f t="shared" si="300"/>
        <v/>
      </c>
      <c r="AN312" s="11" t="str">
        <f t="shared" si="300"/>
        <v/>
      </c>
      <c r="AO312" s="11" t="str">
        <f t="shared" si="300"/>
        <v/>
      </c>
      <c r="AP312" s="21" t="str">
        <f t="shared" si="270"/>
        <v>roccia-vet-gomma-cognac, roccia-vet-sport-black</v>
      </c>
    </row>
    <row r="313" ht="16.5" customHeight="1">
      <c r="A313" s="32" t="s">
        <v>38</v>
      </c>
      <c r="B313" s="32" t="s">
        <v>35</v>
      </c>
      <c r="C313" s="32" t="s">
        <v>1422</v>
      </c>
      <c r="D313" s="32" t="s">
        <v>1423</v>
      </c>
      <c r="E313" s="32" t="s">
        <v>3221</v>
      </c>
      <c r="F313" s="4" t="s">
        <v>3207</v>
      </c>
      <c r="G313" s="4" t="s">
        <v>1424</v>
      </c>
      <c r="H313" s="4"/>
      <c r="K313" s="18"/>
      <c r="L313" s="33"/>
      <c r="M313" s="20"/>
      <c r="N313" s="20"/>
      <c r="O313" s="20"/>
      <c r="P313" s="20"/>
      <c r="Q313" s="20"/>
      <c r="R313" s="20"/>
      <c r="S313" s="20"/>
      <c r="T313" s="20"/>
      <c r="U313" s="34"/>
      <c r="AF313" s="11" t="str">
        <f t="shared" si="268"/>
        <v/>
      </c>
      <c r="AG313" s="11" t="str">
        <f t="shared" ref="AG313:AO313" si="301">if(not(isblank(M313)),", "&amp;M313,"")</f>
        <v/>
      </c>
      <c r="AH313" s="11" t="str">
        <f t="shared" si="301"/>
        <v/>
      </c>
      <c r="AI313" s="11" t="str">
        <f t="shared" si="301"/>
        <v/>
      </c>
      <c r="AJ313" s="11" t="str">
        <f t="shared" si="301"/>
        <v/>
      </c>
      <c r="AK313" s="11" t="str">
        <f t="shared" si="301"/>
        <v/>
      </c>
      <c r="AL313" s="11" t="str">
        <f t="shared" si="301"/>
        <v/>
      </c>
      <c r="AM313" s="11" t="str">
        <f t="shared" si="301"/>
        <v/>
      </c>
      <c r="AN313" s="11" t="str">
        <f t="shared" si="301"/>
        <v/>
      </c>
      <c r="AO313" s="11" t="str">
        <f t="shared" si="301"/>
        <v/>
      </c>
      <c r="AP313" s="21" t="str">
        <f t="shared" si="270"/>
        <v>ida-white, ida-violet</v>
      </c>
    </row>
    <row r="314" ht="16.5" customHeight="1">
      <c r="A314" s="32" t="s">
        <v>38</v>
      </c>
      <c r="B314" s="32" t="s">
        <v>47</v>
      </c>
      <c r="C314" s="32" t="s">
        <v>2129</v>
      </c>
      <c r="D314" s="32" t="s">
        <v>3222</v>
      </c>
      <c r="E314" s="32" t="s">
        <v>3223</v>
      </c>
      <c r="F314" s="4" t="s">
        <v>3224</v>
      </c>
      <c r="G314" s="4" t="s">
        <v>3225</v>
      </c>
      <c r="H314" s="4" t="s">
        <v>3226</v>
      </c>
      <c r="K314" s="18"/>
      <c r="L314" s="33"/>
      <c r="M314" s="20"/>
      <c r="N314" s="20"/>
      <c r="O314" s="20"/>
      <c r="P314" s="20"/>
      <c r="Q314" s="20"/>
      <c r="R314" s="20"/>
      <c r="S314" s="20"/>
      <c r="T314" s="20"/>
      <c r="U314" s="34"/>
      <c r="AF314" s="11" t="str">
        <f t="shared" si="268"/>
        <v/>
      </c>
      <c r="AG314" s="11" t="str">
        <f t="shared" ref="AG314:AO314" si="302">if(not(isblank(M314)),", "&amp;M314,"")</f>
        <v/>
      </c>
      <c r="AH314" s="11" t="str">
        <f t="shared" si="302"/>
        <v/>
      </c>
      <c r="AI314" s="11" t="str">
        <f t="shared" si="302"/>
        <v/>
      </c>
      <c r="AJ314" s="11" t="str">
        <f t="shared" si="302"/>
        <v/>
      </c>
      <c r="AK314" s="11" t="str">
        <f t="shared" si="302"/>
        <v/>
      </c>
      <c r="AL314" s="11" t="str">
        <f t="shared" si="302"/>
        <v/>
      </c>
      <c r="AM314" s="11" t="str">
        <f t="shared" si="302"/>
        <v/>
      </c>
      <c r="AN314" s="11" t="str">
        <f t="shared" si="302"/>
        <v/>
      </c>
      <c r="AO314" s="11" t="str">
        <f t="shared" si="302"/>
        <v/>
      </c>
      <c r="AP314" s="21" t="str">
        <f t="shared" si="270"/>
        <v>eva-black, eva-magnet</v>
      </c>
    </row>
    <row r="315" ht="16.5" customHeight="1">
      <c r="A315" s="32" t="s">
        <v>38</v>
      </c>
      <c r="B315" s="32" t="s">
        <v>103</v>
      </c>
      <c r="C315" s="32" t="s">
        <v>3227</v>
      </c>
      <c r="D315" s="32" t="s">
        <v>3228</v>
      </c>
      <c r="E315" s="36"/>
      <c r="F315" s="4"/>
      <c r="G315" s="4"/>
      <c r="H315" s="4"/>
      <c r="K315" s="18"/>
      <c r="L315" s="33"/>
      <c r="M315" s="20"/>
      <c r="N315" s="20"/>
      <c r="O315" s="20"/>
      <c r="P315" s="20"/>
      <c r="Q315" s="20"/>
      <c r="R315" s="20"/>
      <c r="S315" s="20"/>
      <c r="T315" s="20"/>
      <c r="U315" s="34"/>
      <c r="AF315" s="11" t="str">
        <f t="shared" si="268"/>
        <v/>
      </c>
      <c r="AG315" s="11" t="str">
        <f t="shared" ref="AG315:AO315" si="303">if(not(isblank(M315)),", "&amp;M315,"")</f>
        <v/>
      </c>
      <c r="AH315" s="11" t="str">
        <f t="shared" si="303"/>
        <v/>
      </c>
      <c r="AI315" s="11" t="str">
        <f t="shared" si="303"/>
        <v/>
      </c>
      <c r="AJ315" s="11" t="str">
        <f t="shared" si="303"/>
        <v/>
      </c>
      <c r="AK315" s="11" t="str">
        <f t="shared" si="303"/>
        <v/>
      </c>
      <c r="AL315" s="11" t="str">
        <f t="shared" si="303"/>
        <v/>
      </c>
      <c r="AM315" s="11" t="str">
        <f t="shared" si="303"/>
        <v/>
      </c>
      <c r="AN315" s="11" t="str">
        <f t="shared" si="303"/>
        <v/>
      </c>
      <c r="AO315" s="11" t="str">
        <f t="shared" si="303"/>
        <v/>
      </c>
      <c r="AP315" s="21" t="str">
        <f t="shared" si="270"/>
        <v/>
      </c>
    </row>
    <row r="316" ht="16.5" customHeight="1">
      <c r="A316" s="32" t="s">
        <v>38</v>
      </c>
      <c r="B316" s="32" t="s">
        <v>257</v>
      </c>
      <c r="C316" s="32" t="s">
        <v>1500</v>
      </c>
      <c r="D316" s="32" t="s">
        <v>1501</v>
      </c>
      <c r="E316" s="32" t="s">
        <v>3229</v>
      </c>
      <c r="F316" s="4" t="s">
        <v>1502</v>
      </c>
      <c r="G316" s="4"/>
      <c r="H316" s="4"/>
      <c r="K316" s="18"/>
      <c r="L316" s="33"/>
      <c r="M316" s="20"/>
      <c r="N316" s="20"/>
      <c r="O316" s="20"/>
      <c r="P316" s="20"/>
      <c r="Q316" s="20"/>
      <c r="R316" s="20"/>
      <c r="S316" s="20"/>
      <c r="T316" s="20"/>
      <c r="U316" s="34"/>
      <c r="AF316" s="11" t="str">
        <f t="shared" si="268"/>
        <v/>
      </c>
      <c r="AG316" s="11" t="str">
        <f t="shared" ref="AG316:AO316" si="304">if(not(isblank(M316)),", "&amp;M316,"")</f>
        <v/>
      </c>
      <c r="AH316" s="11" t="str">
        <f t="shared" si="304"/>
        <v/>
      </c>
      <c r="AI316" s="11" t="str">
        <f t="shared" si="304"/>
        <v/>
      </c>
      <c r="AJ316" s="11" t="str">
        <f t="shared" si="304"/>
        <v/>
      </c>
      <c r="AK316" s="11" t="str">
        <f t="shared" si="304"/>
        <v/>
      </c>
      <c r="AL316" s="11" t="str">
        <f t="shared" si="304"/>
        <v/>
      </c>
      <c r="AM316" s="11" t="str">
        <f t="shared" si="304"/>
        <v/>
      </c>
      <c r="AN316" s="11" t="str">
        <f t="shared" si="304"/>
        <v/>
      </c>
      <c r="AO316" s="11" t="str">
        <f t="shared" si="304"/>
        <v/>
      </c>
      <c r="AP316" s="21" t="str">
        <f t="shared" si="270"/>
        <v/>
      </c>
    </row>
    <row r="317" ht="16.5" customHeight="1">
      <c r="A317" s="32" t="s">
        <v>38</v>
      </c>
      <c r="B317" s="32" t="s">
        <v>515</v>
      </c>
      <c r="C317" s="32" t="s">
        <v>3230</v>
      </c>
      <c r="D317" s="32" t="s">
        <v>3231</v>
      </c>
      <c r="E317" s="32" t="s">
        <v>3232</v>
      </c>
      <c r="F317" s="4" t="s">
        <v>3233</v>
      </c>
      <c r="G317" s="4" t="s">
        <v>3234</v>
      </c>
      <c r="K317" s="18"/>
      <c r="L317" s="33"/>
      <c r="M317" s="20"/>
      <c r="N317" s="20"/>
      <c r="O317" s="20"/>
      <c r="P317" s="20"/>
      <c r="Q317" s="20"/>
      <c r="R317" s="20"/>
      <c r="S317" s="20"/>
      <c r="T317" s="20"/>
      <c r="U317" s="34"/>
      <c r="AF317" s="11" t="str">
        <f t="shared" si="268"/>
        <v/>
      </c>
      <c r="AG317" s="11" t="str">
        <f t="shared" ref="AG317:AO317" si="305">if(not(isblank(M317)),", "&amp;M317,"")</f>
        <v/>
      </c>
      <c r="AH317" s="11" t="str">
        <f t="shared" si="305"/>
        <v/>
      </c>
      <c r="AI317" s="11" t="str">
        <f t="shared" si="305"/>
        <v/>
      </c>
      <c r="AJ317" s="11" t="str">
        <f t="shared" si="305"/>
        <v/>
      </c>
      <c r="AK317" s="11" t="str">
        <f t="shared" si="305"/>
        <v/>
      </c>
      <c r="AL317" s="11" t="str">
        <f t="shared" si="305"/>
        <v/>
      </c>
      <c r="AM317" s="11" t="str">
        <f t="shared" si="305"/>
        <v/>
      </c>
      <c r="AN317" s="11" t="str">
        <f t="shared" si="305"/>
        <v/>
      </c>
      <c r="AO317" s="11" t="str">
        <f t="shared" si="305"/>
        <v/>
      </c>
      <c r="AP317" s="21" t="str">
        <f t="shared" si="270"/>
        <v>sile-wool-scarf-black, sile-wool-scarf-ceramic</v>
      </c>
    </row>
    <row r="318" ht="16.5" customHeight="1">
      <c r="A318" s="32" t="s">
        <v>38</v>
      </c>
      <c r="B318" s="32" t="s">
        <v>515</v>
      </c>
      <c r="C318" s="32" t="s">
        <v>3235</v>
      </c>
      <c r="D318" s="32" t="s">
        <v>3236</v>
      </c>
      <c r="E318" s="32" t="s">
        <v>3237</v>
      </c>
      <c r="F318" s="4" t="s">
        <v>3238</v>
      </c>
      <c r="G318" s="4" t="s">
        <v>3239</v>
      </c>
      <c r="K318" s="18"/>
      <c r="L318" s="33"/>
      <c r="M318" s="20"/>
      <c r="N318" s="20"/>
      <c r="O318" s="20"/>
      <c r="P318" s="20"/>
      <c r="Q318" s="20"/>
      <c r="R318" s="20"/>
      <c r="S318" s="20"/>
      <c r="T318" s="20"/>
      <c r="U318" s="34"/>
      <c r="AF318" s="11" t="str">
        <f t="shared" si="268"/>
        <v/>
      </c>
      <c r="AG318" s="11" t="str">
        <f t="shared" ref="AG318:AO318" si="306">if(not(isblank(M318)),", "&amp;M318,"")</f>
        <v/>
      </c>
      <c r="AH318" s="11" t="str">
        <f t="shared" si="306"/>
        <v/>
      </c>
      <c r="AI318" s="11" t="str">
        <f t="shared" si="306"/>
        <v/>
      </c>
      <c r="AJ318" s="11" t="str">
        <f t="shared" si="306"/>
        <v/>
      </c>
      <c r="AK318" s="11" t="str">
        <f t="shared" si="306"/>
        <v/>
      </c>
      <c r="AL318" s="11" t="str">
        <f t="shared" si="306"/>
        <v/>
      </c>
      <c r="AM318" s="11" t="str">
        <f t="shared" si="306"/>
        <v/>
      </c>
      <c r="AN318" s="11" t="str">
        <f t="shared" si="306"/>
        <v/>
      </c>
      <c r="AO318" s="11" t="str">
        <f t="shared" si="306"/>
        <v/>
      </c>
      <c r="AP318" s="21" t="str">
        <f t="shared" si="270"/>
        <v>sile-wool-scarf-black, sile-wool-scarf-butter</v>
      </c>
    </row>
    <row r="319" ht="16.5" customHeight="1">
      <c r="A319" s="32" t="s">
        <v>38</v>
      </c>
      <c r="B319" s="32" t="s">
        <v>515</v>
      </c>
      <c r="C319" s="32" t="s">
        <v>3240</v>
      </c>
      <c r="D319" s="32" t="s">
        <v>3241</v>
      </c>
      <c r="E319" s="32" t="s">
        <v>3237</v>
      </c>
      <c r="F319" s="4" t="s">
        <v>3242</v>
      </c>
      <c r="G319" s="4" t="s">
        <v>3243</v>
      </c>
      <c r="K319" s="18"/>
      <c r="L319" s="33"/>
      <c r="M319" s="20"/>
      <c r="N319" s="20"/>
      <c r="O319" s="20"/>
      <c r="P319" s="20"/>
      <c r="Q319" s="20"/>
      <c r="R319" s="20"/>
      <c r="S319" s="20"/>
      <c r="T319" s="20"/>
      <c r="U319" s="34"/>
      <c r="AF319" s="11" t="str">
        <f t="shared" si="268"/>
        <v/>
      </c>
      <c r="AG319" s="11" t="str">
        <f t="shared" ref="AG319:AO319" si="307">if(not(isblank(M319)),", "&amp;M319,"")</f>
        <v/>
      </c>
      <c r="AH319" s="11" t="str">
        <f t="shared" si="307"/>
        <v/>
      </c>
      <c r="AI319" s="11" t="str">
        <f t="shared" si="307"/>
        <v/>
      </c>
      <c r="AJ319" s="11" t="str">
        <f t="shared" si="307"/>
        <v/>
      </c>
      <c r="AK319" s="11" t="str">
        <f t="shared" si="307"/>
        <v/>
      </c>
      <c r="AL319" s="11" t="str">
        <f t="shared" si="307"/>
        <v/>
      </c>
      <c r="AM319" s="11" t="str">
        <f t="shared" si="307"/>
        <v/>
      </c>
      <c r="AN319" s="11" t="str">
        <f t="shared" si="307"/>
        <v/>
      </c>
      <c r="AO319" s="11" t="str">
        <f t="shared" si="307"/>
        <v/>
      </c>
      <c r="AP319" s="21" t="str">
        <f t="shared" si="270"/>
        <v>sile-wool-scarf-ceramic, sile-wool-scarf-butter</v>
      </c>
    </row>
    <row r="320" ht="16.5" customHeight="1">
      <c r="A320" s="32" t="s">
        <v>38</v>
      </c>
      <c r="B320" s="32" t="s">
        <v>3244</v>
      </c>
      <c r="C320" s="32" t="s">
        <v>3245</v>
      </c>
      <c r="D320" s="32" t="s">
        <v>3246</v>
      </c>
      <c r="E320" s="32" t="s">
        <v>3247</v>
      </c>
      <c r="F320" s="4" t="s">
        <v>3248</v>
      </c>
      <c r="G320" s="4"/>
      <c r="H320" s="4"/>
      <c r="J320" s="11" t="s">
        <v>1775</v>
      </c>
      <c r="K320" s="18"/>
      <c r="L320" s="33"/>
      <c r="M320" s="20"/>
      <c r="N320" s="20"/>
      <c r="O320" s="20"/>
      <c r="P320" s="20"/>
      <c r="Q320" s="20"/>
      <c r="R320" s="20"/>
      <c r="S320" s="20"/>
      <c r="T320" s="20"/>
      <c r="U320" s="34"/>
      <c r="AF320" s="11" t="str">
        <f t="shared" si="268"/>
        <v/>
      </c>
      <c r="AG320" s="11" t="str">
        <f t="shared" ref="AG320:AO320" si="308">if(not(isblank(M320)),", "&amp;M320,"")</f>
        <v/>
      </c>
      <c r="AH320" s="11" t="str">
        <f t="shared" si="308"/>
        <v/>
      </c>
      <c r="AI320" s="11" t="str">
        <f t="shared" si="308"/>
        <v/>
      </c>
      <c r="AJ320" s="11" t="str">
        <f t="shared" si="308"/>
        <v/>
      </c>
      <c r="AK320" s="11" t="str">
        <f t="shared" si="308"/>
        <v/>
      </c>
      <c r="AL320" s="11" t="str">
        <f t="shared" si="308"/>
        <v/>
      </c>
      <c r="AM320" s="11" t="str">
        <f t="shared" si="308"/>
        <v/>
      </c>
      <c r="AN320" s="11" t="str">
        <f t="shared" si="308"/>
        <v/>
      </c>
      <c r="AO320" s="11" t="str">
        <f t="shared" si="308"/>
        <v/>
      </c>
      <c r="AP320" s="21" t="str">
        <f t="shared" si="270"/>
        <v/>
      </c>
    </row>
    <row r="321" ht="16.5" customHeight="1">
      <c r="A321" s="32" t="s">
        <v>38</v>
      </c>
      <c r="B321" s="32" t="s">
        <v>35</v>
      </c>
      <c r="C321" s="32" t="s">
        <v>497</v>
      </c>
      <c r="D321" s="32" t="s">
        <v>3249</v>
      </c>
      <c r="E321" s="32" t="s">
        <v>3250</v>
      </c>
      <c r="F321" s="4" t="s">
        <v>3251</v>
      </c>
      <c r="G321" s="4" t="s">
        <v>3252</v>
      </c>
      <c r="H321" s="4"/>
      <c r="K321" s="18"/>
      <c r="L321" s="33"/>
      <c r="M321" s="20"/>
      <c r="N321" s="20"/>
      <c r="O321" s="20"/>
      <c r="P321" s="20"/>
      <c r="Q321" s="20"/>
      <c r="R321" s="20"/>
      <c r="S321" s="20"/>
      <c r="T321" s="20"/>
      <c r="U321" s="34"/>
      <c r="AF321" s="11" t="str">
        <f t="shared" si="268"/>
        <v/>
      </c>
      <c r="AG321" s="11" t="str">
        <f t="shared" ref="AG321:AO321" si="309">if(not(isblank(M321)),", "&amp;M321,"")</f>
        <v/>
      </c>
      <c r="AH321" s="11" t="str">
        <f t="shared" si="309"/>
        <v/>
      </c>
      <c r="AI321" s="11" t="str">
        <f t="shared" si="309"/>
        <v/>
      </c>
      <c r="AJ321" s="11" t="str">
        <f t="shared" si="309"/>
        <v/>
      </c>
      <c r="AK321" s="11" t="str">
        <f t="shared" si="309"/>
        <v/>
      </c>
      <c r="AL321" s="11" t="str">
        <f t="shared" si="309"/>
        <v/>
      </c>
      <c r="AM321" s="11" t="str">
        <f t="shared" si="309"/>
        <v/>
      </c>
      <c r="AN321" s="11" t="str">
        <f t="shared" si="309"/>
        <v/>
      </c>
      <c r="AO321" s="11" t="str">
        <f t="shared" si="309"/>
        <v/>
      </c>
      <c r="AP321" s="21" t="str">
        <f t="shared" si="270"/>
        <v>naia-green-1</v>
      </c>
    </row>
    <row r="322" ht="16.5" customHeight="1">
      <c r="A322" s="32" t="s">
        <v>38</v>
      </c>
      <c r="B322" s="32" t="s">
        <v>330</v>
      </c>
      <c r="C322" s="32" t="s">
        <v>3253</v>
      </c>
      <c r="D322" s="32" t="s">
        <v>3254</v>
      </c>
      <c r="E322" s="32" t="s">
        <v>3255</v>
      </c>
      <c r="F322" s="4" t="s">
        <v>3256</v>
      </c>
      <c r="G322" s="4"/>
      <c r="H322" s="4"/>
      <c r="K322" s="18"/>
      <c r="L322" s="33"/>
      <c r="M322" s="20"/>
      <c r="N322" s="20"/>
      <c r="O322" s="20"/>
      <c r="P322" s="20"/>
      <c r="Q322" s="20"/>
      <c r="R322" s="20"/>
      <c r="S322" s="20"/>
      <c r="T322" s="20"/>
      <c r="U322" s="34"/>
      <c r="AF322" s="11" t="str">
        <f t="shared" si="268"/>
        <v/>
      </c>
      <c r="AG322" s="11" t="str">
        <f t="shared" ref="AG322:AO322" si="310">if(not(isblank(M322)),", "&amp;M322,"")</f>
        <v/>
      </c>
      <c r="AH322" s="11" t="str">
        <f t="shared" si="310"/>
        <v/>
      </c>
      <c r="AI322" s="11" t="str">
        <f t="shared" si="310"/>
        <v/>
      </c>
      <c r="AJ322" s="11" t="str">
        <f t="shared" si="310"/>
        <v/>
      </c>
      <c r="AK322" s="11" t="str">
        <f t="shared" si="310"/>
        <v/>
      </c>
      <c r="AL322" s="11" t="str">
        <f t="shared" si="310"/>
        <v/>
      </c>
      <c r="AM322" s="11" t="str">
        <f t="shared" si="310"/>
        <v/>
      </c>
      <c r="AN322" s="11" t="str">
        <f t="shared" si="310"/>
        <v/>
      </c>
      <c r="AO322" s="11" t="str">
        <f t="shared" si="310"/>
        <v/>
      </c>
      <c r="AP322" s="21" t="str">
        <f t="shared" si="270"/>
        <v/>
      </c>
    </row>
    <row r="323" ht="16.5" customHeight="1">
      <c r="A323" s="32" t="s">
        <v>38</v>
      </c>
      <c r="B323" s="32" t="s">
        <v>257</v>
      </c>
      <c r="C323" s="32" t="s">
        <v>3257</v>
      </c>
      <c r="D323" s="32" t="s">
        <v>3258</v>
      </c>
      <c r="E323" s="32" t="s">
        <v>3259</v>
      </c>
      <c r="F323" s="4" t="s">
        <v>3260</v>
      </c>
      <c r="G323" s="4"/>
      <c r="H323" s="4"/>
      <c r="K323" s="18"/>
      <c r="L323" s="42"/>
      <c r="M323" s="20"/>
      <c r="N323" s="20"/>
      <c r="O323" s="20"/>
      <c r="P323" s="20"/>
      <c r="Q323" s="20"/>
      <c r="R323" s="20"/>
      <c r="S323" s="20"/>
      <c r="T323" s="20"/>
      <c r="U323" s="34"/>
      <c r="AF323" s="11" t="str">
        <f t="shared" si="268"/>
        <v/>
      </c>
      <c r="AG323" s="11" t="str">
        <f t="shared" ref="AG323:AO323" si="311">if(not(isblank(M323)),", "&amp;M323,"")</f>
        <v/>
      </c>
      <c r="AH323" s="11" t="str">
        <f t="shared" si="311"/>
        <v/>
      </c>
      <c r="AI323" s="11" t="str">
        <f t="shared" si="311"/>
        <v/>
      </c>
      <c r="AJ323" s="11" t="str">
        <f t="shared" si="311"/>
        <v/>
      </c>
      <c r="AK323" s="11" t="str">
        <f t="shared" si="311"/>
        <v/>
      </c>
      <c r="AL323" s="11" t="str">
        <f t="shared" si="311"/>
        <v/>
      </c>
      <c r="AM323" s="11" t="str">
        <f t="shared" si="311"/>
        <v/>
      </c>
      <c r="AN323" s="11" t="str">
        <f t="shared" si="311"/>
        <v/>
      </c>
      <c r="AO323" s="11" t="str">
        <f t="shared" si="311"/>
        <v/>
      </c>
      <c r="AP323" s="21" t="str">
        <f t="shared" si="270"/>
        <v/>
      </c>
    </row>
    <row r="324" ht="16.5" customHeight="1">
      <c r="A324" s="32" t="s">
        <v>38</v>
      </c>
      <c r="B324" s="32" t="s">
        <v>257</v>
      </c>
      <c r="C324" s="32" t="s">
        <v>1528</v>
      </c>
      <c r="D324" s="32" t="s">
        <v>1529</v>
      </c>
      <c r="E324" s="32" t="s">
        <v>3261</v>
      </c>
      <c r="F324" s="4" t="s">
        <v>1531</v>
      </c>
      <c r="G324" s="4" t="s">
        <v>1530</v>
      </c>
      <c r="H324" s="4"/>
      <c r="K324" s="18"/>
      <c r="L324" s="33"/>
      <c r="M324" s="20"/>
      <c r="N324" s="20"/>
      <c r="O324" s="20"/>
      <c r="P324" s="20"/>
      <c r="Q324" s="20"/>
      <c r="R324" s="20"/>
      <c r="S324" s="20"/>
      <c r="T324" s="20"/>
      <c r="U324" s="34"/>
      <c r="AF324" s="11" t="str">
        <f t="shared" si="268"/>
        <v/>
      </c>
      <c r="AG324" s="11" t="str">
        <f t="shared" ref="AG324:AO324" si="312">if(not(isblank(M324)),", "&amp;M324,"")</f>
        <v/>
      </c>
      <c r="AH324" s="11" t="str">
        <f t="shared" si="312"/>
        <v/>
      </c>
      <c r="AI324" s="11" t="str">
        <f t="shared" si="312"/>
        <v/>
      </c>
      <c r="AJ324" s="11" t="str">
        <f t="shared" si="312"/>
        <v/>
      </c>
      <c r="AK324" s="11" t="str">
        <f t="shared" si="312"/>
        <v/>
      </c>
      <c r="AL324" s="11" t="str">
        <f t="shared" si="312"/>
        <v/>
      </c>
      <c r="AM324" s="11" t="str">
        <f t="shared" si="312"/>
        <v/>
      </c>
      <c r="AN324" s="11" t="str">
        <f t="shared" si="312"/>
        <v/>
      </c>
      <c r="AO324" s="11" t="str">
        <f t="shared" si="312"/>
        <v/>
      </c>
      <c r="AP324" s="21" t="str">
        <f t="shared" si="270"/>
        <v>ann-japan-dawn</v>
      </c>
    </row>
    <row r="325" ht="16.5" customHeight="1">
      <c r="A325" s="32" t="s">
        <v>38</v>
      </c>
      <c r="B325" s="32" t="s">
        <v>47</v>
      </c>
      <c r="C325" s="32" t="s">
        <v>1536</v>
      </c>
      <c r="D325" s="32" t="s">
        <v>1537</v>
      </c>
      <c r="E325" s="32" t="s">
        <v>3262</v>
      </c>
      <c r="F325" s="4" t="s">
        <v>1540</v>
      </c>
      <c r="G325" s="4" t="s">
        <v>3263</v>
      </c>
      <c r="K325" s="18"/>
      <c r="L325" s="33"/>
      <c r="M325" s="20"/>
      <c r="N325" s="20"/>
      <c r="O325" s="20"/>
      <c r="P325" s="20"/>
      <c r="Q325" s="20"/>
      <c r="R325" s="20"/>
      <c r="S325" s="20"/>
      <c r="T325" s="20"/>
      <c r="U325" s="34"/>
      <c r="AF325" s="11" t="str">
        <f t="shared" si="268"/>
        <v/>
      </c>
      <c r="AG325" s="11" t="str">
        <f t="shared" ref="AG325:AO325" si="313">if(not(isblank(M325)),", "&amp;M325,"")</f>
        <v/>
      </c>
      <c r="AH325" s="11" t="str">
        <f t="shared" si="313"/>
        <v/>
      </c>
      <c r="AI325" s="11" t="str">
        <f t="shared" si="313"/>
        <v/>
      </c>
      <c r="AJ325" s="11" t="str">
        <f t="shared" si="313"/>
        <v/>
      </c>
      <c r="AK325" s="11" t="str">
        <f t="shared" si="313"/>
        <v/>
      </c>
      <c r="AL325" s="11" t="str">
        <f t="shared" si="313"/>
        <v/>
      </c>
      <c r="AM325" s="11" t="str">
        <f t="shared" si="313"/>
        <v/>
      </c>
      <c r="AN325" s="11" t="str">
        <f t="shared" si="313"/>
        <v/>
      </c>
      <c r="AO325" s="11" t="str">
        <f t="shared" si="313"/>
        <v/>
      </c>
      <c r="AP325" s="21" t="str">
        <f t="shared" si="270"/>
        <v>nile-white, nile-chalk, nile-cashmere-natural</v>
      </c>
    </row>
    <row r="326" ht="16.5" customHeight="1">
      <c r="A326" s="32" t="s">
        <v>38</v>
      </c>
      <c r="B326" s="32" t="s">
        <v>330</v>
      </c>
      <c r="C326" s="32" t="s">
        <v>3264</v>
      </c>
      <c r="D326" s="32" t="s">
        <v>3265</v>
      </c>
      <c r="E326" s="32" t="s">
        <v>3266</v>
      </c>
      <c r="F326" s="4" t="s">
        <v>1642</v>
      </c>
      <c r="G326" s="4" t="s">
        <v>3267</v>
      </c>
      <c r="K326" s="18"/>
      <c r="L326" s="33"/>
      <c r="M326" s="20"/>
      <c r="N326" s="20"/>
      <c r="O326" s="20"/>
      <c r="P326" s="20"/>
      <c r="Q326" s="20"/>
      <c r="R326" s="20"/>
      <c r="S326" s="20"/>
      <c r="T326" s="20"/>
      <c r="U326" s="34"/>
      <c r="AF326" s="11" t="str">
        <f t="shared" si="268"/>
        <v/>
      </c>
      <c r="AG326" s="11" t="str">
        <f t="shared" ref="AG326:AO326" si="314">if(not(isblank(M326)),", "&amp;M326,"")</f>
        <v/>
      </c>
      <c r="AH326" s="11" t="str">
        <f t="shared" si="314"/>
        <v/>
      </c>
      <c r="AI326" s="11" t="str">
        <f t="shared" si="314"/>
        <v/>
      </c>
      <c r="AJ326" s="11" t="str">
        <f t="shared" si="314"/>
        <v/>
      </c>
      <c r="AK326" s="11" t="str">
        <f t="shared" si="314"/>
        <v/>
      </c>
      <c r="AL326" s="11" t="str">
        <f t="shared" si="314"/>
        <v/>
      </c>
      <c r="AM326" s="11" t="str">
        <f t="shared" si="314"/>
        <v/>
      </c>
      <c r="AN326" s="11" t="str">
        <f t="shared" si="314"/>
        <v/>
      </c>
      <c r="AO326" s="11" t="str">
        <f t="shared" si="314"/>
        <v/>
      </c>
      <c r="AP326" s="21" t="str">
        <f t="shared" si="270"/>
        <v>mila-black-1, mila-grey-melange, mila-brown-stripe, mila-indigo-stripe</v>
      </c>
    </row>
    <row r="327" ht="16.5" customHeight="1">
      <c r="A327" s="32" t="s">
        <v>38</v>
      </c>
      <c r="B327" s="32" t="s">
        <v>47</v>
      </c>
      <c r="C327" s="32" t="s">
        <v>2130</v>
      </c>
      <c r="D327" s="32" t="s">
        <v>3268</v>
      </c>
      <c r="E327" s="32" t="s">
        <v>3269</v>
      </c>
      <c r="F327" s="4" t="s">
        <v>3224</v>
      </c>
      <c r="G327" s="4" t="s">
        <v>3270</v>
      </c>
      <c r="H327" s="4" t="s">
        <v>1567</v>
      </c>
      <c r="K327" s="18"/>
      <c r="L327" s="33"/>
      <c r="M327" s="20"/>
      <c r="N327" s="20"/>
      <c r="O327" s="20"/>
      <c r="P327" s="20"/>
      <c r="Q327" s="20"/>
      <c r="R327" s="20"/>
      <c r="S327" s="20"/>
      <c r="T327" s="20"/>
      <c r="U327" s="34"/>
      <c r="AF327" s="11" t="str">
        <f t="shared" si="268"/>
        <v/>
      </c>
      <c r="AG327" s="11" t="str">
        <f t="shared" ref="AG327:AO327" si="315">if(not(isblank(M327)),", "&amp;M327,"")</f>
        <v/>
      </c>
      <c r="AH327" s="11" t="str">
        <f t="shared" si="315"/>
        <v/>
      </c>
      <c r="AI327" s="11" t="str">
        <f t="shared" si="315"/>
        <v/>
      </c>
      <c r="AJ327" s="11" t="str">
        <f t="shared" si="315"/>
        <v/>
      </c>
      <c r="AK327" s="11" t="str">
        <f t="shared" si="315"/>
        <v/>
      </c>
      <c r="AL327" s="11" t="str">
        <f t="shared" si="315"/>
        <v/>
      </c>
      <c r="AM327" s="11" t="str">
        <f t="shared" si="315"/>
        <v/>
      </c>
      <c r="AN327" s="11" t="str">
        <f t="shared" si="315"/>
        <v/>
      </c>
      <c r="AO327" s="11" t="str">
        <f t="shared" si="315"/>
        <v/>
      </c>
      <c r="AP327" s="21" t="str">
        <f t="shared" si="270"/>
        <v>eva-white, eva-magnet</v>
      </c>
    </row>
    <row r="328" ht="16.5" customHeight="1">
      <c r="A328" s="32" t="s">
        <v>38</v>
      </c>
      <c r="B328" s="32" t="s">
        <v>257</v>
      </c>
      <c r="C328" s="32" t="s">
        <v>1530</v>
      </c>
      <c r="D328" s="32" t="s">
        <v>3271</v>
      </c>
      <c r="E328" s="32" t="s">
        <v>3272</v>
      </c>
      <c r="F328" s="4" t="s">
        <v>3273</v>
      </c>
      <c r="G328" s="4" t="s">
        <v>1528</v>
      </c>
      <c r="H328" s="4"/>
      <c r="K328" s="18"/>
      <c r="L328" s="33"/>
      <c r="M328" s="20"/>
      <c r="N328" s="20"/>
      <c r="O328" s="20"/>
      <c r="P328" s="20"/>
      <c r="Q328" s="20"/>
      <c r="R328" s="20"/>
      <c r="S328" s="20"/>
      <c r="T328" s="20"/>
      <c r="U328" s="34"/>
      <c r="AF328" s="11" t="str">
        <f t="shared" si="268"/>
        <v/>
      </c>
      <c r="AG328" s="11" t="str">
        <f t="shared" ref="AG328:AO328" si="316">if(not(isblank(M328)),", "&amp;M328,"")</f>
        <v/>
      </c>
      <c r="AH328" s="11" t="str">
        <f t="shared" si="316"/>
        <v/>
      </c>
      <c r="AI328" s="11" t="str">
        <f t="shared" si="316"/>
        <v/>
      </c>
      <c r="AJ328" s="11" t="str">
        <f t="shared" si="316"/>
        <v/>
      </c>
      <c r="AK328" s="11" t="str">
        <f t="shared" si="316"/>
        <v/>
      </c>
      <c r="AL328" s="11" t="str">
        <f t="shared" si="316"/>
        <v/>
      </c>
      <c r="AM328" s="11" t="str">
        <f t="shared" si="316"/>
        <v/>
      </c>
      <c r="AN328" s="11" t="str">
        <f t="shared" si="316"/>
        <v/>
      </c>
      <c r="AO328" s="11" t="str">
        <f t="shared" si="316"/>
        <v/>
      </c>
      <c r="AP328" s="21" t="str">
        <f t="shared" si="270"/>
        <v>ann-japan-black</v>
      </c>
    </row>
    <row r="329" ht="16.5" customHeight="1">
      <c r="A329" s="32" t="s">
        <v>38</v>
      </c>
      <c r="B329" s="32" t="s">
        <v>257</v>
      </c>
      <c r="C329" s="32" t="s">
        <v>1545</v>
      </c>
      <c r="D329" s="32" t="s">
        <v>1546</v>
      </c>
      <c r="E329" s="32" t="s">
        <v>3274</v>
      </c>
      <c r="F329" s="4" t="s">
        <v>1548</v>
      </c>
      <c r="G329" s="4" t="s">
        <v>1547</v>
      </c>
      <c r="H329" s="4"/>
      <c r="K329" s="18"/>
      <c r="L329" s="33"/>
      <c r="M329" s="20"/>
      <c r="N329" s="20"/>
      <c r="O329" s="20"/>
      <c r="P329" s="20"/>
      <c r="Q329" s="20"/>
      <c r="R329" s="20"/>
      <c r="S329" s="20"/>
      <c r="T329" s="20"/>
      <c r="U329" s="34"/>
      <c r="AF329" s="11" t="str">
        <f t="shared" si="268"/>
        <v/>
      </c>
      <c r="AG329" s="11" t="str">
        <f t="shared" ref="AG329:AO329" si="317">if(not(isblank(M329)),", "&amp;M329,"")</f>
        <v/>
      </c>
      <c r="AH329" s="11" t="str">
        <f t="shared" si="317"/>
        <v/>
      </c>
      <c r="AI329" s="11" t="str">
        <f t="shared" si="317"/>
        <v/>
      </c>
      <c r="AJ329" s="11" t="str">
        <f t="shared" si="317"/>
        <v/>
      </c>
      <c r="AK329" s="11" t="str">
        <f t="shared" si="317"/>
        <v/>
      </c>
      <c r="AL329" s="11" t="str">
        <f t="shared" si="317"/>
        <v/>
      </c>
      <c r="AM329" s="11" t="str">
        <f t="shared" si="317"/>
        <v/>
      </c>
      <c r="AN329" s="11" t="str">
        <f t="shared" si="317"/>
        <v/>
      </c>
      <c r="AO329" s="11" t="str">
        <f t="shared" si="317"/>
        <v/>
      </c>
      <c r="AP329" s="21" t="str">
        <f t="shared" si="270"/>
        <v>live-japan-indigo</v>
      </c>
    </row>
    <row r="330" ht="16.5" customHeight="1">
      <c r="A330" s="32" t="s">
        <v>38</v>
      </c>
      <c r="B330" s="32" t="s">
        <v>257</v>
      </c>
      <c r="C330" s="32" t="s">
        <v>1547</v>
      </c>
      <c r="D330" s="32" t="s">
        <v>1552</v>
      </c>
      <c r="E330" s="32" t="s">
        <v>3275</v>
      </c>
      <c r="F330" s="4" t="s">
        <v>1553</v>
      </c>
      <c r="G330" s="4" t="s">
        <v>1545</v>
      </c>
      <c r="H330" s="4"/>
      <c r="K330" s="18"/>
      <c r="L330" s="33"/>
      <c r="M330" s="20"/>
      <c r="N330" s="20"/>
      <c r="O330" s="20"/>
      <c r="P330" s="20"/>
      <c r="Q330" s="20"/>
      <c r="R330" s="20"/>
      <c r="S330" s="20"/>
      <c r="T330" s="20"/>
      <c r="U330" s="34"/>
      <c r="AF330" s="11" t="str">
        <f t="shared" si="268"/>
        <v/>
      </c>
      <c r="AG330" s="11" t="str">
        <f t="shared" ref="AG330:AO330" si="318">if(not(isblank(M330)),", "&amp;M330,"")</f>
        <v/>
      </c>
      <c r="AH330" s="11" t="str">
        <f t="shared" si="318"/>
        <v/>
      </c>
      <c r="AI330" s="11" t="str">
        <f t="shared" si="318"/>
        <v/>
      </c>
      <c r="AJ330" s="11" t="str">
        <f t="shared" si="318"/>
        <v/>
      </c>
      <c r="AK330" s="11" t="str">
        <f t="shared" si="318"/>
        <v/>
      </c>
      <c r="AL330" s="11" t="str">
        <f t="shared" si="318"/>
        <v/>
      </c>
      <c r="AM330" s="11" t="str">
        <f t="shared" si="318"/>
        <v/>
      </c>
      <c r="AN330" s="11" t="str">
        <f t="shared" si="318"/>
        <v/>
      </c>
      <c r="AO330" s="11" t="str">
        <f t="shared" si="318"/>
        <v/>
      </c>
      <c r="AP330" s="21" t="str">
        <f t="shared" si="270"/>
        <v>live-japan-black</v>
      </c>
    </row>
    <row r="331" ht="16.5" customHeight="1">
      <c r="A331" s="32" t="s">
        <v>38</v>
      </c>
      <c r="B331" s="32" t="s">
        <v>257</v>
      </c>
      <c r="C331" s="32" t="s">
        <v>3276</v>
      </c>
      <c r="D331" s="32" t="s">
        <v>3277</v>
      </c>
      <c r="E331" s="32" t="s">
        <v>3278</v>
      </c>
      <c r="F331" s="4" t="s">
        <v>3279</v>
      </c>
      <c r="G331" s="4"/>
      <c r="H331" s="4"/>
      <c r="K331" s="18"/>
      <c r="L331" s="33"/>
      <c r="M331" s="20"/>
      <c r="N331" s="20"/>
      <c r="O331" s="20"/>
      <c r="P331" s="20"/>
      <c r="Q331" s="20"/>
      <c r="R331" s="20"/>
      <c r="S331" s="20"/>
      <c r="T331" s="20"/>
      <c r="U331" s="34"/>
      <c r="AF331" s="11" t="str">
        <f t="shared" si="268"/>
        <v/>
      </c>
      <c r="AG331" s="11" t="str">
        <f t="shared" ref="AG331:AO331" si="319">if(not(isblank(M331)),", "&amp;M331,"")</f>
        <v/>
      </c>
      <c r="AH331" s="11" t="str">
        <f t="shared" si="319"/>
        <v/>
      </c>
      <c r="AI331" s="11" t="str">
        <f t="shared" si="319"/>
        <v/>
      </c>
      <c r="AJ331" s="11" t="str">
        <f t="shared" si="319"/>
        <v/>
      </c>
      <c r="AK331" s="11" t="str">
        <f t="shared" si="319"/>
        <v/>
      </c>
      <c r="AL331" s="11" t="str">
        <f t="shared" si="319"/>
        <v/>
      </c>
      <c r="AM331" s="11" t="str">
        <f t="shared" si="319"/>
        <v/>
      </c>
      <c r="AN331" s="11" t="str">
        <f t="shared" si="319"/>
        <v/>
      </c>
      <c r="AO331" s="11" t="str">
        <f t="shared" si="319"/>
        <v/>
      </c>
      <c r="AP331" s="21" t="str">
        <f t="shared" si="270"/>
        <v/>
      </c>
    </row>
    <row r="332" ht="16.5" customHeight="1">
      <c r="A332" s="32" t="s">
        <v>38</v>
      </c>
      <c r="B332" s="32" t="s">
        <v>257</v>
      </c>
      <c r="C332" s="32" t="s">
        <v>1556</v>
      </c>
      <c r="D332" s="32" t="s">
        <v>1557</v>
      </c>
      <c r="E332" s="32" t="s">
        <v>3280</v>
      </c>
      <c r="F332" s="4" t="s">
        <v>1559</v>
      </c>
      <c r="G332" s="4" t="s">
        <v>1558</v>
      </c>
      <c r="H332" s="4"/>
      <c r="K332" s="18"/>
      <c r="L332" s="33"/>
      <c r="M332" s="20"/>
      <c r="N332" s="20"/>
      <c r="O332" s="20"/>
      <c r="P332" s="20"/>
      <c r="Q332" s="20"/>
      <c r="R332" s="20"/>
      <c r="S332" s="20"/>
      <c r="T332" s="20"/>
      <c r="U332" s="34"/>
      <c r="AF332" s="11" t="str">
        <f t="shared" si="268"/>
        <v/>
      </c>
      <c r="AG332" s="11" t="str">
        <f t="shared" ref="AG332:AO332" si="320">if(not(isblank(M332)),", "&amp;M332,"")</f>
        <v/>
      </c>
      <c r="AH332" s="11" t="str">
        <f t="shared" si="320"/>
        <v/>
      </c>
      <c r="AI332" s="11" t="str">
        <f t="shared" si="320"/>
        <v/>
      </c>
      <c r="AJ332" s="11" t="str">
        <f t="shared" si="320"/>
        <v/>
      </c>
      <c r="AK332" s="11" t="str">
        <f t="shared" si="320"/>
        <v/>
      </c>
      <c r="AL332" s="11" t="str">
        <f t="shared" si="320"/>
        <v/>
      </c>
      <c r="AM332" s="11" t="str">
        <f t="shared" si="320"/>
        <v/>
      </c>
      <c r="AN332" s="11" t="str">
        <f t="shared" si="320"/>
        <v/>
      </c>
      <c r="AO332" s="11" t="str">
        <f t="shared" si="320"/>
        <v/>
      </c>
      <c r="AP332" s="21" t="str">
        <f t="shared" si="270"/>
        <v>faye-japan-shadow, faye-japan-mole</v>
      </c>
    </row>
    <row r="333" ht="16.5" customHeight="1">
      <c r="A333" s="32" t="s">
        <v>38</v>
      </c>
      <c r="B333" s="32" t="s">
        <v>257</v>
      </c>
      <c r="C333" s="32" t="s">
        <v>1567</v>
      </c>
      <c r="D333" s="32" t="s">
        <v>1568</v>
      </c>
      <c r="E333" s="32" t="s">
        <v>3281</v>
      </c>
      <c r="F333" s="4" t="s">
        <v>1570</v>
      </c>
      <c r="G333" s="4" t="s">
        <v>1569</v>
      </c>
      <c r="H333" s="4"/>
      <c r="K333" s="18"/>
      <c r="L333" s="33"/>
      <c r="M333" s="20"/>
      <c r="N333" s="20"/>
      <c r="O333" s="20"/>
      <c r="P333" s="20"/>
      <c r="Q333" s="20"/>
      <c r="R333" s="20"/>
      <c r="S333" s="20"/>
      <c r="T333" s="20"/>
      <c r="U333" s="34"/>
      <c r="AF333" s="11" t="str">
        <f t="shared" si="268"/>
        <v/>
      </c>
      <c r="AG333" s="11" t="str">
        <f t="shared" ref="AG333:AO333" si="321">if(not(isblank(M333)),", "&amp;M333,"")</f>
        <v/>
      </c>
      <c r="AH333" s="11" t="str">
        <f t="shared" si="321"/>
        <v/>
      </c>
      <c r="AI333" s="11" t="str">
        <f t="shared" si="321"/>
        <v/>
      </c>
      <c r="AJ333" s="11" t="str">
        <f t="shared" si="321"/>
        <v/>
      </c>
      <c r="AK333" s="11" t="str">
        <f t="shared" si="321"/>
        <v/>
      </c>
      <c r="AL333" s="11" t="str">
        <f t="shared" si="321"/>
        <v/>
      </c>
      <c r="AM333" s="11" t="str">
        <f t="shared" si="321"/>
        <v/>
      </c>
      <c r="AN333" s="11" t="str">
        <f t="shared" si="321"/>
        <v/>
      </c>
      <c r="AO333" s="11" t="str">
        <f t="shared" si="321"/>
        <v/>
      </c>
      <c r="AP333" s="21" t="str">
        <f t="shared" si="270"/>
        <v>faye-japan-dawn, faye-japan-mole</v>
      </c>
    </row>
    <row r="334" ht="16.5" customHeight="1">
      <c r="A334" s="32" t="s">
        <v>38</v>
      </c>
      <c r="B334" s="32" t="s">
        <v>73</v>
      </c>
      <c r="C334" s="32" t="s">
        <v>3282</v>
      </c>
      <c r="D334" s="32" t="s">
        <v>3283</v>
      </c>
      <c r="E334" s="36"/>
      <c r="F334" s="4"/>
      <c r="G334" s="4"/>
      <c r="H334" s="4"/>
      <c r="K334" s="18"/>
      <c r="L334" s="33"/>
      <c r="M334" s="20"/>
      <c r="N334" s="20"/>
      <c r="O334" s="20"/>
      <c r="P334" s="20"/>
      <c r="Q334" s="20"/>
      <c r="R334" s="20"/>
      <c r="S334" s="20"/>
      <c r="T334" s="20"/>
      <c r="U334" s="34"/>
      <c r="AF334" s="11" t="str">
        <f t="shared" si="268"/>
        <v/>
      </c>
      <c r="AG334" s="11" t="str">
        <f t="shared" ref="AG334:AO334" si="322">if(not(isblank(M334)),", "&amp;M334,"")</f>
        <v/>
      </c>
      <c r="AH334" s="11" t="str">
        <f t="shared" si="322"/>
        <v/>
      </c>
      <c r="AI334" s="11" t="str">
        <f t="shared" si="322"/>
        <v/>
      </c>
      <c r="AJ334" s="11" t="str">
        <f t="shared" si="322"/>
        <v/>
      </c>
      <c r="AK334" s="11" t="str">
        <f t="shared" si="322"/>
        <v/>
      </c>
      <c r="AL334" s="11" t="str">
        <f t="shared" si="322"/>
        <v/>
      </c>
      <c r="AM334" s="11" t="str">
        <f t="shared" si="322"/>
        <v/>
      </c>
      <c r="AN334" s="11" t="str">
        <f t="shared" si="322"/>
        <v/>
      </c>
      <c r="AO334" s="11" t="str">
        <f t="shared" si="322"/>
        <v/>
      </c>
      <c r="AP334" s="21" t="str">
        <f t="shared" si="270"/>
        <v/>
      </c>
    </row>
    <row r="335" ht="16.5" customHeight="1">
      <c r="A335" s="32" t="s">
        <v>38</v>
      </c>
      <c r="B335" s="32" t="s">
        <v>103</v>
      </c>
      <c r="C335" s="32" t="s">
        <v>3284</v>
      </c>
      <c r="D335" s="32" t="s">
        <v>3285</v>
      </c>
      <c r="E335" s="36"/>
      <c r="F335" s="4"/>
      <c r="G335" s="4"/>
      <c r="H335" s="4"/>
      <c r="K335" s="18"/>
      <c r="L335" s="33"/>
      <c r="M335" s="20"/>
      <c r="N335" s="20"/>
      <c r="O335" s="20"/>
      <c r="P335" s="20"/>
      <c r="Q335" s="20"/>
      <c r="R335" s="20"/>
      <c r="S335" s="20"/>
      <c r="T335" s="20"/>
      <c r="U335" s="34"/>
      <c r="AF335" s="11" t="str">
        <f t="shared" si="268"/>
        <v/>
      </c>
      <c r="AG335" s="11" t="str">
        <f t="shared" ref="AG335:AO335" si="323">if(not(isblank(M335)),", "&amp;M335,"")</f>
        <v/>
      </c>
      <c r="AH335" s="11" t="str">
        <f t="shared" si="323"/>
        <v/>
      </c>
      <c r="AI335" s="11" t="str">
        <f t="shared" si="323"/>
        <v/>
      </c>
      <c r="AJ335" s="11" t="str">
        <f t="shared" si="323"/>
        <v/>
      </c>
      <c r="AK335" s="11" t="str">
        <f t="shared" si="323"/>
        <v/>
      </c>
      <c r="AL335" s="11" t="str">
        <f t="shared" si="323"/>
        <v/>
      </c>
      <c r="AM335" s="11" t="str">
        <f t="shared" si="323"/>
        <v/>
      </c>
      <c r="AN335" s="11" t="str">
        <f t="shared" si="323"/>
        <v/>
      </c>
      <c r="AO335" s="11" t="str">
        <f t="shared" si="323"/>
        <v/>
      </c>
      <c r="AP335" s="21" t="str">
        <f t="shared" si="270"/>
        <v/>
      </c>
    </row>
    <row r="336" ht="16.5" customHeight="1">
      <c r="A336" s="32" t="s">
        <v>38</v>
      </c>
      <c r="B336" s="32" t="s">
        <v>52</v>
      </c>
      <c r="C336" s="32" t="s">
        <v>3286</v>
      </c>
      <c r="D336" s="32" t="s">
        <v>3287</v>
      </c>
      <c r="E336" s="32" t="s">
        <v>3288</v>
      </c>
      <c r="F336" s="4" t="s">
        <v>3289</v>
      </c>
      <c r="G336" s="4"/>
      <c r="H336" s="4" t="s">
        <v>3290</v>
      </c>
      <c r="K336" s="18"/>
      <c r="L336" s="33"/>
      <c r="M336" s="20"/>
      <c r="N336" s="20"/>
      <c r="O336" s="20"/>
      <c r="P336" s="20"/>
      <c r="Q336" s="20"/>
      <c r="R336" s="20"/>
      <c r="S336" s="20"/>
      <c r="T336" s="20"/>
      <c r="U336" s="34"/>
      <c r="AF336" s="11" t="str">
        <f t="shared" si="268"/>
        <v/>
      </c>
      <c r="AG336" s="11" t="str">
        <f t="shared" ref="AG336:AO336" si="324">if(not(isblank(M336)),", "&amp;M336,"")</f>
        <v/>
      </c>
      <c r="AH336" s="11" t="str">
        <f t="shared" si="324"/>
        <v/>
      </c>
      <c r="AI336" s="11" t="str">
        <f t="shared" si="324"/>
        <v/>
      </c>
      <c r="AJ336" s="11" t="str">
        <f t="shared" si="324"/>
        <v/>
      </c>
      <c r="AK336" s="11" t="str">
        <f t="shared" si="324"/>
        <v/>
      </c>
      <c r="AL336" s="11" t="str">
        <f t="shared" si="324"/>
        <v/>
      </c>
      <c r="AM336" s="11" t="str">
        <f t="shared" si="324"/>
        <v/>
      </c>
      <c r="AN336" s="11" t="str">
        <f t="shared" si="324"/>
        <v/>
      </c>
      <c r="AO336" s="11" t="str">
        <f t="shared" si="324"/>
        <v/>
      </c>
      <c r="AP336" s="21" t="str">
        <f t="shared" si="270"/>
        <v/>
      </c>
    </row>
    <row r="337" ht="16.5" customHeight="1">
      <c r="A337" s="32" t="s">
        <v>38</v>
      </c>
      <c r="B337" s="32" t="s">
        <v>307</v>
      </c>
      <c r="C337" s="32" t="s">
        <v>3291</v>
      </c>
      <c r="D337" s="32" t="s">
        <v>3292</v>
      </c>
      <c r="E337" s="32" t="s">
        <v>3293</v>
      </c>
      <c r="F337" s="4" t="s">
        <v>3294</v>
      </c>
      <c r="G337" s="4" t="s">
        <v>3295</v>
      </c>
      <c r="H337" s="4"/>
      <c r="K337" s="18"/>
      <c r="L337" s="33"/>
      <c r="M337" s="20"/>
      <c r="N337" s="20"/>
      <c r="O337" s="20"/>
      <c r="P337" s="20"/>
      <c r="Q337" s="20"/>
      <c r="R337" s="20"/>
      <c r="S337" s="20"/>
      <c r="T337" s="20"/>
      <c r="U337" s="34"/>
      <c r="AF337" s="11" t="str">
        <f t="shared" si="268"/>
        <v/>
      </c>
      <c r="AG337" s="11" t="str">
        <f t="shared" ref="AG337:AO337" si="325">if(not(isblank(M337)),", "&amp;M337,"")</f>
        <v/>
      </c>
      <c r="AH337" s="11" t="str">
        <f t="shared" si="325"/>
        <v/>
      </c>
      <c r="AI337" s="11" t="str">
        <f t="shared" si="325"/>
        <v/>
      </c>
      <c r="AJ337" s="11" t="str">
        <f t="shared" si="325"/>
        <v/>
      </c>
      <c r="AK337" s="11" t="str">
        <f t="shared" si="325"/>
        <v/>
      </c>
      <c r="AL337" s="11" t="str">
        <f t="shared" si="325"/>
        <v/>
      </c>
      <c r="AM337" s="11" t="str">
        <f t="shared" si="325"/>
        <v/>
      </c>
      <c r="AN337" s="11" t="str">
        <f t="shared" si="325"/>
        <v/>
      </c>
      <c r="AO337" s="11" t="str">
        <f t="shared" si="325"/>
        <v/>
      </c>
      <c r="AP337" s="21" t="str">
        <f t="shared" si="270"/>
        <v>fir-off-white</v>
      </c>
    </row>
    <row r="338" ht="16.5" customHeight="1">
      <c r="A338" s="32" t="s">
        <v>38</v>
      </c>
      <c r="B338" s="32" t="s">
        <v>257</v>
      </c>
      <c r="C338" s="32" t="s">
        <v>233</v>
      </c>
      <c r="D338" s="32" t="s">
        <v>1984</v>
      </c>
      <c r="E338" s="32" t="s">
        <v>3296</v>
      </c>
      <c r="F338" s="4" t="s">
        <v>3297</v>
      </c>
      <c r="G338" s="4" t="s">
        <v>3298</v>
      </c>
      <c r="K338" s="18"/>
      <c r="L338" s="33"/>
      <c r="M338" s="20"/>
      <c r="N338" s="20"/>
      <c r="O338" s="20"/>
      <c r="P338" s="20"/>
      <c r="Q338" s="20"/>
      <c r="R338" s="20"/>
      <c r="S338" s="20"/>
      <c r="T338" s="20"/>
      <c r="U338" s="34"/>
      <c r="AF338" s="11" t="str">
        <f t="shared" si="268"/>
        <v/>
      </c>
      <c r="AG338" s="11" t="str">
        <f t="shared" ref="AG338:AO338" si="326">if(not(isblank(M338)),", "&amp;M338,"")</f>
        <v/>
      </c>
      <c r="AH338" s="11" t="str">
        <f t="shared" si="326"/>
        <v/>
      </c>
      <c r="AI338" s="11" t="str">
        <f t="shared" si="326"/>
        <v/>
      </c>
      <c r="AJ338" s="11" t="str">
        <f t="shared" si="326"/>
        <v/>
      </c>
      <c r="AK338" s="11" t="str">
        <f t="shared" si="326"/>
        <v/>
      </c>
      <c r="AL338" s="11" t="str">
        <f t="shared" si="326"/>
        <v/>
      </c>
      <c r="AM338" s="11" t="str">
        <f t="shared" si="326"/>
        <v/>
      </c>
      <c r="AN338" s="11" t="str">
        <f t="shared" si="326"/>
        <v/>
      </c>
      <c r="AO338" s="11" t="str">
        <f t="shared" si="326"/>
        <v/>
      </c>
      <c r="AP338" s="21" t="str">
        <f t="shared" si="270"/>
        <v>keri-japan-dawn, keri-japan-broken, keri-japan-fog, keri-japan-gravel</v>
      </c>
    </row>
    <row r="339" ht="16.5" customHeight="1">
      <c r="A339" s="32" t="s">
        <v>38</v>
      </c>
      <c r="B339" s="32" t="s">
        <v>3299</v>
      </c>
      <c r="C339" s="32" t="s">
        <v>3300</v>
      </c>
      <c r="D339" s="32" t="s">
        <v>3301</v>
      </c>
      <c r="E339" s="32" t="s">
        <v>3302</v>
      </c>
      <c r="F339" s="4" t="s">
        <v>3303</v>
      </c>
      <c r="G339" s="4"/>
      <c r="H339" s="4"/>
      <c r="K339" s="18"/>
      <c r="L339" s="33"/>
      <c r="M339" s="20"/>
      <c r="N339" s="20"/>
      <c r="O339" s="20"/>
      <c r="P339" s="20"/>
      <c r="Q339" s="20"/>
      <c r="R339" s="20"/>
      <c r="S339" s="20"/>
      <c r="T339" s="20"/>
      <c r="U339" s="34"/>
      <c r="AF339" s="11" t="str">
        <f t="shared" si="268"/>
        <v/>
      </c>
      <c r="AG339" s="11" t="str">
        <f t="shared" ref="AG339:AO339" si="327">if(not(isblank(M339)),", "&amp;M339,"")</f>
        <v/>
      </c>
      <c r="AH339" s="11" t="str">
        <f t="shared" si="327"/>
        <v/>
      </c>
      <c r="AI339" s="11" t="str">
        <f t="shared" si="327"/>
        <v/>
      </c>
      <c r="AJ339" s="11" t="str">
        <f t="shared" si="327"/>
        <v/>
      </c>
      <c r="AK339" s="11" t="str">
        <f t="shared" si="327"/>
        <v/>
      </c>
      <c r="AL339" s="11" t="str">
        <f t="shared" si="327"/>
        <v/>
      </c>
      <c r="AM339" s="11" t="str">
        <f t="shared" si="327"/>
        <v/>
      </c>
      <c r="AN339" s="11" t="str">
        <f t="shared" si="327"/>
        <v/>
      </c>
      <c r="AO339" s="11" t="str">
        <f t="shared" si="327"/>
        <v/>
      </c>
      <c r="AP339" s="21" t="str">
        <f t="shared" si="270"/>
        <v/>
      </c>
    </row>
    <row r="340" ht="16.5" customHeight="1">
      <c r="A340" s="32" t="s">
        <v>38</v>
      </c>
      <c r="B340" s="32" t="s">
        <v>3304</v>
      </c>
      <c r="C340" s="32" t="s">
        <v>3305</v>
      </c>
      <c r="D340" s="32" t="s">
        <v>3306</v>
      </c>
      <c r="E340" s="32" t="s">
        <v>3307</v>
      </c>
      <c r="F340" s="4" t="s">
        <v>3308</v>
      </c>
      <c r="G340" s="4"/>
      <c r="H340" s="4"/>
      <c r="K340" s="18"/>
      <c r="L340" s="33"/>
      <c r="M340" s="20"/>
      <c r="N340" s="20"/>
      <c r="O340" s="20"/>
      <c r="P340" s="20"/>
      <c r="Q340" s="20"/>
      <c r="R340" s="20"/>
      <c r="S340" s="20"/>
      <c r="T340" s="20"/>
      <c r="U340" s="34"/>
      <c r="AF340" s="11" t="str">
        <f t="shared" si="268"/>
        <v/>
      </c>
      <c r="AG340" s="11" t="str">
        <f t="shared" ref="AG340:AO340" si="328">if(not(isblank(M340)),", "&amp;M340,"")</f>
        <v/>
      </c>
      <c r="AH340" s="11" t="str">
        <f t="shared" si="328"/>
        <v/>
      </c>
      <c r="AI340" s="11" t="str">
        <f t="shared" si="328"/>
        <v/>
      </c>
      <c r="AJ340" s="11" t="str">
        <f t="shared" si="328"/>
        <v/>
      </c>
      <c r="AK340" s="11" t="str">
        <f t="shared" si="328"/>
        <v/>
      </c>
      <c r="AL340" s="11" t="str">
        <f t="shared" si="328"/>
        <v/>
      </c>
      <c r="AM340" s="11" t="str">
        <f t="shared" si="328"/>
        <v/>
      </c>
      <c r="AN340" s="11" t="str">
        <f t="shared" si="328"/>
        <v/>
      </c>
      <c r="AO340" s="11" t="str">
        <f t="shared" si="328"/>
        <v/>
      </c>
      <c r="AP340" s="21" t="str">
        <f t="shared" si="270"/>
        <v/>
      </c>
    </row>
    <row r="341" ht="16.5" customHeight="1">
      <c r="A341" s="32" t="s">
        <v>38</v>
      </c>
      <c r="B341" s="32" t="s">
        <v>39</v>
      </c>
      <c r="C341" s="32" t="s">
        <v>1589</v>
      </c>
      <c r="D341" s="32" t="s">
        <v>1590</v>
      </c>
      <c r="E341" s="32" t="s">
        <v>3309</v>
      </c>
      <c r="F341" s="4" t="s">
        <v>3310</v>
      </c>
      <c r="G341" s="4" t="s">
        <v>1591</v>
      </c>
      <c r="K341" s="18"/>
      <c r="L341" s="33"/>
      <c r="M341" s="20"/>
      <c r="N341" s="20"/>
      <c r="O341" s="20"/>
      <c r="P341" s="20"/>
      <c r="Q341" s="20"/>
      <c r="R341" s="20"/>
      <c r="S341" s="20"/>
      <c r="T341" s="20"/>
      <c r="U341" s="34"/>
      <c r="AF341" s="11" t="str">
        <f t="shared" si="268"/>
        <v/>
      </c>
      <c r="AG341" s="11" t="str">
        <f t="shared" ref="AG341:AO341" si="329">if(not(isblank(M341)),", "&amp;M341,"")</f>
        <v/>
      </c>
      <c r="AH341" s="11" t="str">
        <f t="shared" si="329"/>
        <v/>
      </c>
      <c r="AI341" s="11" t="str">
        <f t="shared" si="329"/>
        <v/>
      </c>
      <c r="AJ341" s="11" t="str">
        <f t="shared" si="329"/>
        <v/>
      </c>
      <c r="AK341" s="11" t="str">
        <f t="shared" si="329"/>
        <v/>
      </c>
      <c r="AL341" s="11" t="str">
        <f t="shared" si="329"/>
        <v/>
      </c>
      <c r="AM341" s="11" t="str">
        <f t="shared" si="329"/>
        <v/>
      </c>
      <c r="AN341" s="11" t="str">
        <f t="shared" si="329"/>
        <v/>
      </c>
      <c r="AO341" s="11" t="str">
        <f t="shared" si="329"/>
        <v/>
      </c>
      <c r="AP341" s="21" t="str">
        <f t="shared" si="270"/>
        <v>tiki-japan-charcoal-noil-silk, tiki-japan-taupe-noil-silk</v>
      </c>
    </row>
    <row r="342" ht="16.5" customHeight="1">
      <c r="A342" s="32" t="s">
        <v>38</v>
      </c>
      <c r="B342" s="32" t="s">
        <v>257</v>
      </c>
      <c r="C342" s="32" t="s">
        <v>1594</v>
      </c>
      <c r="D342" s="32" t="s">
        <v>1595</v>
      </c>
      <c r="E342" s="32" t="s">
        <v>3311</v>
      </c>
      <c r="F342" s="4" t="s">
        <v>1597</v>
      </c>
      <c r="G342" s="4" t="s">
        <v>1596</v>
      </c>
      <c r="H342" s="4"/>
      <c r="K342" s="18"/>
      <c r="L342" s="33"/>
      <c r="M342" s="20"/>
      <c r="N342" s="20"/>
      <c r="O342" s="20"/>
      <c r="P342" s="20"/>
      <c r="Q342" s="20"/>
      <c r="R342" s="20"/>
      <c r="S342" s="20"/>
      <c r="T342" s="20"/>
      <c r="U342" s="34"/>
      <c r="AF342" s="11" t="str">
        <f t="shared" si="268"/>
        <v/>
      </c>
      <c r="AG342" s="11" t="str">
        <f t="shared" ref="AG342:AO342" si="330">if(not(isblank(M342)),", "&amp;M342,"")</f>
        <v/>
      </c>
      <c r="AH342" s="11" t="str">
        <f t="shared" si="330"/>
        <v/>
      </c>
      <c r="AI342" s="11" t="str">
        <f t="shared" si="330"/>
        <v/>
      </c>
      <c r="AJ342" s="11" t="str">
        <f t="shared" si="330"/>
        <v/>
      </c>
      <c r="AK342" s="11" t="str">
        <f t="shared" si="330"/>
        <v/>
      </c>
      <c r="AL342" s="11" t="str">
        <f t="shared" si="330"/>
        <v/>
      </c>
      <c r="AM342" s="11" t="str">
        <f t="shared" si="330"/>
        <v/>
      </c>
      <c r="AN342" s="11" t="str">
        <f t="shared" si="330"/>
        <v/>
      </c>
      <c r="AO342" s="11" t="str">
        <f t="shared" si="330"/>
        <v/>
      </c>
      <c r="AP342" s="21" t="str">
        <f t="shared" si="270"/>
        <v>margo-japan-white</v>
      </c>
    </row>
    <row r="343" ht="16.5" customHeight="1">
      <c r="A343" s="32" t="s">
        <v>38</v>
      </c>
      <c r="B343" s="32" t="s">
        <v>103</v>
      </c>
      <c r="C343" s="32" t="s">
        <v>3312</v>
      </c>
      <c r="D343" s="32" t="s">
        <v>3313</v>
      </c>
      <c r="E343" s="32" t="s">
        <v>3314</v>
      </c>
      <c r="F343" s="4" t="s">
        <v>3315</v>
      </c>
      <c r="G343" s="4"/>
      <c r="H343" s="4"/>
      <c r="K343" s="18"/>
      <c r="L343" s="33"/>
      <c r="M343" s="20"/>
      <c r="N343" s="20"/>
      <c r="O343" s="20"/>
      <c r="P343" s="20"/>
      <c r="Q343" s="20"/>
      <c r="R343" s="20"/>
      <c r="S343" s="20"/>
      <c r="T343" s="20"/>
      <c r="U343" s="34"/>
      <c r="AF343" s="11" t="str">
        <f t="shared" si="268"/>
        <v/>
      </c>
      <c r="AG343" s="11" t="str">
        <f t="shared" ref="AG343:AO343" si="331">if(not(isblank(M343)),", "&amp;M343,"")</f>
        <v/>
      </c>
      <c r="AH343" s="11" t="str">
        <f t="shared" si="331"/>
        <v/>
      </c>
      <c r="AI343" s="11" t="str">
        <f t="shared" si="331"/>
        <v/>
      </c>
      <c r="AJ343" s="11" t="str">
        <f t="shared" si="331"/>
        <v/>
      </c>
      <c r="AK343" s="11" t="str">
        <f t="shared" si="331"/>
        <v/>
      </c>
      <c r="AL343" s="11" t="str">
        <f t="shared" si="331"/>
        <v/>
      </c>
      <c r="AM343" s="11" t="str">
        <f t="shared" si="331"/>
        <v/>
      </c>
      <c r="AN343" s="11" t="str">
        <f t="shared" si="331"/>
        <v/>
      </c>
      <c r="AO343" s="11" t="str">
        <f t="shared" si="331"/>
        <v/>
      </c>
      <c r="AP343" s="21" t="str">
        <f t="shared" si="270"/>
        <v/>
      </c>
    </row>
    <row r="344" ht="16.5" customHeight="1">
      <c r="A344" s="32" t="s">
        <v>38</v>
      </c>
      <c r="B344" s="32" t="s">
        <v>103</v>
      </c>
      <c r="C344" s="32" t="s">
        <v>3316</v>
      </c>
      <c r="D344" s="32" t="s">
        <v>3317</v>
      </c>
      <c r="E344" s="32" t="s">
        <v>3318</v>
      </c>
      <c r="F344" s="4" t="s">
        <v>3319</v>
      </c>
      <c r="G344" s="4"/>
      <c r="H344" s="4"/>
      <c r="K344" s="18"/>
      <c r="L344" s="33"/>
      <c r="M344" s="20"/>
      <c r="N344" s="20"/>
      <c r="O344" s="20"/>
      <c r="P344" s="20"/>
      <c r="Q344" s="20"/>
      <c r="R344" s="20"/>
      <c r="S344" s="20"/>
      <c r="T344" s="20"/>
      <c r="U344" s="34"/>
      <c r="AF344" s="11" t="str">
        <f t="shared" si="268"/>
        <v/>
      </c>
      <c r="AG344" s="11" t="str">
        <f t="shared" ref="AG344:AO344" si="332">if(not(isblank(M344)),", "&amp;M344,"")</f>
        <v/>
      </c>
      <c r="AH344" s="11" t="str">
        <f t="shared" si="332"/>
        <v/>
      </c>
      <c r="AI344" s="11" t="str">
        <f t="shared" si="332"/>
        <v/>
      </c>
      <c r="AJ344" s="11" t="str">
        <f t="shared" si="332"/>
        <v/>
      </c>
      <c r="AK344" s="11" t="str">
        <f t="shared" si="332"/>
        <v/>
      </c>
      <c r="AL344" s="11" t="str">
        <f t="shared" si="332"/>
        <v/>
      </c>
      <c r="AM344" s="11" t="str">
        <f t="shared" si="332"/>
        <v/>
      </c>
      <c r="AN344" s="11" t="str">
        <f t="shared" si="332"/>
        <v/>
      </c>
      <c r="AO344" s="11" t="str">
        <f t="shared" si="332"/>
        <v/>
      </c>
      <c r="AP344" s="21" t="str">
        <f t="shared" si="270"/>
        <v/>
      </c>
    </row>
    <row r="345" ht="16.5" customHeight="1">
      <c r="A345" s="32" t="s">
        <v>38</v>
      </c>
      <c r="B345" s="32" t="s">
        <v>47</v>
      </c>
      <c r="C345" s="32" t="s">
        <v>1601</v>
      </c>
      <c r="D345" s="32" t="s">
        <v>1602</v>
      </c>
      <c r="E345" s="32" t="s">
        <v>3262</v>
      </c>
      <c r="F345" s="4" t="s">
        <v>1540</v>
      </c>
      <c r="G345" s="4" t="s">
        <v>3320</v>
      </c>
      <c r="K345" s="18"/>
      <c r="L345" s="33"/>
      <c r="M345" s="20"/>
      <c r="N345" s="20"/>
      <c r="O345" s="20"/>
      <c r="P345" s="20"/>
      <c r="Q345" s="20"/>
      <c r="R345" s="20"/>
      <c r="S345" s="20"/>
      <c r="T345" s="20"/>
      <c r="U345" s="34"/>
      <c r="AF345" s="11" t="str">
        <f t="shared" si="268"/>
        <v/>
      </c>
      <c r="AG345" s="11" t="str">
        <f t="shared" ref="AG345:AO345" si="333">if(not(isblank(M345)),", "&amp;M345,"")</f>
        <v/>
      </c>
      <c r="AH345" s="11" t="str">
        <f t="shared" si="333"/>
        <v/>
      </c>
      <c r="AI345" s="11" t="str">
        <f t="shared" si="333"/>
        <v/>
      </c>
      <c r="AJ345" s="11" t="str">
        <f t="shared" si="333"/>
        <v/>
      </c>
      <c r="AK345" s="11" t="str">
        <f t="shared" si="333"/>
        <v/>
      </c>
      <c r="AL345" s="11" t="str">
        <f t="shared" si="333"/>
        <v/>
      </c>
      <c r="AM345" s="11" t="str">
        <f t="shared" si="333"/>
        <v/>
      </c>
      <c r="AN345" s="11" t="str">
        <f t="shared" si="333"/>
        <v/>
      </c>
      <c r="AO345" s="11" t="str">
        <f t="shared" si="333"/>
        <v/>
      </c>
      <c r="AP345" s="21" t="str">
        <f t="shared" si="270"/>
        <v>nile-black, nile-chalk, nile-cashmere-natural</v>
      </c>
    </row>
    <row r="346" ht="16.5" customHeight="1">
      <c r="A346" s="32" t="s">
        <v>38</v>
      </c>
      <c r="B346" s="32" t="s">
        <v>103</v>
      </c>
      <c r="C346" s="32" t="s">
        <v>3321</v>
      </c>
      <c r="D346" s="32" t="s">
        <v>3322</v>
      </c>
      <c r="E346" s="32" t="s">
        <v>3323</v>
      </c>
      <c r="F346" s="4" t="s">
        <v>3324</v>
      </c>
      <c r="G346" s="4"/>
      <c r="H346" s="4"/>
      <c r="I346" s="11" t="s">
        <v>3325</v>
      </c>
      <c r="J346" s="11" t="s">
        <v>3326</v>
      </c>
      <c r="K346" s="18"/>
      <c r="L346" s="33"/>
      <c r="M346" s="20"/>
      <c r="N346" s="20"/>
      <c r="O346" s="20"/>
      <c r="P346" s="20"/>
      <c r="Q346" s="20"/>
      <c r="R346" s="20"/>
      <c r="S346" s="20"/>
      <c r="T346" s="20"/>
      <c r="U346" s="34"/>
      <c r="AF346" s="11" t="str">
        <f t="shared" si="268"/>
        <v/>
      </c>
      <c r="AG346" s="11" t="str">
        <f t="shared" ref="AG346:AO346" si="334">if(not(isblank(M346)),", "&amp;M346,"")</f>
        <v/>
      </c>
      <c r="AH346" s="11" t="str">
        <f t="shared" si="334"/>
        <v/>
      </c>
      <c r="AI346" s="11" t="str">
        <f t="shared" si="334"/>
        <v/>
      </c>
      <c r="AJ346" s="11" t="str">
        <f t="shared" si="334"/>
        <v/>
      </c>
      <c r="AK346" s="11" t="str">
        <f t="shared" si="334"/>
        <v/>
      </c>
      <c r="AL346" s="11" t="str">
        <f t="shared" si="334"/>
        <v/>
      </c>
      <c r="AM346" s="11" t="str">
        <f t="shared" si="334"/>
        <v/>
      </c>
      <c r="AN346" s="11" t="str">
        <f t="shared" si="334"/>
        <v/>
      </c>
      <c r="AO346" s="11" t="str">
        <f t="shared" si="334"/>
        <v/>
      </c>
      <c r="AP346" s="21" t="str">
        <f t="shared" si="270"/>
        <v/>
      </c>
    </row>
    <row r="347" ht="16.5" customHeight="1">
      <c r="A347" s="32" t="s">
        <v>38</v>
      </c>
      <c r="B347" s="32" t="s">
        <v>330</v>
      </c>
      <c r="C347" s="32" t="s">
        <v>3327</v>
      </c>
      <c r="D347" s="32" t="s">
        <v>3328</v>
      </c>
      <c r="E347" s="32" t="s">
        <v>3266</v>
      </c>
      <c r="F347" s="4" t="s">
        <v>1642</v>
      </c>
      <c r="G347" s="4" t="s">
        <v>3329</v>
      </c>
      <c r="K347" s="18"/>
      <c r="L347" s="33"/>
      <c r="M347" s="20"/>
      <c r="N347" s="20"/>
      <c r="O347" s="20"/>
      <c r="P347" s="20"/>
      <c r="Q347" s="20"/>
      <c r="R347" s="20"/>
      <c r="S347" s="20"/>
      <c r="T347" s="20"/>
      <c r="U347" s="34"/>
      <c r="AF347" s="11" t="str">
        <f t="shared" si="268"/>
        <v/>
      </c>
      <c r="AG347" s="11" t="str">
        <f t="shared" ref="AG347:AO347" si="335">if(not(isblank(M347)),", "&amp;M347,"")</f>
        <v/>
      </c>
      <c r="AH347" s="11" t="str">
        <f t="shared" si="335"/>
        <v/>
      </c>
      <c r="AI347" s="11" t="str">
        <f t="shared" si="335"/>
        <v/>
      </c>
      <c r="AJ347" s="11" t="str">
        <f t="shared" si="335"/>
        <v/>
      </c>
      <c r="AK347" s="11" t="str">
        <f t="shared" si="335"/>
        <v/>
      </c>
      <c r="AL347" s="11" t="str">
        <f t="shared" si="335"/>
        <v/>
      </c>
      <c r="AM347" s="11" t="str">
        <f t="shared" si="335"/>
        <v/>
      </c>
      <c r="AN347" s="11" t="str">
        <f t="shared" si="335"/>
        <v/>
      </c>
      <c r="AO347" s="11" t="str">
        <f t="shared" si="335"/>
        <v/>
      </c>
      <c r="AP347" s="21" t="str">
        <f t="shared" si="270"/>
        <v>mila-black, mila-grey-melange, mila-brown-stripe, mila-indigo-stripe</v>
      </c>
    </row>
    <row r="348" ht="16.5" customHeight="1">
      <c r="A348" s="32" t="s">
        <v>38</v>
      </c>
      <c r="B348" s="32" t="s">
        <v>35</v>
      </c>
      <c r="C348" s="32" t="s">
        <v>3330</v>
      </c>
      <c r="D348" s="32" t="s">
        <v>3331</v>
      </c>
      <c r="E348" s="32" t="s">
        <v>3332</v>
      </c>
      <c r="F348" s="4" t="s">
        <v>3333</v>
      </c>
      <c r="G348" s="4"/>
      <c r="H348" s="4"/>
      <c r="I348" s="11" t="s">
        <v>3334</v>
      </c>
      <c r="K348" s="18"/>
      <c r="L348" s="33"/>
      <c r="M348" s="20"/>
      <c r="N348" s="20"/>
      <c r="O348" s="20"/>
      <c r="P348" s="20"/>
      <c r="Q348" s="20"/>
      <c r="R348" s="20"/>
      <c r="S348" s="20"/>
      <c r="T348" s="20"/>
      <c r="U348" s="34"/>
      <c r="AF348" s="11" t="str">
        <f t="shared" si="268"/>
        <v/>
      </c>
      <c r="AG348" s="11" t="str">
        <f t="shared" ref="AG348:AO348" si="336">if(not(isblank(M348)),", "&amp;M348,"")</f>
        <v/>
      </c>
      <c r="AH348" s="11" t="str">
        <f t="shared" si="336"/>
        <v/>
      </c>
      <c r="AI348" s="11" t="str">
        <f t="shared" si="336"/>
        <v/>
      </c>
      <c r="AJ348" s="11" t="str">
        <f t="shared" si="336"/>
        <v/>
      </c>
      <c r="AK348" s="11" t="str">
        <f t="shared" si="336"/>
        <v/>
      </c>
      <c r="AL348" s="11" t="str">
        <f t="shared" si="336"/>
        <v/>
      </c>
      <c r="AM348" s="11" t="str">
        <f t="shared" si="336"/>
        <v/>
      </c>
      <c r="AN348" s="11" t="str">
        <f t="shared" si="336"/>
        <v/>
      </c>
      <c r="AO348" s="11" t="str">
        <f t="shared" si="336"/>
        <v/>
      </c>
      <c r="AP348" s="21" t="str">
        <f t="shared" si="270"/>
        <v/>
      </c>
    </row>
    <row r="349" ht="16.5" customHeight="1">
      <c r="A349" s="32" t="s">
        <v>38</v>
      </c>
      <c r="B349" s="32" t="s">
        <v>39</v>
      </c>
      <c r="C349" s="32" t="s">
        <v>3335</v>
      </c>
      <c r="D349" s="32" t="s">
        <v>3336</v>
      </c>
      <c r="E349" s="32" t="s">
        <v>3337</v>
      </c>
      <c r="F349" s="4" t="s">
        <v>3338</v>
      </c>
      <c r="G349" s="4"/>
      <c r="H349" s="4" t="s">
        <v>3339</v>
      </c>
      <c r="K349" s="18"/>
      <c r="L349" s="33"/>
      <c r="M349" s="20"/>
      <c r="N349" s="20"/>
      <c r="O349" s="20"/>
      <c r="P349" s="20"/>
      <c r="Q349" s="20"/>
      <c r="R349" s="20"/>
      <c r="S349" s="20"/>
      <c r="T349" s="20"/>
      <c r="U349" s="34"/>
      <c r="AF349" s="11" t="str">
        <f t="shared" si="268"/>
        <v/>
      </c>
      <c r="AG349" s="11" t="str">
        <f t="shared" ref="AG349:AO349" si="337">if(not(isblank(M349)),", "&amp;M349,"")</f>
        <v/>
      </c>
      <c r="AH349" s="11" t="str">
        <f t="shared" si="337"/>
        <v/>
      </c>
      <c r="AI349" s="11" t="str">
        <f t="shared" si="337"/>
        <v/>
      </c>
      <c r="AJ349" s="11" t="str">
        <f t="shared" si="337"/>
        <v/>
      </c>
      <c r="AK349" s="11" t="str">
        <f t="shared" si="337"/>
        <v/>
      </c>
      <c r="AL349" s="11" t="str">
        <f t="shared" si="337"/>
        <v/>
      </c>
      <c r="AM349" s="11" t="str">
        <f t="shared" si="337"/>
        <v/>
      </c>
      <c r="AN349" s="11" t="str">
        <f t="shared" si="337"/>
        <v/>
      </c>
      <c r="AO349" s="11" t="str">
        <f t="shared" si="337"/>
        <v/>
      </c>
      <c r="AP349" s="21" t="str">
        <f t="shared" si="270"/>
        <v/>
      </c>
    </row>
    <row r="350" ht="16.5" customHeight="1">
      <c r="A350" s="32" t="s">
        <v>38</v>
      </c>
      <c r="B350" s="32" t="s">
        <v>257</v>
      </c>
      <c r="C350" s="32" t="s">
        <v>1282</v>
      </c>
      <c r="D350" s="32" t="s">
        <v>1605</v>
      </c>
      <c r="E350" s="32" t="s">
        <v>3340</v>
      </c>
      <c r="F350" s="4" t="s">
        <v>3341</v>
      </c>
      <c r="G350" s="4" t="s">
        <v>1606</v>
      </c>
      <c r="H350" s="4"/>
      <c r="I350" s="11" t="s">
        <v>3342</v>
      </c>
      <c r="K350" s="18"/>
      <c r="L350" s="33"/>
      <c r="M350" s="20"/>
      <c r="N350" s="20"/>
      <c r="O350" s="20"/>
      <c r="P350" s="20"/>
      <c r="Q350" s="20"/>
      <c r="R350" s="20"/>
      <c r="S350" s="20"/>
      <c r="T350" s="20"/>
      <c r="U350" s="34"/>
      <c r="AF350" s="11" t="str">
        <f t="shared" si="268"/>
        <v/>
      </c>
      <c r="AG350" s="11" t="str">
        <f t="shared" ref="AG350:AO350" si="338">if(not(isblank(M350)),", "&amp;M350,"")</f>
        <v/>
      </c>
      <c r="AH350" s="11" t="str">
        <f t="shared" si="338"/>
        <v/>
      </c>
      <c r="AI350" s="11" t="str">
        <f t="shared" si="338"/>
        <v/>
      </c>
      <c r="AJ350" s="11" t="str">
        <f t="shared" si="338"/>
        <v/>
      </c>
      <c r="AK350" s="11" t="str">
        <f t="shared" si="338"/>
        <v/>
      </c>
      <c r="AL350" s="11" t="str">
        <f t="shared" si="338"/>
        <v/>
      </c>
      <c r="AM350" s="11" t="str">
        <f t="shared" si="338"/>
        <v/>
      </c>
      <c r="AN350" s="11" t="str">
        <f t="shared" si="338"/>
        <v/>
      </c>
      <c r="AO350" s="11" t="str">
        <f t="shared" si="338"/>
        <v/>
      </c>
      <c r="AP350" s="21" t="str">
        <f t="shared" si="270"/>
        <v>joelle-japan-dawn</v>
      </c>
    </row>
    <row r="351" ht="16.5" customHeight="1">
      <c r="A351" s="32" t="s">
        <v>38</v>
      </c>
      <c r="B351" s="32" t="s">
        <v>47</v>
      </c>
      <c r="C351" s="32" t="s">
        <v>1613</v>
      </c>
      <c r="D351" s="32" t="s">
        <v>1614</v>
      </c>
      <c r="E351" s="32" t="s">
        <v>3343</v>
      </c>
      <c r="F351" s="4" t="s">
        <v>1540</v>
      </c>
      <c r="G351" s="4" t="s">
        <v>3344</v>
      </c>
      <c r="H351" s="4" t="s">
        <v>1613</v>
      </c>
      <c r="K351" s="18"/>
      <c r="L351" s="33"/>
      <c r="M351" s="20"/>
      <c r="N351" s="20"/>
      <c r="O351" s="20"/>
      <c r="P351" s="20"/>
      <c r="Q351" s="20"/>
      <c r="R351" s="20"/>
      <c r="S351" s="20"/>
      <c r="T351" s="20"/>
      <c r="U351" s="34"/>
      <c r="AF351" s="11" t="str">
        <f t="shared" si="268"/>
        <v/>
      </c>
      <c r="AG351" s="11" t="str">
        <f t="shared" ref="AG351:AO351" si="339">if(not(isblank(M351)),", "&amp;M351,"")</f>
        <v/>
      </c>
      <c r="AH351" s="11" t="str">
        <f t="shared" si="339"/>
        <v/>
      </c>
      <c r="AI351" s="11" t="str">
        <f t="shared" si="339"/>
        <v/>
      </c>
      <c r="AJ351" s="11" t="str">
        <f t="shared" si="339"/>
        <v/>
      </c>
      <c r="AK351" s="11" t="str">
        <f t="shared" si="339"/>
        <v/>
      </c>
      <c r="AL351" s="11" t="str">
        <f t="shared" si="339"/>
        <v/>
      </c>
      <c r="AM351" s="11" t="str">
        <f t="shared" si="339"/>
        <v/>
      </c>
      <c r="AN351" s="11" t="str">
        <f t="shared" si="339"/>
        <v/>
      </c>
      <c r="AO351" s="11" t="str">
        <f t="shared" si="339"/>
        <v/>
      </c>
      <c r="AP351" s="21" t="str">
        <f t="shared" si="270"/>
        <v>nile-white, nile-black, nile-cashmere-natural</v>
      </c>
    </row>
    <row r="352" ht="16.5" customHeight="1">
      <c r="A352" s="32" t="s">
        <v>38</v>
      </c>
      <c r="B352" s="32" t="s">
        <v>257</v>
      </c>
      <c r="C352" s="32" t="s">
        <v>1606</v>
      </c>
      <c r="D352" s="32" t="s">
        <v>1619</v>
      </c>
      <c r="E352" s="32" t="s">
        <v>3345</v>
      </c>
      <c r="F352" s="4" t="s">
        <v>3346</v>
      </c>
      <c r="G352" s="4" t="s">
        <v>1282</v>
      </c>
      <c r="H352" s="4"/>
      <c r="K352" s="18"/>
      <c r="L352" s="33"/>
      <c r="M352" s="20"/>
      <c r="N352" s="20"/>
      <c r="O352" s="20"/>
      <c r="P352" s="20"/>
      <c r="Q352" s="20"/>
      <c r="R352" s="20"/>
      <c r="S352" s="20"/>
      <c r="T352" s="20"/>
      <c r="U352" s="34"/>
      <c r="AF352" s="11" t="str">
        <f t="shared" si="268"/>
        <v/>
      </c>
      <c r="AG352" s="11" t="str">
        <f t="shared" ref="AG352:AO352" si="340">if(not(isblank(M352)),", "&amp;M352,"")</f>
        <v/>
      </c>
      <c r="AH352" s="11" t="str">
        <f t="shared" si="340"/>
        <v/>
      </c>
      <c r="AI352" s="11" t="str">
        <f t="shared" si="340"/>
        <v/>
      </c>
      <c r="AJ352" s="11" t="str">
        <f t="shared" si="340"/>
        <v/>
      </c>
      <c r="AK352" s="11" t="str">
        <f t="shared" si="340"/>
        <v/>
      </c>
      <c r="AL352" s="11" t="str">
        <f t="shared" si="340"/>
        <v/>
      </c>
      <c r="AM352" s="11" t="str">
        <f t="shared" si="340"/>
        <v/>
      </c>
      <c r="AN352" s="11" t="str">
        <f t="shared" si="340"/>
        <v/>
      </c>
      <c r="AO352" s="11" t="str">
        <f t="shared" si="340"/>
        <v/>
      </c>
      <c r="AP352" s="21" t="str">
        <f t="shared" si="270"/>
        <v>joelle-japan-black</v>
      </c>
    </row>
    <row r="353" ht="16.5" customHeight="1">
      <c r="A353" s="32" t="s">
        <v>38</v>
      </c>
      <c r="B353" s="32" t="s">
        <v>257</v>
      </c>
      <c r="C353" s="32" t="s">
        <v>1539</v>
      </c>
      <c r="D353" s="32" t="s">
        <v>1628</v>
      </c>
      <c r="E353" s="32" t="s">
        <v>3347</v>
      </c>
      <c r="F353" s="4" t="s">
        <v>1630</v>
      </c>
      <c r="G353" s="4" t="s">
        <v>3348</v>
      </c>
      <c r="K353" s="18"/>
      <c r="L353" s="33"/>
      <c r="M353" s="20"/>
      <c r="N353" s="20"/>
      <c r="O353" s="20"/>
      <c r="P353" s="20"/>
      <c r="Q353" s="20"/>
      <c r="R353" s="20"/>
      <c r="S353" s="20"/>
      <c r="T353" s="20"/>
      <c r="U353" s="34"/>
      <c r="AF353" s="11" t="str">
        <f t="shared" si="268"/>
        <v/>
      </c>
      <c r="AG353" s="11" t="str">
        <f t="shared" ref="AG353:AO353" si="341">if(not(isblank(M353)),", "&amp;M353,"")</f>
        <v/>
      </c>
      <c r="AH353" s="11" t="str">
        <f t="shared" si="341"/>
        <v/>
      </c>
      <c r="AI353" s="11" t="str">
        <f t="shared" si="341"/>
        <v/>
      </c>
      <c r="AJ353" s="11" t="str">
        <f t="shared" si="341"/>
        <v/>
      </c>
      <c r="AK353" s="11" t="str">
        <f t="shared" si="341"/>
        <v/>
      </c>
      <c r="AL353" s="11" t="str">
        <f t="shared" si="341"/>
        <v/>
      </c>
      <c r="AM353" s="11" t="str">
        <f t="shared" si="341"/>
        <v/>
      </c>
      <c r="AN353" s="11" t="str">
        <f t="shared" si="341"/>
        <v/>
      </c>
      <c r="AO353" s="11" t="str">
        <f t="shared" si="341"/>
        <v/>
      </c>
      <c r="AP353" s="21" t="str">
        <f t="shared" si="270"/>
        <v>keri-japan-black, keri-japan-broken, keri-japan-fog, keri-japan-gravel</v>
      </c>
    </row>
    <row r="354" ht="16.5" customHeight="1">
      <c r="A354" s="32" t="s">
        <v>38</v>
      </c>
      <c r="B354" s="32" t="s">
        <v>3304</v>
      </c>
      <c r="C354" s="32" t="s">
        <v>3349</v>
      </c>
      <c r="D354" s="32" t="s">
        <v>3350</v>
      </c>
      <c r="E354" s="36"/>
      <c r="F354" s="4"/>
      <c r="G354" s="4"/>
      <c r="H354" s="4"/>
      <c r="K354" s="18"/>
      <c r="L354" s="33"/>
      <c r="M354" s="20"/>
      <c r="N354" s="20"/>
      <c r="O354" s="20"/>
      <c r="P354" s="20"/>
      <c r="Q354" s="20"/>
      <c r="R354" s="20"/>
      <c r="S354" s="20"/>
      <c r="T354" s="20"/>
      <c r="U354" s="34"/>
      <c r="AF354" s="11" t="str">
        <f t="shared" si="268"/>
        <v/>
      </c>
      <c r="AG354" s="11" t="str">
        <f t="shared" ref="AG354:AO354" si="342">if(not(isblank(M354)),", "&amp;M354,"")</f>
        <v/>
      </c>
      <c r="AH354" s="11" t="str">
        <f t="shared" si="342"/>
        <v/>
      </c>
      <c r="AI354" s="11" t="str">
        <f t="shared" si="342"/>
        <v/>
      </c>
      <c r="AJ354" s="11" t="str">
        <f t="shared" si="342"/>
        <v/>
      </c>
      <c r="AK354" s="11" t="str">
        <f t="shared" si="342"/>
        <v/>
      </c>
      <c r="AL354" s="11" t="str">
        <f t="shared" si="342"/>
        <v/>
      </c>
      <c r="AM354" s="11" t="str">
        <f t="shared" si="342"/>
        <v/>
      </c>
      <c r="AN354" s="11" t="str">
        <f t="shared" si="342"/>
        <v/>
      </c>
      <c r="AO354" s="11" t="str">
        <f t="shared" si="342"/>
        <v/>
      </c>
      <c r="AP354" s="21" t="str">
        <f t="shared" si="270"/>
        <v/>
      </c>
    </row>
    <row r="355" ht="16.5" customHeight="1">
      <c r="A355" s="32" t="s">
        <v>38</v>
      </c>
      <c r="B355" s="32" t="s">
        <v>330</v>
      </c>
      <c r="C355" s="32" t="s">
        <v>1639</v>
      </c>
      <c r="D355" s="32" t="s">
        <v>1640</v>
      </c>
      <c r="E355" s="32" t="s">
        <v>3266</v>
      </c>
      <c r="F355" s="4" t="s">
        <v>1642</v>
      </c>
      <c r="G355" s="4" t="s">
        <v>3351</v>
      </c>
      <c r="H355" s="4" t="s">
        <v>3352</v>
      </c>
      <c r="K355" s="18"/>
      <c r="L355" s="33"/>
      <c r="M355" s="20"/>
      <c r="N355" s="20"/>
      <c r="O355" s="20"/>
      <c r="P355" s="20"/>
      <c r="Q355" s="20"/>
      <c r="R355" s="20"/>
      <c r="S355" s="20"/>
      <c r="T355" s="20"/>
      <c r="U355" s="34"/>
      <c r="AF355" s="11" t="str">
        <f t="shared" si="268"/>
        <v/>
      </c>
      <c r="AG355" s="11" t="str">
        <f t="shared" ref="AG355:AO355" si="343">if(not(isblank(M355)),", "&amp;M355,"")</f>
        <v/>
      </c>
      <c r="AH355" s="11" t="str">
        <f t="shared" si="343"/>
        <v/>
      </c>
      <c r="AI355" s="11" t="str">
        <f t="shared" si="343"/>
        <v/>
      </c>
      <c r="AJ355" s="11" t="str">
        <f t="shared" si="343"/>
        <v/>
      </c>
      <c r="AK355" s="11" t="str">
        <f t="shared" si="343"/>
        <v/>
      </c>
      <c r="AL355" s="11" t="str">
        <f t="shared" si="343"/>
        <v/>
      </c>
      <c r="AM355" s="11" t="str">
        <f t="shared" si="343"/>
        <v/>
      </c>
      <c r="AN355" s="11" t="str">
        <f t="shared" si="343"/>
        <v/>
      </c>
      <c r="AO355" s="11" t="str">
        <f t="shared" si="343"/>
        <v/>
      </c>
      <c r="AP355" s="21" t="str">
        <f t="shared" si="270"/>
        <v>mila-black, mila-black-1, mila-brown-stripe, mila-indigo-stripe</v>
      </c>
    </row>
    <row r="356" ht="16.5" customHeight="1">
      <c r="A356" s="32" t="s">
        <v>38</v>
      </c>
      <c r="B356" s="32" t="s">
        <v>39</v>
      </c>
      <c r="C356" s="32" t="s">
        <v>3353</v>
      </c>
      <c r="D356" s="32" t="s">
        <v>3354</v>
      </c>
      <c r="E356" s="32" t="s">
        <v>3355</v>
      </c>
      <c r="F356" s="4" t="s">
        <v>3356</v>
      </c>
      <c r="G356" s="4" t="s">
        <v>3357</v>
      </c>
      <c r="H356" s="4" t="s">
        <v>3358</v>
      </c>
      <c r="K356" s="18"/>
      <c r="L356" s="33"/>
      <c r="M356" s="20"/>
      <c r="N356" s="20"/>
      <c r="O356" s="20"/>
      <c r="P356" s="20"/>
      <c r="Q356" s="20"/>
      <c r="R356" s="20"/>
      <c r="S356" s="20"/>
      <c r="T356" s="20"/>
      <c r="U356" s="34"/>
      <c r="AF356" s="11" t="str">
        <f t="shared" si="268"/>
        <v/>
      </c>
      <c r="AG356" s="11" t="str">
        <f t="shared" ref="AG356:AO356" si="344">if(not(isblank(M356)),", "&amp;M356,"")</f>
        <v/>
      </c>
      <c r="AH356" s="11" t="str">
        <f t="shared" si="344"/>
        <v/>
      </c>
      <c r="AI356" s="11" t="str">
        <f t="shared" si="344"/>
        <v/>
      </c>
      <c r="AJ356" s="11" t="str">
        <f t="shared" si="344"/>
        <v/>
      </c>
      <c r="AK356" s="11" t="str">
        <f t="shared" si="344"/>
        <v/>
      </c>
      <c r="AL356" s="11" t="str">
        <f t="shared" si="344"/>
        <v/>
      </c>
      <c r="AM356" s="11" t="str">
        <f t="shared" si="344"/>
        <v/>
      </c>
      <c r="AN356" s="11" t="str">
        <f t="shared" si="344"/>
        <v/>
      </c>
      <c r="AO356" s="11" t="str">
        <f t="shared" si="344"/>
        <v/>
      </c>
      <c r="AP356" s="21" t="str">
        <f t="shared" si="270"/>
        <v>aiden-black-ox, aiden-blue-check-pop, aiden-brown-stripe-pop, aiden-eclipse-stripe-poplin, aiden-grey-oxford, aiden-japan-shadow, aiden-milk-check</v>
      </c>
    </row>
    <row r="357" ht="16.5" customHeight="1">
      <c r="A357" s="32" t="s">
        <v>38</v>
      </c>
      <c r="B357" s="32" t="s">
        <v>52</v>
      </c>
      <c r="C357" s="32" t="s">
        <v>3359</v>
      </c>
      <c r="D357" s="32" t="s">
        <v>3360</v>
      </c>
      <c r="E357" s="32" t="s">
        <v>3361</v>
      </c>
      <c r="F357" s="4" t="s">
        <v>3362</v>
      </c>
      <c r="G357" s="4"/>
      <c r="H357" s="4"/>
      <c r="K357" s="18"/>
      <c r="L357" s="33"/>
      <c r="M357" s="20"/>
      <c r="N357" s="20"/>
      <c r="O357" s="20"/>
      <c r="P357" s="20"/>
      <c r="Q357" s="20"/>
      <c r="R357" s="20"/>
      <c r="S357" s="20"/>
      <c r="T357" s="20"/>
      <c r="U357" s="34"/>
      <c r="AF357" s="11" t="str">
        <f t="shared" si="268"/>
        <v/>
      </c>
      <c r="AG357" s="11" t="str">
        <f t="shared" ref="AG357:AO357" si="345">if(not(isblank(M357)),", "&amp;M357,"")</f>
        <v/>
      </c>
      <c r="AH357" s="11" t="str">
        <f t="shared" si="345"/>
        <v/>
      </c>
      <c r="AI357" s="11" t="str">
        <f t="shared" si="345"/>
        <v/>
      </c>
      <c r="AJ357" s="11" t="str">
        <f t="shared" si="345"/>
        <v/>
      </c>
      <c r="AK357" s="11" t="str">
        <f t="shared" si="345"/>
        <v/>
      </c>
      <c r="AL357" s="11" t="str">
        <f t="shared" si="345"/>
        <v/>
      </c>
      <c r="AM357" s="11" t="str">
        <f t="shared" si="345"/>
        <v/>
      </c>
      <c r="AN357" s="11" t="str">
        <f t="shared" si="345"/>
        <v/>
      </c>
      <c r="AO357" s="11" t="str">
        <f t="shared" si="345"/>
        <v/>
      </c>
      <c r="AP357" s="21" t="str">
        <f t="shared" si="270"/>
        <v/>
      </c>
    </row>
    <row r="358" ht="16.5" customHeight="1">
      <c r="A358" s="32" t="s">
        <v>38</v>
      </c>
      <c r="B358" s="32" t="s">
        <v>35</v>
      </c>
      <c r="C358" s="32" t="s">
        <v>3363</v>
      </c>
      <c r="D358" s="32" t="s">
        <v>3364</v>
      </c>
      <c r="E358" s="32" t="s">
        <v>3365</v>
      </c>
      <c r="F358" s="4" t="s">
        <v>3366</v>
      </c>
      <c r="G358" s="4" t="s">
        <v>3367</v>
      </c>
      <c r="H358" s="4" t="s">
        <v>1706</v>
      </c>
      <c r="K358" s="18"/>
      <c r="L358" s="33"/>
      <c r="M358" s="20"/>
      <c r="N358" s="20"/>
      <c r="O358" s="20"/>
      <c r="P358" s="20"/>
      <c r="Q358" s="20"/>
      <c r="R358" s="20"/>
      <c r="S358" s="20"/>
      <c r="T358" s="20"/>
      <c r="U358" s="34"/>
      <c r="AF358" s="11" t="str">
        <f t="shared" si="268"/>
        <v/>
      </c>
      <c r="AG358" s="11" t="str">
        <f t="shared" ref="AG358:AO358" si="346">if(not(isblank(M358)),", "&amp;M358,"")</f>
        <v/>
      </c>
      <c r="AH358" s="11" t="str">
        <f t="shared" si="346"/>
        <v/>
      </c>
      <c r="AI358" s="11" t="str">
        <f t="shared" si="346"/>
        <v/>
      </c>
      <c r="AJ358" s="11" t="str">
        <f t="shared" si="346"/>
        <v/>
      </c>
      <c r="AK358" s="11" t="str">
        <f t="shared" si="346"/>
        <v/>
      </c>
      <c r="AL358" s="11" t="str">
        <f t="shared" si="346"/>
        <v/>
      </c>
      <c r="AM358" s="11" t="str">
        <f t="shared" si="346"/>
        <v/>
      </c>
      <c r="AN358" s="11" t="str">
        <f t="shared" si="346"/>
        <v/>
      </c>
      <c r="AO358" s="11" t="str">
        <f t="shared" si="346"/>
        <v/>
      </c>
      <c r="AP358" s="21" t="str">
        <f t="shared" si="270"/>
        <v>abby-chestnut, abby-white</v>
      </c>
    </row>
    <row r="359" ht="16.5" customHeight="1">
      <c r="A359" s="32" t="s">
        <v>38</v>
      </c>
      <c r="B359" s="32" t="s">
        <v>35</v>
      </c>
      <c r="C359" s="32" t="s">
        <v>3368</v>
      </c>
      <c r="D359" s="32" t="s">
        <v>3369</v>
      </c>
      <c r="E359" s="32" t="s">
        <v>3370</v>
      </c>
      <c r="F359" s="4" t="s">
        <v>3371</v>
      </c>
      <c r="G359" s="4" t="s">
        <v>3372</v>
      </c>
      <c r="H359" s="4" t="s">
        <v>3373</v>
      </c>
      <c r="K359" s="18"/>
      <c r="L359" s="33"/>
      <c r="M359" s="20"/>
      <c r="N359" s="20"/>
      <c r="O359" s="20"/>
      <c r="P359" s="20"/>
      <c r="Q359" s="20"/>
      <c r="R359" s="20"/>
      <c r="S359" s="20"/>
      <c r="T359" s="20"/>
      <c r="U359" s="34"/>
      <c r="AF359" s="11" t="str">
        <f t="shared" si="268"/>
        <v/>
      </c>
      <c r="AG359" s="11" t="str">
        <f t="shared" ref="AG359:AO359" si="347">if(not(isblank(M359)),", "&amp;M359,"")</f>
        <v/>
      </c>
      <c r="AH359" s="11" t="str">
        <f t="shared" si="347"/>
        <v/>
      </c>
      <c r="AI359" s="11" t="str">
        <f t="shared" si="347"/>
        <v/>
      </c>
      <c r="AJ359" s="11" t="str">
        <f t="shared" si="347"/>
        <v/>
      </c>
      <c r="AK359" s="11" t="str">
        <f t="shared" si="347"/>
        <v/>
      </c>
      <c r="AL359" s="11" t="str">
        <f t="shared" si="347"/>
        <v/>
      </c>
      <c r="AM359" s="11" t="str">
        <f t="shared" si="347"/>
        <v/>
      </c>
      <c r="AN359" s="11" t="str">
        <f t="shared" si="347"/>
        <v/>
      </c>
      <c r="AO359" s="11" t="str">
        <f t="shared" si="347"/>
        <v/>
      </c>
      <c r="AP359" s="21" t="str">
        <f t="shared" si="270"/>
        <v>abby-green-stripe, abby-chestnut</v>
      </c>
    </row>
    <row r="360" ht="16.5" customHeight="1">
      <c r="A360" s="32" t="s">
        <v>38</v>
      </c>
      <c r="B360" s="32" t="s">
        <v>39</v>
      </c>
      <c r="C360" s="32" t="s">
        <v>3374</v>
      </c>
      <c r="D360" s="32" t="s">
        <v>3375</v>
      </c>
      <c r="E360" s="32" t="s">
        <v>3376</v>
      </c>
      <c r="F360" s="4" t="s">
        <v>3377</v>
      </c>
      <c r="G360" s="4" t="s">
        <v>3378</v>
      </c>
      <c r="H360" s="4" t="s">
        <v>3379</v>
      </c>
      <c r="K360" s="18"/>
      <c r="L360" s="33"/>
      <c r="M360" s="20"/>
      <c r="N360" s="20"/>
      <c r="O360" s="20"/>
      <c r="P360" s="20"/>
      <c r="Q360" s="20"/>
      <c r="R360" s="20"/>
      <c r="S360" s="20"/>
      <c r="T360" s="20"/>
      <c r="U360" s="34"/>
      <c r="AF360" s="11" t="str">
        <f t="shared" si="268"/>
        <v/>
      </c>
      <c r="AG360" s="11" t="str">
        <f t="shared" ref="AG360:AO360" si="348">if(not(isblank(M360)),", "&amp;M360,"")</f>
        <v/>
      </c>
      <c r="AH360" s="11" t="str">
        <f t="shared" si="348"/>
        <v/>
      </c>
      <c r="AI360" s="11" t="str">
        <f t="shared" si="348"/>
        <v/>
      </c>
      <c r="AJ360" s="11" t="str">
        <f t="shared" si="348"/>
        <v/>
      </c>
      <c r="AK360" s="11" t="str">
        <f t="shared" si="348"/>
        <v/>
      </c>
      <c r="AL360" s="11" t="str">
        <f t="shared" si="348"/>
        <v/>
      </c>
      <c r="AM360" s="11" t="str">
        <f t="shared" si="348"/>
        <v/>
      </c>
      <c r="AN360" s="11" t="str">
        <f t="shared" si="348"/>
        <v/>
      </c>
      <c r="AO360" s="11" t="str">
        <f t="shared" si="348"/>
        <v/>
      </c>
      <c r="AP360" s="21" t="str">
        <f t="shared" si="270"/>
        <v>aiden-black-ox, aiden-blue-check-pop, aiden-brown-stripe-pop, aiden-grey-oxford, aiden-japan-shadow, aiden-milk-check, aiden-white-ox</v>
      </c>
    </row>
    <row r="361" ht="16.5" customHeight="1">
      <c r="A361" s="32" t="s">
        <v>38</v>
      </c>
      <c r="B361" s="32" t="s">
        <v>39</v>
      </c>
      <c r="C361" s="32" t="s">
        <v>2678</v>
      </c>
      <c r="D361" s="32" t="s">
        <v>3380</v>
      </c>
      <c r="E361" s="32" t="s">
        <v>3381</v>
      </c>
      <c r="F361" s="4" t="s">
        <v>3382</v>
      </c>
      <c r="G361" s="4" t="s">
        <v>3383</v>
      </c>
      <c r="H361" s="4" t="s">
        <v>1706</v>
      </c>
      <c r="K361" s="18"/>
      <c r="L361" s="33"/>
      <c r="M361" s="20"/>
      <c r="N361" s="20"/>
      <c r="O361" s="20"/>
      <c r="P361" s="20"/>
      <c r="Q361" s="20"/>
      <c r="R361" s="20"/>
      <c r="S361" s="20"/>
      <c r="T361" s="20"/>
      <c r="U361" s="34"/>
      <c r="AF361" s="11" t="str">
        <f t="shared" si="268"/>
        <v/>
      </c>
      <c r="AG361" s="11" t="str">
        <f t="shared" ref="AG361:AO361" si="349">if(not(isblank(M361)),", "&amp;M361,"")</f>
        <v/>
      </c>
      <c r="AH361" s="11" t="str">
        <f t="shared" si="349"/>
        <v/>
      </c>
      <c r="AI361" s="11" t="str">
        <f t="shared" si="349"/>
        <v/>
      </c>
      <c r="AJ361" s="11" t="str">
        <f t="shared" si="349"/>
        <v/>
      </c>
      <c r="AK361" s="11" t="str">
        <f t="shared" si="349"/>
        <v/>
      </c>
      <c r="AL361" s="11" t="str">
        <f t="shared" si="349"/>
        <v/>
      </c>
      <c r="AM361" s="11" t="str">
        <f t="shared" si="349"/>
        <v/>
      </c>
      <c r="AN361" s="11" t="str">
        <f t="shared" si="349"/>
        <v/>
      </c>
      <c r="AO361" s="11" t="str">
        <f t="shared" si="349"/>
        <v/>
      </c>
      <c r="AP361" s="21" t="str">
        <f t="shared" si="270"/>
        <v>aiden-black-ox, aiden-blue-check-pop, aiden-brown-stripe-pop, aiden-eclipse-stripe-poplin, aiden-japan-shadow, aiden-milk-check, aiden-white-ox</v>
      </c>
    </row>
    <row r="362" ht="16.5" customHeight="1">
      <c r="A362" s="32" t="s">
        <v>38</v>
      </c>
      <c r="B362" s="32" t="s">
        <v>103</v>
      </c>
      <c r="C362" s="32" t="s">
        <v>1645</v>
      </c>
      <c r="D362" s="32" t="s">
        <v>1646</v>
      </c>
      <c r="E362" s="32" t="s">
        <v>3384</v>
      </c>
      <c r="F362" s="4" t="s">
        <v>1647</v>
      </c>
      <c r="G362" s="4"/>
      <c r="H362" s="4"/>
      <c r="K362" s="18"/>
      <c r="L362" s="33"/>
      <c r="M362" s="20"/>
      <c r="N362" s="20"/>
      <c r="O362" s="20"/>
      <c r="P362" s="20"/>
      <c r="Q362" s="20"/>
      <c r="R362" s="20"/>
      <c r="S362" s="20"/>
      <c r="T362" s="20"/>
      <c r="U362" s="34"/>
      <c r="AF362" s="11" t="str">
        <f t="shared" si="268"/>
        <v/>
      </c>
      <c r="AG362" s="11" t="str">
        <f t="shared" ref="AG362:AO362" si="350">if(not(isblank(M362)),", "&amp;M362,"")</f>
        <v/>
      </c>
      <c r="AH362" s="11" t="str">
        <f t="shared" si="350"/>
        <v/>
      </c>
      <c r="AI362" s="11" t="str">
        <f t="shared" si="350"/>
        <v/>
      </c>
      <c r="AJ362" s="11" t="str">
        <f t="shared" si="350"/>
        <v/>
      </c>
      <c r="AK362" s="11" t="str">
        <f t="shared" si="350"/>
        <v/>
      </c>
      <c r="AL362" s="11" t="str">
        <f t="shared" si="350"/>
        <v/>
      </c>
      <c r="AM362" s="11" t="str">
        <f t="shared" si="350"/>
        <v/>
      </c>
      <c r="AN362" s="11" t="str">
        <f t="shared" si="350"/>
        <v/>
      </c>
      <c r="AO362" s="11" t="str">
        <f t="shared" si="350"/>
        <v/>
      </c>
      <c r="AP362" s="21" t="str">
        <f t="shared" si="270"/>
        <v/>
      </c>
    </row>
    <row r="363" ht="16.5" customHeight="1">
      <c r="A363" s="32" t="s">
        <v>38</v>
      </c>
      <c r="B363" s="32" t="s">
        <v>277</v>
      </c>
      <c r="C363" s="32" t="s">
        <v>278</v>
      </c>
      <c r="D363" s="32" t="s">
        <v>3385</v>
      </c>
      <c r="E363" s="32" t="s">
        <v>3386</v>
      </c>
      <c r="F363" s="4" t="s">
        <v>280</v>
      </c>
      <c r="G363" s="4"/>
      <c r="H363" s="4" t="s">
        <v>3387</v>
      </c>
      <c r="K363" s="18"/>
      <c r="L363" s="33"/>
      <c r="M363" s="20"/>
      <c r="N363" s="20"/>
      <c r="O363" s="20"/>
      <c r="P363" s="20"/>
      <c r="Q363" s="20"/>
      <c r="R363" s="20"/>
      <c r="S363" s="20"/>
      <c r="T363" s="20"/>
      <c r="U363" s="34"/>
      <c r="AF363" s="11" t="str">
        <f t="shared" si="268"/>
        <v/>
      </c>
      <c r="AG363" s="11" t="str">
        <f t="shared" ref="AG363:AO363" si="351">if(not(isblank(M363)),", "&amp;M363,"")</f>
        <v/>
      </c>
      <c r="AH363" s="11" t="str">
        <f t="shared" si="351"/>
        <v/>
      </c>
      <c r="AI363" s="11" t="str">
        <f t="shared" si="351"/>
        <v/>
      </c>
      <c r="AJ363" s="11" t="str">
        <f t="shared" si="351"/>
        <v/>
      </c>
      <c r="AK363" s="11" t="str">
        <f t="shared" si="351"/>
        <v/>
      </c>
      <c r="AL363" s="11" t="str">
        <f t="shared" si="351"/>
        <v/>
      </c>
      <c r="AM363" s="11" t="str">
        <f t="shared" si="351"/>
        <v/>
      </c>
      <c r="AN363" s="11" t="str">
        <f t="shared" si="351"/>
        <v/>
      </c>
      <c r="AO363" s="11" t="str">
        <f t="shared" si="351"/>
        <v/>
      </c>
      <c r="AP363" s="21" t="str">
        <f t="shared" si="270"/>
        <v/>
      </c>
    </row>
    <row r="364" ht="16.5" customHeight="1">
      <c r="A364" s="32" t="s">
        <v>38</v>
      </c>
      <c r="B364" s="32" t="s">
        <v>324</v>
      </c>
      <c r="C364" s="32" t="s">
        <v>1660</v>
      </c>
      <c r="D364" s="32" t="s">
        <v>1661</v>
      </c>
      <c r="E364" s="32" t="s">
        <v>3388</v>
      </c>
      <c r="F364" s="4" t="s">
        <v>1662</v>
      </c>
      <c r="G364" s="4"/>
      <c r="H364" s="4" t="s">
        <v>1536</v>
      </c>
      <c r="K364" s="18"/>
      <c r="L364" s="33"/>
      <c r="M364" s="20"/>
      <c r="N364" s="20"/>
      <c r="O364" s="20"/>
      <c r="P364" s="20"/>
      <c r="Q364" s="20"/>
      <c r="R364" s="20"/>
      <c r="S364" s="20"/>
      <c r="T364" s="20"/>
      <c r="U364" s="34"/>
      <c r="AF364" s="11" t="str">
        <f t="shared" si="268"/>
        <v/>
      </c>
      <c r="AG364" s="11" t="str">
        <f t="shared" ref="AG364:AO364" si="352">if(not(isblank(M364)),", "&amp;M364,"")</f>
        <v/>
      </c>
      <c r="AH364" s="11" t="str">
        <f t="shared" si="352"/>
        <v/>
      </c>
      <c r="AI364" s="11" t="str">
        <f t="shared" si="352"/>
        <v/>
      </c>
      <c r="AJ364" s="11" t="str">
        <f t="shared" si="352"/>
        <v/>
      </c>
      <c r="AK364" s="11" t="str">
        <f t="shared" si="352"/>
        <v/>
      </c>
      <c r="AL364" s="11" t="str">
        <f t="shared" si="352"/>
        <v/>
      </c>
      <c r="AM364" s="11" t="str">
        <f t="shared" si="352"/>
        <v/>
      </c>
      <c r="AN364" s="11" t="str">
        <f t="shared" si="352"/>
        <v/>
      </c>
      <c r="AO364" s="11" t="str">
        <f t="shared" si="352"/>
        <v/>
      </c>
      <c r="AP364" s="21" t="str">
        <f t="shared" si="270"/>
        <v/>
      </c>
    </row>
    <row r="365" ht="16.5" customHeight="1">
      <c r="A365" s="32" t="s">
        <v>38</v>
      </c>
      <c r="B365" s="32" t="s">
        <v>39</v>
      </c>
      <c r="C365" s="32" t="s">
        <v>1678</v>
      </c>
      <c r="D365" s="32" t="s">
        <v>1679</v>
      </c>
      <c r="E365" s="32" t="s">
        <v>3389</v>
      </c>
      <c r="F365" s="4" t="s">
        <v>1681</v>
      </c>
      <c r="G365" s="4"/>
      <c r="H365" s="4" t="s">
        <v>1680</v>
      </c>
      <c r="K365" s="18"/>
      <c r="L365" s="33"/>
      <c r="M365" s="20"/>
      <c r="N365" s="20"/>
      <c r="O365" s="20"/>
      <c r="P365" s="20"/>
      <c r="Q365" s="20"/>
      <c r="R365" s="20"/>
      <c r="S365" s="20"/>
      <c r="T365" s="20"/>
      <c r="U365" s="34"/>
      <c r="AF365" s="11" t="str">
        <f t="shared" si="268"/>
        <v/>
      </c>
      <c r="AG365" s="11" t="str">
        <f t="shared" ref="AG365:AO365" si="353">if(not(isblank(M365)),", "&amp;M365,"")</f>
        <v/>
      </c>
      <c r="AH365" s="11" t="str">
        <f t="shared" si="353"/>
        <v/>
      </c>
      <c r="AI365" s="11" t="str">
        <f t="shared" si="353"/>
        <v/>
      </c>
      <c r="AJ365" s="11" t="str">
        <f t="shared" si="353"/>
        <v/>
      </c>
      <c r="AK365" s="11" t="str">
        <f t="shared" si="353"/>
        <v/>
      </c>
      <c r="AL365" s="11" t="str">
        <f t="shared" si="353"/>
        <v/>
      </c>
      <c r="AM365" s="11" t="str">
        <f t="shared" si="353"/>
        <v/>
      </c>
      <c r="AN365" s="11" t="str">
        <f t="shared" si="353"/>
        <v/>
      </c>
      <c r="AO365" s="11" t="str">
        <f t="shared" si="353"/>
        <v/>
      </c>
      <c r="AP365" s="21" t="str">
        <f t="shared" si="270"/>
        <v/>
      </c>
    </row>
    <row r="366" ht="16.5" customHeight="1">
      <c r="A366" s="32" t="s">
        <v>38</v>
      </c>
      <c r="B366" s="32" t="s">
        <v>257</v>
      </c>
      <c r="C366" s="32" t="s">
        <v>1775</v>
      </c>
      <c r="D366" s="32" t="s">
        <v>3390</v>
      </c>
      <c r="E366" s="32" t="s">
        <v>3391</v>
      </c>
      <c r="F366" s="4" t="s">
        <v>3392</v>
      </c>
      <c r="G366" s="4" t="s">
        <v>3393</v>
      </c>
      <c r="K366" s="18"/>
      <c r="L366" s="33"/>
      <c r="M366" s="20"/>
      <c r="N366" s="20"/>
      <c r="O366" s="20"/>
      <c r="P366" s="20"/>
      <c r="Q366" s="20"/>
      <c r="R366" s="20"/>
      <c r="S366" s="20"/>
      <c r="T366" s="20"/>
      <c r="U366" s="34"/>
      <c r="AF366" s="11" t="str">
        <f t="shared" si="268"/>
        <v/>
      </c>
      <c r="AG366" s="11" t="str">
        <f t="shared" ref="AG366:AO366" si="354">if(not(isblank(M366)),", "&amp;M366,"")</f>
        <v/>
      </c>
      <c r="AH366" s="11" t="str">
        <f t="shared" si="354"/>
        <v/>
      </c>
      <c r="AI366" s="11" t="str">
        <f t="shared" si="354"/>
        <v/>
      </c>
      <c r="AJ366" s="11" t="str">
        <f t="shared" si="354"/>
        <v/>
      </c>
      <c r="AK366" s="11" t="str">
        <f t="shared" si="354"/>
        <v/>
      </c>
      <c r="AL366" s="11" t="str">
        <f t="shared" si="354"/>
        <v/>
      </c>
      <c r="AM366" s="11" t="str">
        <f t="shared" si="354"/>
        <v/>
      </c>
      <c r="AN366" s="11" t="str">
        <f t="shared" si="354"/>
        <v/>
      </c>
      <c r="AO366" s="11" t="str">
        <f t="shared" si="354"/>
        <v/>
      </c>
      <c r="AP366" s="21" t="str">
        <f t="shared" si="270"/>
        <v>faye-japan-dawn, faye-japan-shadow</v>
      </c>
    </row>
    <row r="367" ht="16.5" customHeight="1">
      <c r="A367" s="32" t="s">
        <v>38</v>
      </c>
      <c r="B367" s="32" t="s">
        <v>103</v>
      </c>
      <c r="C367" s="32" t="s">
        <v>1693</v>
      </c>
      <c r="D367" s="32" t="s">
        <v>1694</v>
      </c>
      <c r="E367" s="32" t="s">
        <v>3394</v>
      </c>
      <c r="F367" s="4" t="s">
        <v>1696</v>
      </c>
      <c r="G367" s="4"/>
      <c r="H367" s="4" t="s">
        <v>1695</v>
      </c>
      <c r="K367" s="18"/>
      <c r="L367" s="33"/>
      <c r="M367" s="20"/>
      <c r="N367" s="20"/>
      <c r="O367" s="20"/>
      <c r="P367" s="20"/>
      <c r="Q367" s="20"/>
      <c r="R367" s="20"/>
      <c r="S367" s="20"/>
      <c r="T367" s="20"/>
      <c r="U367" s="34"/>
      <c r="AF367" s="11" t="str">
        <f t="shared" si="268"/>
        <v/>
      </c>
      <c r="AG367" s="11" t="str">
        <f t="shared" ref="AG367:AO367" si="355">if(not(isblank(M367)),", "&amp;M367,"")</f>
        <v/>
      </c>
      <c r="AH367" s="11" t="str">
        <f t="shared" si="355"/>
        <v/>
      </c>
      <c r="AI367" s="11" t="str">
        <f t="shared" si="355"/>
        <v/>
      </c>
      <c r="AJ367" s="11" t="str">
        <f t="shared" si="355"/>
        <v/>
      </c>
      <c r="AK367" s="11" t="str">
        <f t="shared" si="355"/>
        <v/>
      </c>
      <c r="AL367" s="11" t="str">
        <f t="shared" si="355"/>
        <v/>
      </c>
      <c r="AM367" s="11" t="str">
        <f t="shared" si="355"/>
        <v/>
      </c>
      <c r="AN367" s="11" t="str">
        <f t="shared" si="355"/>
        <v/>
      </c>
      <c r="AO367" s="11" t="str">
        <f t="shared" si="355"/>
        <v/>
      </c>
      <c r="AP367" s="21" t="str">
        <f t="shared" si="270"/>
        <v/>
      </c>
    </row>
    <row r="368" ht="16.5" customHeight="1">
      <c r="A368" s="32" t="s">
        <v>38</v>
      </c>
      <c r="B368" s="32" t="s">
        <v>35</v>
      </c>
      <c r="C368" s="32" t="s">
        <v>3395</v>
      </c>
      <c r="D368" s="32" t="s">
        <v>3396</v>
      </c>
      <c r="E368" s="32" t="s">
        <v>3397</v>
      </c>
      <c r="F368" s="4" t="s">
        <v>3398</v>
      </c>
      <c r="G368" s="4" t="s">
        <v>3399</v>
      </c>
      <c r="H368" s="4" t="s">
        <v>3226</v>
      </c>
      <c r="K368" s="18"/>
      <c r="L368" s="33"/>
      <c r="M368" s="20"/>
      <c r="N368" s="20"/>
      <c r="O368" s="20"/>
      <c r="P368" s="20"/>
      <c r="Q368" s="20"/>
      <c r="R368" s="20"/>
      <c r="S368" s="20"/>
      <c r="T368" s="20"/>
      <c r="U368" s="34"/>
      <c r="AF368" s="11" t="str">
        <f t="shared" si="268"/>
        <v/>
      </c>
      <c r="AG368" s="11" t="str">
        <f t="shared" ref="AG368:AO368" si="356">if(not(isblank(M368)),", "&amp;M368,"")</f>
        <v/>
      </c>
      <c r="AH368" s="11" t="str">
        <f t="shared" si="356"/>
        <v/>
      </c>
      <c r="AI368" s="11" t="str">
        <f t="shared" si="356"/>
        <v/>
      </c>
      <c r="AJ368" s="11" t="str">
        <f t="shared" si="356"/>
        <v/>
      </c>
      <c r="AK368" s="11" t="str">
        <f t="shared" si="356"/>
        <v/>
      </c>
      <c r="AL368" s="11" t="str">
        <f t="shared" si="356"/>
        <v/>
      </c>
      <c r="AM368" s="11" t="str">
        <f t="shared" si="356"/>
        <v/>
      </c>
      <c r="AN368" s="11" t="str">
        <f t="shared" si="356"/>
        <v/>
      </c>
      <c r="AO368" s="11" t="str">
        <f t="shared" si="356"/>
        <v/>
      </c>
      <c r="AP368" s="21" t="str">
        <f t="shared" si="270"/>
        <v>ida-black, ida-white</v>
      </c>
    </row>
    <row r="369" ht="16.5" customHeight="1">
      <c r="A369" s="32" t="s">
        <v>38</v>
      </c>
      <c r="B369" s="32" t="s">
        <v>257</v>
      </c>
      <c r="C369" s="32" t="s">
        <v>1779</v>
      </c>
      <c r="D369" s="32" t="s">
        <v>3400</v>
      </c>
      <c r="E369" s="32" t="s">
        <v>3401</v>
      </c>
      <c r="F369" s="4" t="s">
        <v>3402</v>
      </c>
      <c r="G369" s="4" t="s">
        <v>3403</v>
      </c>
      <c r="K369" s="18"/>
      <c r="L369" s="35"/>
      <c r="M369" s="19"/>
      <c r="N369" s="20"/>
      <c r="O369" s="20"/>
      <c r="P369" s="20"/>
      <c r="Q369" s="20"/>
      <c r="R369" s="20"/>
      <c r="S369" s="20"/>
      <c r="T369" s="20"/>
      <c r="U369" s="34"/>
      <c r="AF369" s="11" t="str">
        <f t="shared" si="268"/>
        <v/>
      </c>
      <c r="AG369" s="11" t="str">
        <f t="shared" ref="AG369:AO369" si="357">if(not(isblank(M369)),", "&amp;M369,"")</f>
        <v/>
      </c>
      <c r="AH369" s="11" t="str">
        <f t="shared" si="357"/>
        <v/>
      </c>
      <c r="AI369" s="11" t="str">
        <f t="shared" si="357"/>
        <v/>
      </c>
      <c r="AJ369" s="11" t="str">
        <f t="shared" si="357"/>
        <v/>
      </c>
      <c r="AK369" s="11" t="str">
        <f t="shared" si="357"/>
        <v/>
      </c>
      <c r="AL369" s="11" t="str">
        <f t="shared" si="357"/>
        <v/>
      </c>
      <c r="AM369" s="11" t="str">
        <f t="shared" si="357"/>
        <v/>
      </c>
      <c r="AN369" s="11" t="str">
        <f t="shared" si="357"/>
        <v/>
      </c>
      <c r="AO369" s="11" t="str">
        <f t="shared" si="357"/>
        <v/>
      </c>
      <c r="AP369" s="21" t="str">
        <f t="shared" si="270"/>
        <v>keri-japan-black, keri-japan-broken, keri-japan-dawn, keri-japan-gravel</v>
      </c>
    </row>
    <row r="370" ht="16.5" customHeight="1">
      <c r="A370" s="32" t="s">
        <v>38</v>
      </c>
      <c r="B370" s="32" t="s">
        <v>277</v>
      </c>
      <c r="C370" s="32" t="s">
        <v>1713</v>
      </c>
      <c r="D370" s="32" t="s">
        <v>1714</v>
      </c>
      <c r="E370" s="32" t="s">
        <v>3404</v>
      </c>
      <c r="F370" s="4" t="s">
        <v>3405</v>
      </c>
      <c r="G370" s="4" t="s">
        <v>1715</v>
      </c>
      <c r="H370" s="4"/>
      <c r="K370" s="18"/>
      <c r="L370" s="33"/>
      <c r="M370" s="20"/>
      <c r="N370" s="20"/>
      <c r="O370" s="20"/>
      <c r="P370" s="20"/>
      <c r="Q370" s="20"/>
      <c r="R370" s="20"/>
      <c r="S370" s="20"/>
      <c r="T370" s="20"/>
      <c r="U370" s="34"/>
      <c r="AF370" s="11" t="str">
        <f t="shared" si="268"/>
        <v/>
      </c>
      <c r="AG370" s="11" t="str">
        <f t="shared" ref="AG370:AO370" si="358">if(not(isblank(M370)),", "&amp;M370,"")</f>
        <v/>
      </c>
      <c r="AH370" s="11" t="str">
        <f t="shared" si="358"/>
        <v/>
      </c>
      <c r="AI370" s="11" t="str">
        <f t="shared" si="358"/>
        <v/>
      </c>
      <c r="AJ370" s="11" t="str">
        <f t="shared" si="358"/>
        <v/>
      </c>
      <c r="AK370" s="11" t="str">
        <f t="shared" si="358"/>
        <v/>
      </c>
      <c r="AL370" s="11" t="str">
        <f t="shared" si="358"/>
        <v/>
      </c>
      <c r="AM370" s="11" t="str">
        <f t="shared" si="358"/>
        <v/>
      </c>
      <c r="AN370" s="11" t="str">
        <f t="shared" si="358"/>
        <v/>
      </c>
      <c r="AO370" s="11" t="str">
        <f t="shared" si="358"/>
        <v/>
      </c>
      <c r="AP370" s="21" t="str">
        <f t="shared" si="270"/>
        <v>keri-surf-japan-new-blue</v>
      </c>
    </row>
    <row r="371" ht="16.5" customHeight="1">
      <c r="A371" s="32" t="s">
        <v>38</v>
      </c>
      <c r="B371" s="32" t="s">
        <v>277</v>
      </c>
      <c r="C371" s="32" t="s">
        <v>1715</v>
      </c>
      <c r="D371" s="32" t="s">
        <v>1720</v>
      </c>
      <c r="E371" s="32" t="s">
        <v>3406</v>
      </c>
      <c r="F371" s="4" t="s">
        <v>3405</v>
      </c>
      <c r="G371" s="4" t="s">
        <v>1713</v>
      </c>
      <c r="H371" s="4" t="s">
        <v>1601</v>
      </c>
      <c r="K371" s="18"/>
      <c r="L371" s="33"/>
      <c r="M371" s="20"/>
      <c r="N371" s="20"/>
      <c r="O371" s="20"/>
      <c r="P371" s="20"/>
      <c r="Q371" s="20"/>
      <c r="R371" s="20"/>
      <c r="S371" s="20"/>
      <c r="T371" s="20"/>
      <c r="U371" s="34"/>
      <c r="AF371" s="11" t="str">
        <f t="shared" si="268"/>
        <v/>
      </c>
      <c r="AG371" s="11" t="str">
        <f t="shared" ref="AG371:AO371" si="359">if(not(isblank(M371)),", "&amp;M371,"")</f>
        <v/>
      </c>
      <c r="AH371" s="11" t="str">
        <f t="shared" si="359"/>
        <v/>
      </c>
      <c r="AI371" s="11" t="str">
        <f t="shared" si="359"/>
        <v/>
      </c>
      <c r="AJ371" s="11" t="str">
        <f t="shared" si="359"/>
        <v/>
      </c>
      <c r="AK371" s="11" t="str">
        <f t="shared" si="359"/>
        <v/>
      </c>
      <c r="AL371" s="11" t="str">
        <f t="shared" si="359"/>
        <v/>
      </c>
      <c r="AM371" s="11" t="str">
        <f t="shared" si="359"/>
        <v/>
      </c>
      <c r="AN371" s="11" t="str">
        <f t="shared" si="359"/>
        <v/>
      </c>
      <c r="AO371" s="11" t="str">
        <f t="shared" si="359"/>
        <v/>
      </c>
      <c r="AP371" s="21" t="str">
        <f t="shared" si="270"/>
        <v>keri-surf-japan-black</v>
      </c>
    </row>
    <row r="372" ht="16.5" customHeight="1">
      <c r="A372" s="32" t="s">
        <v>38</v>
      </c>
      <c r="B372" s="32" t="s">
        <v>307</v>
      </c>
      <c r="C372" s="32" t="s">
        <v>1725</v>
      </c>
      <c r="D372" s="32" t="s">
        <v>1726</v>
      </c>
      <c r="E372" s="32" t="s">
        <v>3407</v>
      </c>
      <c r="F372" s="4" t="s">
        <v>3408</v>
      </c>
      <c r="G372" s="4" t="s">
        <v>3409</v>
      </c>
      <c r="K372" s="18"/>
      <c r="L372" s="33"/>
      <c r="M372" s="20"/>
      <c r="N372" s="20"/>
      <c r="O372" s="20"/>
      <c r="P372" s="20"/>
      <c r="Q372" s="20"/>
      <c r="R372" s="20"/>
      <c r="S372" s="20"/>
      <c r="T372" s="20"/>
      <c r="U372" s="34"/>
      <c r="AF372" s="11" t="str">
        <f t="shared" si="268"/>
        <v/>
      </c>
      <c r="AG372" s="11" t="str">
        <f t="shared" ref="AG372:AO372" si="360">if(not(isblank(M372)),", "&amp;M372,"")</f>
        <v/>
      </c>
      <c r="AH372" s="11" t="str">
        <f t="shared" si="360"/>
        <v/>
      </c>
      <c r="AI372" s="11" t="str">
        <f t="shared" si="360"/>
        <v/>
      </c>
      <c r="AJ372" s="11" t="str">
        <f t="shared" si="360"/>
        <v/>
      </c>
      <c r="AK372" s="11" t="str">
        <f t="shared" si="360"/>
        <v/>
      </c>
      <c r="AL372" s="11" t="str">
        <f t="shared" si="360"/>
        <v/>
      </c>
      <c r="AM372" s="11" t="str">
        <f t="shared" si="360"/>
        <v/>
      </c>
      <c r="AN372" s="11" t="str">
        <f t="shared" si="360"/>
        <v/>
      </c>
      <c r="AO372" s="11" t="str">
        <f t="shared" si="360"/>
        <v/>
      </c>
      <c r="AP372" s="21" t="str">
        <f t="shared" si="270"/>
        <v>keri-black-linen, keri-green-linen, keri-magnet-linen, keri-stone-linen, keri-white-linen</v>
      </c>
    </row>
    <row r="373" ht="16.5" customHeight="1">
      <c r="A373" s="32" t="s">
        <v>38</v>
      </c>
      <c r="B373" s="32" t="s">
        <v>330</v>
      </c>
      <c r="C373" s="32" t="s">
        <v>3410</v>
      </c>
      <c r="D373" s="32" t="s">
        <v>3411</v>
      </c>
      <c r="E373" s="32" t="s">
        <v>3266</v>
      </c>
      <c r="F373" s="4" t="s">
        <v>1642</v>
      </c>
      <c r="G373" s="4" t="s">
        <v>3412</v>
      </c>
      <c r="H373" s="4" t="s">
        <v>1725</v>
      </c>
      <c r="K373" s="18"/>
      <c r="L373" s="33"/>
      <c r="M373" s="20"/>
      <c r="N373" s="20"/>
      <c r="O373" s="20"/>
      <c r="P373" s="20"/>
      <c r="Q373" s="20"/>
      <c r="R373" s="20"/>
      <c r="S373" s="20"/>
      <c r="T373" s="20"/>
      <c r="U373" s="34"/>
      <c r="AF373" s="11" t="str">
        <f t="shared" si="268"/>
        <v/>
      </c>
      <c r="AG373" s="11" t="str">
        <f t="shared" ref="AG373:AO373" si="361">if(not(isblank(M373)),", "&amp;M373,"")</f>
        <v/>
      </c>
      <c r="AH373" s="11" t="str">
        <f t="shared" si="361"/>
        <v/>
      </c>
      <c r="AI373" s="11" t="str">
        <f t="shared" si="361"/>
        <v/>
      </c>
      <c r="AJ373" s="11" t="str">
        <f t="shared" si="361"/>
        <v/>
      </c>
      <c r="AK373" s="11" t="str">
        <f t="shared" si="361"/>
        <v/>
      </c>
      <c r="AL373" s="11" t="str">
        <f t="shared" si="361"/>
        <v/>
      </c>
      <c r="AM373" s="11" t="str">
        <f t="shared" si="361"/>
        <v/>
      </c>
      <c r="AN373" s="11" t="str">
        <f t="shared" si="361"/>
        <v/>
      </c>
      <c r="AO373" s="11" t="str">
        <f t="shared" si="361"/>
        <v/>
      </c>
      <c r="AP373" s="21" t="str">
        <f t="shared" si="270"/>
        <v>mila-black-1, mila-grey-melange, mila-indigo-stripe, mila-black</v>
      </c>
    </row>
    <row r="374" ht="16.5" customHeight="1">
      <c r="A374" s="32" t="s">
        <v>38</v>
      </c>
      <c r="B374" s="32" t="s">
        <v>39</v>
      </c>
      <c r="C374" s="32" t="s">
        <v>1749</v>
      </c>
      <c r="D374" s="32" t="s">
        <v>1750</v>
      </c>
      <c r="E374" s="32" t="s">
        <v>3413</v>
      </c>
      <c r="F374" s="4" t="s">
        <v>3414</v>
      </c>
      <c r="G374" s="4"/>
      <c r="H374" s="4" t="s">
        <v>1725</v>
      </c>
      <c r="K374" s="18"/>
      <c r="L374" s="35" t="s">
        <v>3415</v>
      </c>
      <c r="M374" s="20"/>
      <c r="N374" s="20"/>
      <c r="O374" s="20"/>
      <c r="P374" s="20"/>
      <c r="Q374" s="20"/>
      <c r="R374" s="20"/>
      <c r="S374" s="20"/>
      <c r="T374" s="20"/>
      <c r="U374" s="34"/>
      <c r="AF374" s="11" t="str">
        <f t="shared" si="268"/>
        <v>eyre-burgundy-cashmere</v>
      </c>
      <c r="AG374" s="11" t="str">
        <f t="shared" ref="AG374:AO374" si="362">if(not(isblank(M374)),", "&amp;M374,"")</f>
        <v/>
      </c>
      <c r="AH374" s="11" t="str">
        <f t="shared" si="362"/>
        <v/>
      </c>
      <c r="AI374" s="11" t="str">
        <f t="shared" si="362"/>
        <v/>
      </c>
      <c r="AJ374" s="11" t="str">
        <f t="shared" si="362"/>
        <v/>
      </c>
      <c r="AK374" s="11" t="str">
        <f t="shared" si="362"/>
        <v/>
      </c>
      <c r="AL374" s="11" t="str">
        <f t="shared" si="362"/>
        <v/>
      </c>
      <c r="AM374" s="11" t="str">
        <f t="shared" si="362"/>
        <v/>
      </c>
      <c r="AN374" s="11" t="str">
        <f t="shared" si="362"/>
        <v/>
      </c>
      <c r="AO374" s="11" t="str">
        <f t="shared" si="362"/>
        <v/>
      </c>
      <c r="AP374" s="21" t="str">
        <f t="shared" si="270"/>
        <v>eyre-burgundy-cashmere</v>
      </c>
    </row>
    <row r="375" ht="16.5" customHeight="1">
      <c r="A375" s="32" t="s">
        <v>38</v>
      </c>
      <c r="B375" s="32" t="s">
        <v>47</v>
      </c>
      <c r="C375" s="32" t="s">
        <v>1751</v>
      </c>
      <c r="D375" s="32" t="s">
        <v>1752</v>
      </c>
      <c r="E375" s="32" t="s">
        <v>3416</v>
      </c>
      <c r="F375" s="4" t="s">
        <v>1754</v>
      </c>
      <c r="G375" s="4" t="s">
        <v>3417</v>
      </c>
      <c r="H375" s="4" t="s">
        <v>233</v>
      </c>
      <c r="K375" s="18"/>
      <c r="L375" s="33"/>
      <c r="M375" s="20"/>
      <c r="N375" s="20"/>
      <c r="O375" s="20"/>
      <c r="P375" s="20"/>
      <c r="Q375" s="20"/>
      <c r="R375" s="20"/>
      <c r="S375" s="20"/>
      <c r="T375" s="20"/>
      <c r="U375" s="34"/>
      <c r="AF375" s="11" t="str">
        <f t="shared" si="268"/>
        <v/>
      </c>
      <c r="AG375" s="11" t="str">
        <f t="shared" ref="AG375:AO375" si="363">if(not(isblank(M375)),", "&amp;M375,"")</f>
        <v/>
      </c>
      <c r="AH375" s="11" t="str">
        <f t="shared" si="363"/>
        <v/>
      </c>
      <c r="AI375" s="11" t="str">
        <f t="shared" si="363"/>
        <v/>
      </c>
      <c r="AJ375" s="11" t="str">
        <f t="shared" si="363"/>
        <v/>
      </c>
      <c r="AK375" s="11" t="str">
        <f t="shared" si="363"/>
        <v/>
      </c>
      <c r="AL375" s="11" t="str">
        <f t="shared" si="363"/>
        <v/>
      </c>
      <c r="AM375" s="11" t="str">
        <f t="shared" si="363"/>
        <v/>
      </c>
      <c r="AN375" s="11" t="str">
        <f t="shared" si="363"/>
        <v/>
      </c>
      <c r="AO375" s="11" t="str">
        <f t="shared" si="363"/>
        <v/>
      </c>
      <c r="AP375" s="21" t="str">
        <f t="shared" si="270"/>
        <v>nile-black, nile-chalk, nile-white</v>
      </c>
    </row>
    <row r="376" ht="16.5" customHeight="1">
      <c r="A376" s="32" t="s">
        <v>38</v>
      </c>
      <c r="B376" s="32" t="s">
        <v>1840</v>
      </c>
      <c r="C376" s="32" t="s">
        <v>3418</v>
      </c>
      <c r="D376" s="32" t="s">
        <v>3419</v>
      </c>
      <c r="E376" s="32" t="s">
        <v>3420</v>
      </c>
      <c r="F376" s="4" t="s">
        <v>3421</v>
      </c>
      <c r="G376" s="4"/>
      <c r="H376" s="4"/>
      <c r="K376" s="18"/>
      <c r="L376" s="33"/>
      <c r="M376" s="20"/>
      <c r="N376" s="20"/>
      <c r="O376" s="20"/>
      <c r="P376" s="20"/>
      <c r="Q376" s="20"/>
      <c r="R376" s="20"/>
      <c r="S376" s="20"/>
      <c r="T376" s="20"/>
      <c r="U376" s="34"/>
      <c r="AF376" s="11" t="str">
        <f t="shared" si="268"/>
        <v/>
      </c>
      <c r="AG376" s="11" t="str">
        <f t="shared" ref="AG376:AO376" si="364">if(not(isblank(M376)),", "&amp;M376,"")</f>
        <v/>
      </c>
      <c r="AH376" s="11" t="str">
        <f t="shared" si="364"/>
        <v/>
      </c>
      <c r="AI376" s="11" t="str">
        <f t="shared" si="364"/>
        <v/>
      </c>
      <c r="AJ376" s="11" t="str">
        <f t="shared" si="364"/>
        <v/>
      </c>
      <c r="AK376" s="11" t="str">
        <f t="shared" si="364"/>
        <v/>
      </c>
      <c r="AL376" s="11" t="str">
        <f t="shared" si="364"/>
        <v/>
      </c>
      <c r="AM376" s="11" t="str">
        <f t="shared" si="364"/>
        <v/>
      </c>
      <c r="AN376" s="11" t="str">
        <f t="shared" si="364"/>
        <v/>
      </c>
      <c r="AO376" s="11" t="str">
        <f t="shared" si="364"/>
        <v/>
      </c>
      <c r="AP376" s="21" t="str">
        <f t="shared" si="270"/>
        <v/>
      </c>
    </row>
    <row r="377" ht="16.5" customHeight="1">
      <c r="A377" s="32" t="s">
        <v>38</v>
      </c>
      <c r="B377" s="32" t="s">
        <v>103</v>
      </c>
      <c r="C377" s="32" t="s">
        <v>1758</v>
      </c>
      <c r="D377" s="32" t="s">
        <v>1759</v>
      </c>
      <c r="E377" s="32" t="s">
        <v>3422</v>
      </c>
      <c r="F377" s="4" t="s">
        <v>1760</v>
      </c>
      <c r="G377" s="4"/>
      <c r="H377" s="4"/>
      <c r="K377" s="18"/>
      <c r="L377" s="33"/>
      <c r="M377" s="20"/>
      <c r="N377" s="20"/>
      <c r="O377" s="20"/>
      <c r="P377" s="20"/>
      <c r="Q377" s="20"/>
      <c r="R377" s="20"/>
      <c r="S377" s="20"/>
      <c r="T377" s="20"/>
      <c r="U377" s="34"/>
      <c r="AF377" s="11" t="str">
        <f t="shared" si="268"/>
        <v/>
      </c>
      <c r="AG377" s="11" t="str">
        <f t="shared" ref="AG377:AO377" si="365">if(not(isblank(M377)),", "&amp;M377,"")</f>
        <v/>
      </c>
      <c r="AH377" s="11" t="str">
        <f t="shared" si="365"/>
        <v/>
      </c>
      <c r="AI377" s="11" t="str">
        <f t="shared" si="365"/>
        <v/>
      </c>
      <c r="AJ377" s="11" t="str">
        <f t="shared" si="365"/>
        <v/>
      </c>
      <c r="AK377" s="11" t="str">
        <f t="shared" si="365"/>
        <v/>
      </c>
      <c r="AL377" s="11" t="str">
        <f t="shared" si="365"/>
        <v/>
      </c>
      <c r="AM377" s="11" t="str">
        <f t="shared" si="365"/>
        <v/>
      </c>
      <c r="AN377" s="11" t="str">
        <f t="shared" si="365"/>
        <v/>
      </c>
      <c r="AO377" s="11" t="str">
        <f t="shared" si="365"/>
        <v/>
      </c>
      <c r="AP377" s="21" t="str">
        <f t="shared" si="270"/>
        <v/>
      </c>
    </row>
    <row r="378" ht="16.5" customHeight="1">
      <c r="A378" s="32" t="s">
        <v>38</v>
      </c>
      <c r="B378" s="32" t="s">
        <v>52</v>
      </c>
      <c r="C378" s="32" t="s">
        <v>3423</v>
      </c>
      <c r="D378" s="32" t="s">
        <v>3424</v>
      </c>
      <c r="E378" s="32" t="s">
        <v>3425</v>
      </c>
      <c r="F378" s="4" t="s">
        <v>3426</v>
      </c>
      <c r="G378" s="4" t="s">
        <v>3427</v>
      </c>
      <c r="H378" s="4" t="s">
        <v>3428</v>
      </c>
      <c r="K378" s="18"/>
      <c r="L378" s="35"/>
      <c r="M378" s="19"/>
      <c r="N378" s="20"/>
      <c r="O378" s="20"/>
      <c r="P378" s="20"/>
      <c r="Q378" s="20"/>
      <c r="R378" s="20"/>
      <c r="S378" s="20"/>
      <c r="T378" s="20"/>
      <c r="U378" s="34"/>
      <c r="AF378" s="11" t="str">
        <f t="shared" si="268"/>
        <v/>
      </c>
      <c r="AG378" s="11" t="str">
        <f t="shared" ref="AG378:AO378" si="366">if(not(isblank(M378)),", "&amp;M378,"")</f>
        <v/>
      </c>
      <c r="AH378" s="11" t="str">
        <f t="shared" si="366"/>
        <v/>
      </c>
      <c r="AI378" s="11" t="str">
        <f t="shared" si="366"/>
        <v/>
      </c>
      <c r="AJ378" s="11" t="str">
        <f t="shared" si="366"/>
        <v/>
      </c>
      <c r="AK378" s="11" t="str">
        <f t="shared" si="366"/>
        <v/>
      </c>
      <c r="AL378" s="11" t="str">
        <f t="shared" si="366"/>
        <v/>
      </c>
      <c r="AM378" s="11" t="str">
        <f t="shared" si="366"/>
        <v/>
      </c>
      <c r="AN378" s="11" t="str">
        <f t="shared" si="366"/>
        <v/>
      </c>
      <c r="AO378" s="11" t="str">
        <f t="shared" si="366"/>
        <v/>
      </c>
      <c r="AP378" s="21" t="str">
        <f t="shared" si="270"/>
        <v>talita-stone-linen</v>
      </c>
    </row>
    <row r="379" ht="16.5" customHeight="1">
      <c r="A379" s="32" t="s">
        <v>38</v>
      </c>
      <c r="B379" s="32" t="s">
        <v>52</v>
      </c>
      <c r="C379" s="32" t="s">
        <v>3427</v>
      </c>
      <c r="D379" s="32" t="s">
        <v>3429</v>
      </c>
      <c r="E379" s="32" t="s">
        <v>3425</v>
      </c>
      <c r="F379" s="4" t="s">
        <v>3430</v>
      </c>
      <c r="G379" s="4" t="s">
        <v>3423</v>
      </c>
      <c r="H379" s="4" t="s">
        <v>3431</v>
      </c>
      <c r="K379" s="18"/>
      <c r="L379" s="35" t="s">
        <v>2294</v>
      </c>
      <c r="M379" s="19" t="s">
        <v>2285</v>
      </c>
      <c r="N379" s="19" t="s">
        <v>2286</v>
      </c>
      <c r="O379" s="19" t="s">
        <v>2287</v>
      </c>
      <c r="P379" s="19" t="s">
        <v>2288</v>
      </c>
      <c r="Q379" s="19" t="s">
        <v>2289</v>
      </c>
      <c r="R379" s="20"/>
      <c r="S379" s="20"/>
      <c r="T379" s="20"/>
      <c r="U379" s="34"/>
      <c r="AF379" s="11" t="str">
        <f t="shared" si="268"/>
        <v>rose-navy</v>
      </c>
      <c r="AG379" s="11" t="str">
        <f t="shared" ref="AG379:AO379" si="367">if(not(isblank(M379)),", "&amp;M379,"")</f>
        <v>, w796-rose-charcoal</v>
      </c>
      <c r="AH379" s="11" t="str">
        <f t="shared" si="367"/>
        <v>, w796-rose-duck-egg</v>
      </c>
      <c r="AI379" s="11" t="str">
        <f t="shared" si="367"/>
        <v>, rose-old-rose</v>
      </c>
      <c r="AJ379" s="11" t="str">
        <f t="shared" si="367"/>
        <v>, rose-raspberry</v>
      </c>
      <c r="AK379" s="11" t="str">
        <f t="shared" si="367"/>
        <v>, w796-wine</v>
      </c>
      <c r="AL379" s="11" t="str">
        <f t="shared" si="367"/>
        <v/>
      </c>
      <c r="AM379" s="11" t="str">
        <f t="shared" si="367"/>
        <v/>
      </c>
      <c r="AN379" s="11" t="str">
        <f t="shared" si="367"/>
        <v/>
      </c>
      <c r="AO379" s="11" t="str">
        <f t="shared" si="367"/>
        <v/>
      </c>
      <c r="AP379" s="21" t="str">
        <f t="shared" si="270"/>
        <v>rose-navy, w796-rose-charcoal, w796-rose-duck-egg, rose-old-rose, rose-raspberry, w796-wine</v>
      </c>
    </row>
    <row r="380" ht="16.5" customHeight="1">
      <c r="A380" s="32" t="s">
        <v>38</v>
      </c>
      <c r="B380" s="32" t="s">
        <v>39</v>
      </c>
      <c r="C380" s="32" t="s">
        <v>1768</v>
      </c>
      <c r="D380" s="32" t="s">
        <v>1769</v>
      </c>
      <c r="E380" s="32" t="s">
        <v>3432</v>
      </c>
      <c r="F380" s="4" t="s">
        <v>1770</v>
      </c>
      <c r="G380" s="4"/>
      <c r="H380" s="4"/>
      <c r="K380" s="18"/>
      <c r="L380" s="35" t="s">
        <v>2284</v>
      </c>
      <c r="M380" s="19" t="s">
        <v>2294</v>
      </c>
      <c r="N380" s="19" t="s">
        <v>2286</v>
      </c>
      <c r="O380" s="19" t="s">
        <v>2287</v>
      </c>
      <c r="P380" s="19" t="s">
        <v>2288</v>
      </c>
      <c r="Q380" s="19" t="s">
        <v>2289</v>
      </c>
      <c r="R380" s="20"/>
      <c r="S380" s="20"/>
      <c r="T380" s="20"/>
      <c r="U380" s="34"/>
      <c r="AF380" s="11" t="str">
        <f t="shared" si="268"/>
        <v>w796-black</v>
      </c>
      <c r="AG380" s="11" t="str">
        <f t="shared" ref="AG380:AO380" si="368">if(not(isblank(M380)),", "&amp;M380,"")</f>
        <v>, rose-navy</v>
      </c>
      <c r="AH380" s="11" t="str">
        <f t="shared" si="368"/>
        <v>, w796-rose-duck-egg</v>
      </c>
      <c r="AI380" s="11" t="str">
        <f t="shared" si="368"/>
        <v>, rose-old-rose</v>
      </c>
      <c r="AJ380" s="11" t="str">
        <f t="shared" si="368"/>
        <v>, rose-raspberry</v>
      </c>
      <c r="AK380" s="11" t="str">
        <f t="shared" si="368"/>
        <v>, w796-wine</v>
      </c>
      <c r="AL380" s="11" t="str">
        <f t="shared" si="368"/>
        <v/>
      </c>
      <c r="AM380" s="11" t="str">
        <f t="shared" si="368"/>
        <v/>
      </c>
      <c r="AN380" s="11" t="str">
        <f t="shared" si="368"/>
        <v/>
      </c>
      <c r="AO380" s="11" t="str">
        <f t="shared" si="368"/>
        <v/>
      </c>
      <c r="AP380" s="21" t="str">
        <f t="shared" si="270"/>
        <v>w796-black, rose-navy, w796-rose-duck-egg, rose-old-rose, rose-raspberry, w796-wine</v>
      </c>
    </row>
    <row r="381" ht="16.5" customHeight="1">
      <c r="A381" s="32" t="s">
        <v>38</v>
      </c>
      <c r="B381" s="32" t="s">
        <v>44</v>
      </c>
      <c r="C381" s="32" t="s">
        <v>1776</v>
      </c>
      <c r="D381" s="32" t="s">
        <v>1777</v>
      </c>
      <c r="E381" s="32" t="s">
        <v>3433</v>
      </c>
      <c r="F381" s="4" t="s">
        <v>1780</v>
      </c>
      <c r="G381" s="4" t="s">
        <v>3368</v>
      </c>
      <c r="H381" s="4"/>
      <c r="K381" s="18"/>
      <c r="L381" s="33"/>
      <c r="M381" s="20"/>
      <c r="N381" s="20"/>
      <c r="O381" s="20"/>
      <c r="P381" s="20"/>
      <c r="Q381" s="20"/>
      <c r="R381" s="20"/>
      <c r="S381" s="20"/>
      <c r="T381" s="20"/>
      <c r="U381" s="34"/>
      <c r="AF381" s="11" t="str">
        <f t="shared" si="268"/>
        <v/>
      </c>
      <c r="AG381" s="11" t="str">
        <f t="shared" ref="AG381:AO381" si="369">if(not(isblank(M381)),", "&amp;M381,"")</f>
        <v/>
      </c>
      <c r="AH381" s="11" t="str">
        <f t="shared" si="369"/>
        <v/>
      </c>
      <c r="AI381" s="11" t="str">
        <f t="shared" si="369"/>
        <v/>
      </c>
      <c r="AJ381" s="11" t="str">
        <f t="shared" si="369"/>
        <v/>
      </c>
      <c r="AK381" s="11" t="str">
        <f t="shared" si="369"/>
        <v/>
      </c>
      <c r="AL381" s="11" t="str">
        <f t="shared" si="369"/>
        <v/>
      </c>
      <c r="AM381" s="11" t="str">
        <f t="shared" si="369"/>
        <v/>
      </c>
      <c r="AN381" s="11" t="str">
        <f t="shared" si="369"/>
        <v/>
      </c>
      <c r="AO381" s="11" t="str">
        <f t="shared" si="369"/>
        <v/>
      </c>
      <c r="AP381" s="21" t="str">
        <f t="shared" si="270"/>
        <v>abby-white</v>
      </c>
    </row>
    <row r="382" ht="16.5" customHeight="1">
      <c r="A382" s="32" t="s">
        <v>38</v>
      </c>
      <c r="B382" s="32" t="s">
        <v>73</v>
      </c>
      <c r="C382" s="32" t="s">
        <v>3434</v>
      </c>
      <c r="D382" s="32" t="s">
        <v>3435</v>
      </c>
      <c r="E382" s="32" t="s">
        <v>3436</v>
      </c>
      <c r="F382" s="4" t="s">
        <v>3437</v>
      </c>
      <c r="G382" s="4"/>
      <c r="H382" s="4"/>
      <c r="K382" s="18"/>
      <c r="L382" s="33"/>
      <c r="M382" s="20"/>
      <c r="N382" s="20"/>
      <c r="O382" s="20"/>
      <c r="P382" s="20"/>
      <c r="Q382" s="20"/>
      <c r="R382" s="20"/>
      <c r="S382" s="20"/>
      <c r="T382" s="20"/>
      <c r="U382" s="34"/>
      <c r="AF382" s="11" t="str">
        <f t="shared" si="268"/>
        <v/>
      </c>
      <c r="AG382" s="11" t="str">
        <f t="shared" ref="AG382:AO382" si="370">if(not(isblank(M382)),", "&amp;M382,"")</f>
        <v/>
      </c>
      <c r="AH382" s="11" t="str">
        <f t="shared" si="370"/>
        <v/>
      </c>
      <c r="AI382" s="11" t="str">
        <f t="shared" si="370"/>
        <v/>
      </c>
      <c r="AJ382" s="11" t="str">
        <f t="shared" si="370"/>
        <v/>
      </c>
      <c r="AK382" s="11" t="str">
        <f t="shared" si="370"/>
        <v/>
      </c>
      <c r="AL382" s="11" t="str">
        <f t="shared" si="370"/>
        <v/>
      </c>
      <c r="AM382" s="11" t="str">
        <f t="shared" si="370"/>
        <v/>
      </c>
      <c r="AN382" s="11" t="str">
        <f t="shared" si="370"/>
        <v/>
      </c>
      <c r="AO382" s="11" t="str">
        <f t="shared" si="370"/>
        <v/>
      </c>
      <c r="AP382" s="21" t="str">
        <f t="shared" si="270"/>
        <v/>
      </c>
    </row>
    <row r="383" ht="16.5" customHeight="1">
      <c r="A383" s="32" t="s">
        <v>38</v>
      </c>
      <c r="B383" s="32" t="s">
        <v>44</v>
      </c>
      <c r="C383" s="32" t="s">
        <v>955</v>
      </c>
      <c r="D383" s="32" t="s">
        <v>1867</v>
      </c>
      <c r="E383" s="32" t="s">
        <v>3438</v>
      </c>
      <c r="F383" s="4" t="s">
        <v>1868</v>
      </c>
      <c r="G383" s="4"/>
      <c r="H383" s="4"/>
      <c r="K383" s="18"/>
      <c r="L383" s="33"/>
      <c r="M383" s="20"/>
      <c r="N383" s="20"/>
      <c r="O383" s="20"/>
      <c r="P383" s="20"/>
      <c r="Q383" s="20"/>
      <c r="R383" s="20"/>
      <c r="S383" s="20"/>
      <c r="T383" s="20"/>
      <c r="U383" s="34"/>
      <c r="AF383" s="11" t="str">
        <f t="shared" si="268"/>
        <v/>
      </c>
      <c r="AG383" s="11" t="str">
        <f t="shared" ref="AG383:AO383" si="371">if(not(isblank(M383)),", "&amp;M383,"")</f>
        <v/>
      </c>
      <c r="AH383" s="11" t="str">
        <f t="shared" si="371"/>
        <v/>
      </c>
      <c r="AI383" s="11" t="str">
        <f t="shared" si="371"/>
        <v/>
      </c>
      <c r="AJ383" s="11" t="str">
        <f t="shared" si="371"/>
        <v/>
      </c>
      <c r="AK383" s="11" t="str">
        <f t="shared" si="371"/>
        <v/>
      </c>
      <c r="AL383" s="11" t="str">
        <f t="shared" si="371"/>
        <v/>
      </c>
      <c r="AM383" s="11" t="str">
        <f t="shared" si="371"/>
        <v/>
      </c>
      <c r="AN383" s="11" t="str">
        <f t="shared" si="371"/>
        <v/>
      </c>
      <c r="AO383" s="11" t="str">
        <f t="shared" si="371"/>
        <v/>
      </c>
      <c r="AP383" s="21" t="str">
        <f t="shared" si="270"/>
        <v/>
      </c>
    </row>
    <row r="384" ht="16.5" customHeight="1">
      <c r="A384" s="32" t="s">
        <v>38</v>
      </c>
      <c r="B384" s="32" t="s">
        <v>44</v>
      </c>
      <c r="C384" s="32" t="s">
        <v>3439</v>
      </c>
      <c r="D384" s="32" t="s">
        <v>3440</v>
      </c>
      <c r="E384" s="32" t="s">
        <v>3441</v>
      </c>
      <c r="F384" s="4" t="s">
        <v>3442</v>
      </c>
      <c r="G384" s="4" t="s">
        <v>3443</v>
      </c>
      <c r="K384" s="18"/>
      <c r="L384" s="33"/>
      <c r="M384" s="20"/>
      <c r="N384" s="20"/>
      <c r="O384" s="20"/>
      <c r="P384" s="20"/>
      <c r="Q384" s="20"/>
      <c r="R384" s="20"/>
      <c r="S384" s="20"/>
      <c r="T384" s="20"/>
      <c r="U384" s="34"/>
      <c r="AF384" s="11" t="str">
        <f t="shared" si="268"/>
        <v/>
      </c>
      <c r="AG384" s="11" t="str">
        <f t="shared" ref="AG384:AO384" si="372">if(not(isblank(M384)),", "&amp;M384,"")</f>
        <v/>
      </c>
      <c r="AH384" s="11" t="str">
        <f t="shared" si="372"/>
        <v/>
      </c>
      <c r="AI384" s="11" t="str">
        <f t="shared" si="372"/>
        <v/>
      </c>
      <c r="AJ384" s="11" t="str">
        <f t="shared" si="372"/>
        <v/>
      </c>
      <c r="AK384" s="11" t="str">
        <f t="shared" si="372"/>
        <v/>
      </c>
      <c r="AL384" s="11" t="str">
        <f t="shared" si="372"/>
        <v/>
      </c>
      <c r="AM384" s="11" t="str">
        <f t="shared" si="372"/>
        <v/>
      </c>
      <c r="AN384" s="11" t="str">
        <f t="shared" si="372"/>
        <v/>
      </c>
      <c r="AO384" s="11" t="str">
        <f t="shared" si="372"/>
        <v/>
      </c>
      <c r="AP384" s="21" t="str">
        <f t="shared" si="270"/>
        <v>mila-black, mila-black-1, mila-brown-stripe, mila-grey-melange, mila-indigo-stripe, mila-mud</v>
      </c>
    </row>
    <row r="385" ht="16.5" customHeight="1">
      <c r="A385" s="32" t="s">
        <v>38</v>
      </c>
      <c r="B385" s="32" t="s">
        <v>257</v>
      </c>
      <c r="C385" s="32" t="s">
        <v>3444</v>
      </c>
      <c r="D385" s="32" t="s">
        <v>3445</v>
      </c>
      <c r="E385" s="32" t="s">
        <v>3446</v>
      </c>
      <c r="F385" s="4" t="s">
        <v>3447</v>
      </c>
      <c r="G385" s="4" t="s">
        <v>3448</v>
      </c>
      <c r="H385" s="4"/>
      <c r="K385" s="18"/>
      <c r="L385" s="35"/>
      <c r="M385" s="19"/>
      <c r="N385" s="20"/>
      <c r="O385" s="20"/>
      <c r="P385" s="20"/>
      <c r="Q385" s="20"/>
      <c r="R385" s="20"/>
      <c r="S385" s="20"/>
      <c r="T385" s="20"/>
      <c r="U385" s="34"/>
      <c r="AF385" s="11" t="str">
        <f t="shared" si="268"/>
        <v/>
      </c>
      <c r="AG385" s="11" t="str">
        <f t="shared" ref="AG385:AO385" si="373">if(not(isblank(M385)),", "&amp;M385,"")</f>
        <v/>
      </c>
      <c r="AH385" s="11" t="str">
        <f t="shared" si="373"/>
        <v/>
      </c>
      <c r="AI385" s="11" t="str">
        <f t="shared" si="373"/>
        <v/>
      </c>
      <c r="AJ385" s="11" t="str">
        <f t="shared" si="373"/>
        <v/>
      </c>
      <c r="AK385" s="11" t="str">
        <f t="shared" si="373"/>
        <v/>
      </c>
      <c r="AL385" s="11" t="str">
        <f t="shared" si="373"/>
        <v/>
      </c>
      <c r="AM385" s="11" t="str">
        <f t="shared" si="373"/>
        <v/>
      </c>
      <c r="AN385" s="11" t="str">
        <f t="shared" si="373"/>
        <v/>
      </c>
      <c r="AO385" s="11" t="str">
        <f t="shared" si="373"/>
        <v/>
      </c>
      <c r="AP385" s="21" t="str">
        <f t="shared" si="270"/>
        <v>tia-japan-black, tia-japan-indigo</v>
      </c>
    </row>
    <row r="386" ht="16.5" customHeight="1">
      <c r="A386" s="32" t="s">
        <v>38</v>
      </c>
      <c r="B386" s="32" t="s">
        <v>307</v>
      </c>
      <c r="C386" s="32" t="s">
        <v>3449</v>
      </c>
      <c r="D386" s="32" t="s">
        <v>3450</v>
      </c>
      <c r="E386" s="32" t="s">
        <v>3451</v>
      </c>
      <c r="F386" s="4" t="s">
        <v>3452</v>
      </c>
      <c r="G386" s="4" t="s">
        <v>3453</v>
      </c>
      <c r="H386" s="4"/>
      <c r="K386" s="18"/>
      <c r="L386" s="35" t="s">
        <v>2012</v>
      </c>
      <c r="M386" s="19" t="s">
        <v>3454</v>
      </c>
      <c r="N386" s="19" t="s">
        <v>3455</v>
      </c>
      <c r="O386" s="19" t="s">
        <v>3456</v>
      </c>
      <c r="P386" s="19" t="s">
        <v>3457</v>
      </c>
      <c r="Q386" s="20"/>
      <c r="R386" s="20"/>
      <c r="S386" s="20"/>
      <c r="T386" s="20"/>
      <c r="U386" s="34"/>
      <c r="AF386" s="11" t="str">
        <f t="shared" si="268"/>
        <v>needle-black</v>
      </c>
      <c r="AG386" s="11" t="str">
        <f t="shared" ref="AG386:AO386" si="374">if(not(isblank(M386)),", "&amp;M386,"")</f>
        <v>, needle-reverse-blue-stripe</v>
      </c>
      <c r="AH386" s="11" t="str">
        <f t="shared" si="374"/>
        <v>, needle-reverse-forest-doubledye</v>
      </c>
      <c r="AI386" s="11" t="str">
        <f t="shared" si="374"/>
        <v>, needle-reverse-nut-stripe</v>
      </c>
      <c r="AJ386" s="11" t="str">
        <f t="shared" si="374"/>
        <v>, needle-white</v>
      </c>
      <c r="AK386" s="11" t="str">
        <f t="shared" si="374"/>
        <v/>
      </c>
      <c r="AL386" s="11" t="str">
        <f t="shared" si="374"/>
        <v/>
      </c>
      <c r="AM386" s="11" t="str">
        <f t="shared" si="374"/>
        <v/>
      </c>
      <c r="AN386" s="11" t="str">
        <f t="shared" si="374"/>
        <v/>
      </c>
      <c r="AO386" s="11" t="str">
        <f t="shared" si="374"/>
        <v/>
      </c>
      <c r="AP386" s="21" t="str">
        <f t="shared" si="270"/>
        <v>needle-black, needle-reverse-blue-stripe, needle-reverse-forest-doubledye, needle-reverse-nut-stripe, needle-white</v>
      </c>
    </row>
    <row r="387" ht="16.5" customHeight="1">
      <c r="A387" s="32" t="s">
        <v>38</v>
      </c>
      <c r="B387" s="32" t="s">
        <v>257</v>
      </c>
      <c r="C387" s="32" t="s">
        <v>1440</v>
      </c>
      <c r="D387" s="32" t="s">
        <v>1441</v>
      </c>
      <c r="E387" s="32" t="s">
        <v>3458</v>
      </c>
      <c r="F387" s="4" t="s">
        <v>1442</v>
      </c>
      <c r="G387" s="4"/>
      <c r="H387" s="4"/>
      <c r="K387" s="18"/>
      <c r="L387" s="35" t="s">
        <v>2012</v>
      </c>
      <c r="M387" s="19" t="s">
        <v>3454</v>
      </c>
      <c r="N387" s="19" t="s">
        <v>3459</v>
      </c>
      <c r="O387" s="19" t="s">
        <v>3456</v>
      </c>
      <c r="P387" s="19" t="s">
        <v>3457</v>
      </c>
      <c r="Q387" s="20"/>
      <c r="R387" s="20"/>
      <c r="S387" s="20"/>
      <c r="T387" s="20"/>
      <c r="U387" s="34"/>
      <c r="AF387" s="11" t="str">
        <f t="shared" si="268"/>
        <v>needle-black</v>
      </c>
      <c r="AG387" s="11" t="str">
        <f t="shared" ref="AG387:AO387" si="375">if(not(isblank(M387)),", "&amp;M387,"")</f>
        <v>, needle-reverse-blue-stripe</v>
      </c>
      <c r="AH387" s="11" t="str">
        <f t="shared" si="375"/>
        <v>, needle-reverse-butter-doubleye</v>
      </c>
      <c r="AI387" s="11" t="str">
        <f t="shared" si="375"/>
        <v>, needle-reverse-nut-stripe</v>
      </c>
      <c r="AJ387" s="11" t="str">
        <f t="shared" si="375"/>
        <v>, needle-white</v>
      </c>
      <c r="AK387" s="11" t="str">
        <f t="shared" si="375"/>
        <v/>
      </c>
      <c r="AL387" s="11" t="str">
        <f t="shared" si="375"/>
        <v/>
      </c>
      <c r="AM387" s="11" t="str">
        <f t="shared" si="375"/>
        <v/>
      </c>
      <c r="AN387" s="11" t="str">
        <f t="shared" si="375"/>
        <v/>
      </c>
      <c r="AO387" s="11" t="str">
        <f t="shared" si="375"/>
        <v/>
      </c>
      <c r="AP387" s="21" t="str">
        <f t="shared" si="270"/>
        <v>needle-black, needle-reverse-blue-stripe, needle-reverse-butter-doubleye, needle-reverse-nut-stripe, needle-white</v>
      </c>
    </row>
    <row r="388" ht="16.5" customHeight="1">
      <c r="A388" s="32" t="s">
        <v>38</v>
      </c>
      <c r="B388" s="32" t="s">
        <v>3304</v>
      </c>
      <c r="C388" s="32" t="s">
        <v>3460</v>
      </c>
      <c r="D388" s="32" t="s">
        <v>3461</v>
      </c>
      <c r="E388" s="32" t="s">
        <v>3462</v>
      </c>
      <c r="F388" s="4" t="s">
        <v>3463</v>
      </c>
      <c r="G388" s="4" t="s">
        <v>3464</v>
      </c>
      <c r="H388" s="4"/>
      <c r="K388" s="18"/>
      <c r="L388" s="33"/>
      <c r="M388" s="20"/>
      <c r="N388" s="20"/>
      <c r="O388" s="20"/>
      <c r="P388" s="20"/>
      <c r="Q388" s="20"/>
      <c r="R388" s="20"/>
      <c r="S388" s="20"/>
      <c r="T388" s="20"/>
      <c r="U388" s="34"/>
      <c r="AF388" s="11" t="str">
        <f t="shared" si="268"/>
        <v/>
      </c>
      <c r="AG388" s="11" t="str">
        <f t="shared" ref="AG388:AO388" si="376">if(not(isblank(M388)),", "&amp;M388,"")</f>
        <v/>
      </c>
      <c r="AH388" s="11" t="str">
        <f t="shared" si="376"/>
        <v/>
      </c>
      <c r="AI388" s="11" t="str">
        <f t="shared" si="376"/>
        <v/>
      </c>
      <c r="AJ388" s="11" t="str">
        <f t="shared" si="376"/>
        <v/>
      </c>
      <c r="AK388" s="11" t="str">
        <f t="shared" si="376"/>
        <v/>
      </c>
      <c r="AL388" s="11" t="str">
        <f t="shared" si="376"/>
        <v/>
      </c>
      <c r="AM388" s="11" t="str">
        <f t="shared" si="376"/>
        <v/>
      </c>
      <c r="AN388" s="11" t="str">
        <f t="shared" si="376"/>
        <v/>
      </c>
      <c r="AO388" s="11" t="str">
        <f t="shared" si="376"/>
        <v/>
      </c>
      <c r="AP388" s="21" t="str">
        <f t="shared" si="270"/>
        <v>willow-black-suede</v>
      </c>
    </row>
    <row r="389" ht="16.5" customHeight="1">
      <c r="A389" s="32" t="s">
        <v>38</v>
      </c>
      <c r="B389" s="32" t="s">
        <v>3304</v>
      </c>
      <c r="C389" s="32" t="s">
        <v>3464</v>
      </c>
      <c r="D389" s="32" t="s">
        <v>3465</v>
      </c>
      <c r="E389" s="32" t="s">
        <v>3466</v>
      </c>
      <c r="F389" s="4" t="s">
        <v>3467</v>
      </c>
      <c r="G389" s="4" t="s">
        <v>3460</v>
      </c>
      <c r="H389" s="4"/>
      <c r="K389" s="18"/>
      <c r="L389" s="33"/>
      <c r="M389" s="20"/>
      <c r="N389" s="20"/>
      <c r="O389" s="20"/>
      <c r="P389" s="20"/>
      <c r="Q389" s="20"/>
      <c r="R389" s="20"/>
      <c r="S389" s="20"/>
      <c r="T389" s="20"/>
      <c r="U389" s="34"/>
      <c r="AF389" s="11" t="str">
        <f t="shared" si="268"/>
        <v/>
      </c>
      <c r="AG389" s="11" t="str">
        <f t="shared" ref="AG389:AO389" si="377">if(not(isblank(M389)),", "&amp;M389,"")</f>
        <v/>
      </c>
      <c r="AH389" s="11" t="str">
        <f t="shared" si="377"/>
        <v/>
      </c>
      <c r="AI389" s="11" t="str">
        <f t="shared" si="377"/>
        <v/>
      </c>
      <c r="AJ389" s="11" t="str">
        <f t="shared" si="377"/>
        <v/>
      </c>
      <c r="AK389" s="11" t="str">
        <f t="shared" si="377"/>
        <v/>
      </c>
      <c r="AL389" s="11" t="str">
        <f t="shared" si="377"/>
        <v/>
      </c>
      <c r="AM389" s="11" t="str">
        <f t="shared" si="377"/>
        <v/>
      </c>
      <c r="AN389" s="11" t="str">
        <f t="shared" si="377"/>
        <v/>
      </c>
      <c r="AO389" s="11" t="str">
        <f t="shared" si="377"/>
        <v/>
      </c>
      <c r="AP389" s="21" t="str">
        <f t="shared" si="270"/>
        <v>willow-beige-suede</v>
      </c>
    </row>
    <row r="390" ht="16.5" customHeight="1">
      <c r="A390" s="32" t="s">
        <v>38</v>
      </c>
      <c r="B390" s="32" t="s">
        <v>257</v>
      </c>
      <c r="C390" s="32" t="s">
        <v>1505</v>
      </c>
      <c r="D390" s="32" t="s">
        <v>1506</v>
      </c>
      <c r="E390" s="32" t="s">
        <v>3468</v>
      </c>
      <c r="F390" s="4" t="s">
        <v>1508</v>
      </c>
      <c r="G390" s="4" t="s">
        <v>3469</v>
      </c>
      <c r="K390" s="18"/>
      <c r="L390" s="35" t="s">
        <v>1472</v>
      </c>
      <c r="M390" s="19" t="s">
        <v>1912</v>
      </c>
      <c r="N390" s="19" t="s">
        <v>3470</v>
      </c>
      <c r="O390" s="19"/>
      <c r="P390" s="20"/>
      <c r="Q390" s="20"/>
      <c r="R390" s="20"/>
      <c r="S390" s="20"/>
      <c r="T390" s="20"/>
      <c r="U390" s="34"/>
      <c r="AF390" s="11" t="str">
        <f t="shared" si="268"/>
        <v>riley-charcoal</v>
      </c>
      <c r="AG390" s="11" t="str">
        <f t="shared" ref="AG390:AO390" si="378">if(not(isblank(M390)),", "&amp;M390,"")</f>
        <v>, riley-green</v>
      </c>
      <c r="AH390" s="11" t="str">
        <f t="shared" si="378"/>
        <v>, riley-grey</v>
      </c>
      <c r="AI390" s="11" t="str">
        <f t="shared" si="378"/>
        <v/>
      </c>
      <c r="AJ390" s="11" t="str">
        <f t="shared" si="378"/>
        <v/>
      </c>
      <c r="AK390" s="11" t="str">
        <f t="shared" si="378"/>
        <v/>
      </c>
      <c r="AL390" s="11" t="str">
        <f t="shared" si="378"/>
        <v/>
      </c>
      <c r="AM390" s="11" t="str">
        <f t="shared" si="378"/>
        <v/>
      </c>
      <c r="AN390" s="11" t="str">
        <f t="shared" si="378"/>
        <v/>
      </c>
      <c r="AO390" s="11" t="str">
        <f t="shared" si="378"/>
        <v/>
      </c>
      <c r="AP390" s="21" t="str">
        <f t="shared" si="270"/>
        <v>riley-charcoal, riley-green, riley-grey</v>
      </c>
    </row>
    <row r="391" ht="16.5" customHeight="1">
      <c r="A391" s="32" t="s">
        <v>38</v>
      </c>
      <c r="B391" s="32" t="s">
        <v>52</v>
      </c>
      <c r="C391" s="32" t="s">
        <v>3471</v>
      </c>
      <c r="D391" s="32" t="s">
        <v>3472</v>
      </c>
      <c r="E391" s="32" t="s">
        <v>3473</v>
      </c>
      <c r="F391" s="4" t="s">
        <v>3474</v>
      </c>
      <c r="G391" s="4"/>
      <c r="H391" s="4"/>
      <c r="K391" s="18"/>
      <c r="L391" s="33"/>
      <c r="M391" s="20"/>
      <c r="N391" s="20"/>
      <c r="O391" s="20"/>
      <c r="P391" s="20"/>
      <c r="Q391" s="20"/>
      <c r="R391" s="20"/>
      <c r="S391" s="20"/>
      <c r="T391" s="20"/>
      <c r="U391" s="34"/>
      <c r="AF391" s="11" t="str">
        <f t="shared" si="268"/>
        <v/>
      </c>
      <c r="AG391" s="11" t="str">
        <f t="shared" ref="AG391:AO391" si="379">if(not(isblank(M391)),", "&amp;M391,"")</f>
        <v/>
      </c>
      <c r="AH391" s="11" t="str">
        <f t="shared" si="379"/>
        <v/>
      </c>
      <c r="AI391" s="11" t="str">
        <f t="shared" si="379"/>
        <v/>
      </c>
      <c r="AJ391" s="11" t="str">
        <f t="shared" si="379"/>
        <v/>
      </c>
      <c r="AK391" s="11" t="str">
        <f t="shared" si="379"/>
        <v/>
      </c>
      <c r="AL391" s="11" t="str">
        <f t="shared" si="379"/>
        <v/>
      </c>
      <c r="AM391" s="11" t="str">
        <f t="shared" si="379"/>
        <v/>
      </c>
      <c r="AN391" s="11" t="str">
        <f t="shared" si="379"/>
        <v/>
      </c>
      <c r="AO391" s="11" t="str">
        <f t="shared" si="379"/>
        <v/>
      </c>
      <c r="AP391" s="21" t="str">
        <f t="shared" si="270"/>
        <v/>
      </c>
    </row>
    <row r="392" ht="16.5" customHeight="1">
      <c r="A392" s="32" t="s">
        <v>38</v>
      </c>
      <c r="B392" s="32" t="s">
        <v>257</v>
      </c>
      <c r="C392" s="32" t="s">
        <v>1596</v>
      </c>
      <c r="D392" s="32" t="s">
        <v>3475</v>
      </c>
      <c r="E392" s="32" t="s">
        <v>3476</v>
      </c>
      <c r="F392" s="4" t="s">
        <v>3477</v>
      </c>
      <c r="G392" s="4" t="s">
        <v>1594</v>
      </c>
      <c r="H392" s="4"/>
      <c r="K392" s="18"/>
      <c r="L392" s="33"/>
      <c r="M392" s="20"/>
      <c r="N392" s="20"/>
      <c r="O392" s="20"/>
      <c r="P392" s="20"/>
      <c r="Q392" s="20"/>
      <c r="R392" s="20"/>
      <c r="S392" s="20"/>
      <c r="T392" s="20"/>
      <c r="U392" s="34"/>
      <c r="AF392" s="11" t="str">
        <f t="shared" si="268"/>
        <v/>
      </c>
      <c r="AG392" s="11" t="str">
        <f t="shared" ref="AG392:AO392" si="380">if(not(isblank(M392)),", "&amp;M392,"")</f>
        <v/>
      </c>
      <c r="AH392" s="11" t="str">
        <f t="shared" si="380"/>
        <v/>
      </c>
      <c r="AI392" s="11" t="str">
        <f t="shared" si="380"/>
        <v/>
      </c>
      <c r="AJ392" s="11" t="str">
        <f t="shared" si="380"/>
        <v/>
      </c>
      <c r="AK392" s="11" t="str">
        <f t="shared" si="380"/>
        <v/>
      </c>
      <c r="AL392" s="11" t="str">
        <f t="shared" si="380"/>
        <v/>
      </c>
      <c r="AM392" s="11" t="str">
        <f t="shared" si="380"/>
        <v/>
      </c>
      <c r="AN392" s="11" t="str">
        <f t="shared" si="380"/>
        <v/>
      </c>
      <c r="AO392" s="11" t="str">
        <f t="shared" si="380"/>
        <v/>
      </c>
      <c r="AP392" s="21" t="str">
        <f t="shared" si="270"/>
        <v>margo-japan-black</v>
      </c>
    </row>
    <row r="393" ht="16.5" customHeight="1">
      <c r="A393" s="32" t="s">
        <v>38</v>
      </c>
      <c r="B393" s="32" t="s">
        <v>307</v>
      </c>
      <c r="C393" s="32" t="s">
        <v>3339</v>
      </c>
      <c r="D393" s="32" t="s">
        <v>3478</v>
      </c>
      <c r="E393" s="32" t="s">
        <v>3479</v>
      </c>
      <c r="F393" s="4" t="s">
        <v>310</v>
      </c>
      <c r="G393" s="4" t="s">
        <v>3480</v>
      </c>
      <c r="K393" s="18"/>
      <c r="L393" s="33"/>
      <c r="M393" s="20"/>
      <c r="N393" s="20"/>
      <c r="O393" s="20"/>
      <c r="P393" s="20"/>
      <c r="Q393" s="20"/>
      <c r="R393" s="20"/>
      <c r="S393" s="20"/>
      <c r="T393" s="20"/>
      <c r="U393" s="34"/>
      <c r="AF393" s="11" t="str">
        <f t="shared" si="268"/>
        <v/>
      </c>
      <c r="AG393" s="11" t="str">
        <f t="shared" ref="AG393:AO393" si="381">if(not(isblank(M393)),", "&amp;M393,"")</f>
        <v/>
      </c>
      <c r="AH393" s="11" t="str">
        <f t="shared" si="381"/>
        <v/>
      </c>
      <c r="AI393" s="11" t="str">
        <f t="shared" si="381"/>
        <v/>
      </c>
      <c r="AJ393" s="11" t="str">
        <f t="shared" si="381"/>
        <v/>
      </c>
      <c r="AK393" s="11" t="str">
        <f t="shared" si="381"/>
        <v/>
      </c>
      <c r="AL393" s="11" t="str">
        <f t="shared" si="381"/>
        <v/>
      </c>
      <c r="AM393" s="11" t="str">
        <f t="shared" si="381"/>
        <v/>
      </c>
      <c r="AN393" s="11" t="str">
        <f t="shared" si="381"/>
        <v/>
      </c>
      <c r="AO393" s="11" t="str">
        <f t="shared" si="381"/>
        <v/>
      </c>
      <c r="AP393" s="21" t="str">
        <f t="shared" si="270"/>
        <v>keri-black-linen, keri-green-linen, keri-magnet-linen, keri-white-linen</v>
      </c>
    </row>
    <row r="394" ht="16.5" customHeight="1">
      <c r="A394" s="32" t="s">
        <v>38</v>
      </c>
      <c r="B394" s="32" t="s">
        <v>307</v>
      </c>
      <c r="C394" s="32" t="s">
        <v>3453</v>
      </c>
      <c r="D394" s="32" t="s">
        <v>3481</v>
      </c>
      <c r="E394" s="32" t="s">
        <v>3482</v>
      </c>
      <c r="F394" s="4" t="s">
        <v>3483</v>
      </c>
      <c r="G394" s="4" t="s">
        <v>3449</v>
      </c>
      <c r="H394" s="4"/>
      <c r="K394" s="18"/>
      <c r="L394" s="33"/>
      <c r="M394" s="20"/>
      <c r="N394" s="20"/>
      <c r="O394" s="20"/>
      <c r="P394" s="20"/>
      <c r="Q394" s="20"/>
      <c r="R394" s="20"/>
      <c r="S394" s="20"/>
      <c r="T394" s="20"/>
      <c r="U394" s="34"/>
      <c r="AF394" s="11" t="str">
        <f t="shared" si="268"/>
        <v/>
      </c>
      <c r="AG394" s="11" t="str">
        <f t="shared" ref="AG394:AO394" si="382">if(not(isblank(M394)),", "&amp;M394,"")</f>
        <v/>
      </c>
      <c r="AH394" s="11" t="str">
        <f t="shared" si="382"/>
        <v/>
      </c>
      <c r="AI394" s="11" t="str">
        <f t="shared" si="382"/>
        <v/>
      </c>
      <c r="AJ394" s="11" t="str">
        <f t="shared" si="382"/>
        <v/>
      </c>
      <c r="AK394" s="11" t="str">
        <f t="shared" si="382"/>
        <v/>
      </c>
      <c r="AL394" s="11" t="str">
        <f t="shared" si="382"/>
        <v/>
      </c>
      <c r="AM394" s="11" t="str">
        <f t="shared" si="382"/>
        <v/>
      </c>
      <c r="AN394" s="11" t="str">
        <f t="shared" si="382"/>
        <v/>
      </c>
      <c r="AO394" s="11" t="str">
        <f t="shared" si="382"/>
        <v/>
      </c>
      <c r="AP394" s="21" t="str">
        <f t="shared" si="270"/>
        <v>iris-black</v>
      </c>
    </row>
    <row r="395" ht="16.5" customHeight="1">
      <c r="A395" s="32" t="s">
        <v>38</v>
      </c>
      <c r="B395" s="32" t="s">
        <v>3244</v>
      </c>
      <c r="C395" s="32" t="s">
        <v>3484</v>
      </c>
      <c r="D395" s="32" t="s">
        <v>3485</v>
      </c>
      <c r="E395" s="36"/>
      <c r="F395" s="4"/>
      <c r="G395" s="4"/>
      <c r="H395" s="4"/>
      <c r="K395" s="18"/>
      <c r="L395" s="33"/>
      <c r="M395" s="20"/>
      <c r="N395" s="20"/>
      <c r="O395" s="20"/>
      <c r="P395" s="20"/>
      <c r="Q395" s="20"/>
      <c r="R395" s="20"/>
      <c r="S395" s="20"/>
      <c r="T395" s="20"/>
      <c r="U395" s="34"/>
      <c r="AF395" s="11" t="str">
        <f t="shared" si="268"/>
        <v/>
      </c>
      <c r="AG395" s="11" t="str">
        <f t="shared" ref="AG395:AO395" si="383">if(not(isblank(M395)),", "&amp;M395,"")</f>
        <v/>
      </c>
      <c r="AH395" s="11" t="str">
        <f t="shared" si="383"/>
        <v/>
      </c>
      <c r="AI395" s="11" t="str">
        <f t="shared" si="383"/>
        <v/>
      </c>
      <c r="AJ395" s="11" t="str">
        <f t="shared" si="383"/>
        <v/>
      </c>
      <c r="AK395" s="11" t="str">
        <f t="shared" si="383"/>
        <v/>
      </c>
      <c r="AL395" s="11" t="str">
        <f t="shared" si="383"/>
        <v/>
      </c>
      <c r="AM395" s="11" t="str">
        <f t="shared" si="383"/>
        <v/>
      </c>
      <c r="AN395" s="11" t="str">
        <f t="shared" si="383"/>
        <v/>
      </c>
      <c r="AO395" s="11" t="str">
        <f t="shared" si="383"/>
        <v/>
      </c>
      <c r="AP395" s="21" t="str">
        <f t="shared" si="270"/>
        <v/>
      </c>
    </row>
    <row r="396" ht="16.5" customHeight="1">
      <c r="A396" s="32" t="s">
        <v>38</v>
      </c>
      <c r="B396" s="32" t="s">
        <v>47</v>
      </c>
      <c r="C396" s="32" t="s">
        <v>3486</v>
      </c>
      <c r="D396" s="32" t="s">
        <v>3487</v>
      </c>
      <c r="E396" s="32" t="s">
        <v>3488</v>
      </c>
      <c r="F396" s="4" t="s">
        <v>3489</v>
      </c>
      <c r="G396" s="4"/>
      <c r="H396" s="4"/>
      <c r="K396" s="18"/>
      <c r="L396" s="35" t="s">
        <v>3490</v>
      </c>
      <c r="M396" s="19" t="s">
        <v>3491</v>
      </c>
      <c r="N396" s="20"/>
      <c r="O396" s="20"/>
      <c r="P396" s="20"/>
      <c r="Q396" s="20"/>
      <c r="R396" s="20"/>
      <c r="S396" s="20"/>
      <c r="T396" s="20"/>
      <c r="U396" s="34"/>
      <c r="AF396" s="11" t="str">
        <f t="shared" si="268"/>
        <v>lefty-mud-moleskin</v>
      </c>
      <c r="AG396" s="11" t="str">
        <f t="shared" ref="AG396:AO396" si="384">if(not(isblank(M396)),", "&amp;M396,"")</f>
        <v>, lefty-red-check</v>
      </c>
      <c r="AH396" s="11" t="str">
        <f t="shared" si="384"/>
        <v/>
      </c>
      <c r="AI396" s="11" t="str">
        <f t="shared" si="384"/>
        <v/>
      </c>
      <c r="AJ396" s="11" t="str">
        <f t="shared" si="384"/>
        <v/>
      </c>
      <c r="AK396" s="11" t="str">
        <f t="shared" si="384"/>
        <v/>
      </c>
      <c r="AL396" s="11" t="str">
        <f t="shared" si="384"/>
        <v/>
      </c>
      <c r="AM396" s="11" t="str">
        <f t="shared" si="384"/>
        <v/>
      </c>
      <c r="AN396" s="11" t="str">
        <f t="shared" si="384"/>
        <v/>
      </c>
      <c r="AO396" s="11" t="str">
        <f t="shared" si="384"/>
        <v/>
      </c>
      <c r="AP396" s="21" t="str">
        <f t="shared" si="270"/>
        <v>lefty-mud-moleskin, lefty-red-check</v>
      </c>
    </row>
    <row r="397" ht="16.5" customHeight="1">
      <c r="A397" s="32" t="s">
        <v>38</v>
      </c>
      <c r="B397" s="32" t="s">
        <v>307</v>
      </c>
      <c r="C397" s="32" t="s">
        <v>3295</v>
      </c>
      <c r="D397" s="32" t="s">
        <v>3492</v>
      </c>
      <c r="E397" s="32" t="s">
        <v>3493</v>
      </c>
      <c r="F397" s="4" t="s">
        <v>3494</v>
      </c>
      <c r="G397" s="4" t="s">
        <v>3291</v>
      </c>
      <c r="H397" s="4"/>
      <c r="K397" s="18"/>
      <c r="L397" s="35" t="s">
        <v>1823</v>
      </c>
      <c r="M397" s="19" t="s">
        <v>1928</v>
      </c>
      <c r="N397" s="20"/>
      <c r="O397" s="20"/>
      <c r="P397" s="20"/>
      <c r="Q397" s="20"/>
      <c r="R397" s="20"/>
      <c r="S397" s="20"/>
      <c r="T397" s="20"/>
      <c r="U397" s="34"/>
      <c r="AF397" s="11" t="str">
        <f t="shared" si="268"/>
        <v>hayes-stripe</v>
      </c>
      <c r="AG397" s="11" t="str">
        <f t="shared" ref="AG397:AO397" si="385">if(not(isblank(M397)),", "&amp;M397,"")</f>
        <v>, hayes-suit-jacket-black</v>
      </c>
      <c r="AH397" s="11" t="str">
        <f t="shared" si="385"/>
        <v/>
      </c>
      <c r="AI397" s="11" t="str">
        <f t="shared" si="385"/>
        <v/>
      </c>
      <c r="AJ397" s="11" t="str">
        <f t="shared" si="385"/>
        <v/>
      </c>
      <c r="AK397" s="11" t="str">
        <f t="shared" si="385"/>
        <v/>
      </c>
      <c r="AL397" s="11" t="str">
        <f t="shared" si="385"/>
        <v/>
      </c>
      <c r="AM397" s="11" t="str">
        <f t="shared" si="385"/>
        <v/>
      </c>
      <c r="AN397" s="11" t="str">
        <f t="shared" si="385"/>
        <v/>
      </c>
      <c r="AO397" s="11" t="str">
        <f t="shared" si="385"/>
        <v/>
      </c>
      <c r="AP397" s="21" t="str">
        <f t="shared" si="270"/>
        <v>hayes-stripe, hayes-suit-jacket-black</v>
      </c>
    </row>
    <row r="398" ht="16.5" customHeight="1">
      <c r="A398" s="32" t="s">
        <v>38</v>
      </c>
      <c r="B398" s="32" t="s">
        <v>39</v>
      </c>
      <c r="C398" s="32" t="s">
        <v>3495</v>
      </c>
      <c r="D398" s="32" t="s">
        <v>3496</v>
      </c>
      <c r="E398" s="32" t="s">
        <v>3497</v>
      </c>
      <c r="F398" s="4" t="s">
        <v>3498</v>
      </c>
      <c r="G398" s="4"/>
      <c r="H398" s="4"/>
      <c r="K398" s="18"/>
      <c r="L398" s="33"/>
      <c r="M398" s="20"/>
      <c r="N398" s="20"/>
      <c r="O398" s="20"/>
      <c r="P398" s="20"/>
      <c r="Q398" s="20"/>
      <c r="R398" s="20"/>
      <c r="S398" s="20"/>
      <c r="T398" s="20"/>
      <c r="U398" s="34"/>
      <c r="AF398" s="11" t="str">
        <f t="shared" si="268"/>
        <v/>
      </c>
      <c r="AG398" s="11" t="str">
        <f t="shared" ref="AG398:AO398" si="386">if(not(isblank(M398)),", "&amp;M398,"")</f>
        <v/>
      </c>
      <c r="AH398" s="11" t="str">
        <f t="shared" si="386"/>
        <v/>
      </c>
      <c r="AI398" s="11" t="str">
        <f t="shared" si="386"/>
        <v/>
      </c>
      <c r="AJ398" s="11" t="str">
        <f t="shared" si="386"/>
        <v/>
      </c>
      <c r="AK398" s="11" t="str">
        <f t="shared" si="386"/>
        <v/>
      </c>
      <c r="AL398" s="11" t="str">
        <f t="shared" si="386"/>
        <v/>
      </c>
      <c r="AM398" s="11" t="str">
        <f t="shared" si="386"/>
        <v/>
      </c>
      <c r="AN398" s="11" t="str">
        <f t="shared" si="386"/>
        <v/>
      </c>
      <c r="AO398" s="11" t="str">
        <f t="shared" si="386"/>
        <v/>
      </c>
      <c r="AP398" s="21" t="str">
        <f t="shared" si="270"/>
        <v/>
      </c>
    </row>
    <row r="399" ht="16.5" customHeight="1">
      <c r="A399" s="32" t="s">
        <v>38</v>
      </c>
      <c r="B399" s="32" t="s">
        <v>73</v>
      </c>
      <c r="C399" s="32" t="s">
        <v>3499</v>
      </c>
      <c r="D399" s="32" t="s">
        <v>3500</v>
      </c>
      <c r="E399" s="32" t="s">
        <v>3501</v>
      </c>
      <c r="F399" s="4" t="s">
        <v>3502</v>
      </c>
      <c r="G399" s="4" t="s">
        <v>3503</v>
      </c>
      <c r="H399" s="4"/>
      <c r="K399" s="18"/>
      <c r="L399" s="35" t="s">
        <v>1888</v>
      </c>
      <c r="M399" s="20"/>
      <c r="N399" s="20"/>
      <c r="O399" s="20"/>
      <c r="P399" s="20"/>
      <c r="Q399" s="20"/>
      <c r="R399" s="20"/>
      <c r="S399" s="20"/>
      <c r="T399" s="20"/>
      <c r="U399" s="34"/>
      <c r="AF399" s="11" t="str">
        <f t="shared" si="268"/>
        <v>plath-black-merino-1</v>
      </c>
      <c r="AG399" s="11" t="str">
        <f t="shared" ref="AG399:AO399" si="387">if(not(isblank(M399)),", "&amp;M399,"")</f>
        <v/>
      </c>
      <c r="AH399" s="11" t="str">
        <f t="shared" si="387"/>
        <v/>
      </c>
      <c r="AI399" s="11" t="str">
        <f t="shared" si="387"/>
        <v/>
      </c>
      <c r="AJ399" s="11" t="str">
        <f t="shared" si="387"/>
        <v/>
      </c>
      <c r="AK399" s="11" t="str">
        <f t="shared" si="387"/>
        <v/>
      </c>
      <c r="AL399" s="11" t="str">
        <f t="shared" si="387"/>
        <v/>
      </c>
      <c r="AM399" s="11" t="str">
        <f t="shared" si="387"/>
        <v/>
      </c>
      <c r="AN399" s="11" t="str">
        <f t="shared" si="387"/>
        <v/>
      </c>
      <c r="AO399" s="11" t="str">
        <f t="shared" si="387"/>
        <v/>
      </c>
      <c r="AP399" s="21" t="str">
        <f t="shared" si="270"/>
        <v>plath-black-merino-1</v>
      </c>
    </row>
    <row r="400" ht="16.5" customHeight="1">
      <c r="A400" s="32" t="s">
        <v>38</v>
      </c>
      <c r="B400" s="32" t="s">
        <v>73</v>
      </c>
      <c r="C400" s="32" t="s">
        <v>3503</v>
      </c>
      <c r="D400" s="32" t="s">
        <v>3504</v>
      </c>
      <c r="E400" s="32" t="s">
        <v>3501</v>
      </c>
      <c r="F400" s="4" t="s">
        <v>3502</v>
      </c>
      <c r="G400" s="4" t="s">
        <v>3499</v>
      </c>
      <c r="H400" s="4"/>
      <c r="K400" s="18"/>
      <c r="L400" s="35" t="s">
        <v>1957</v>
      </c>
      <c r="M400" s="19" t="s">
        <v>1892</v>
      </c>
      <c r="N400" s="19" t="s">
        <v>1896</v>
      </c>
      <c r="O400" s="19" t="s">
        <v>1961</v>
      </c>
      <c r="P400" s="19" t="s">
        <v>1900</v>
      </c>
      <c r="Q400" s="19" t="s">
        <v>1888</v>
      </c>
      <c r="R400" s="19" t="s">
        <v>1886</v>
      </c>
      <c r="S400" s="19"/>
      <c r="T400" s="19"/>
      <c r="U400" s="45"/>
      <c r="AF400" s="11" t="str">
        <f t="shared" si="268"/>
        <v>plath-brown-mohair-mix-1</v>
      </c>
      <c r="AG400" s="11" t="str">
        <f t="shared" ref="AG400:AO400" si="388">if(not(isblank(M400)),", "&amp;M400,"")</f>
        <v>, plath-grey-mohair-mix</v>
      </c>
      <c r="AH400" s="11" t="str">
        <f t="shared" si="388"/>
        <v>, plath-olive-mohair-mix</v>
      </c>
      <c r="AI400" s="11" t="str">
        <f t="shared" si="388"/>
        <v>, plath-spice-mohair-mix-1</v>
      </c>
      <c r="AJ400" s="11" t="str">
        <f t="shared" si="388"/>
        <v>, plath-taupe-mohair-mix</v>
      </c>
      <c r="AK400" s="11" t="str">
        <f t="shared" si="388"/>
        <v>, plath-black-merino-1</v>
      </c>
      <c r="AL400" s="11" t="str">
        <f t="shared" si="388"/>
        <v>, plath-charcoal-merino</v>
      </c>
      <c r="AM400" s="11" t="str">
        <f t="shared" si="388"/>
        <v/>
      </c>
      <c r="AN400" s="11" t="str">
        <f t="shared" si="388"/>
        <v/>
      </c>
      <c r="AO400" s="11" t="str">
        <f t="shared" si="388"/>
        <v/>
      </c>
      <c r="AP400" s="21" t="str">
        <f t="shared" si="270"/>
        <v>plath-brown-mohair-mix-1, plath-grey-mohair-mix, plath-olive-mohair-mix, plath-spice-mohair-mix-1, plath-taupe-mohair-mix, plath-black-merino-1, plath-charcoal-merino</v>
      </c>
    </row>
    <row r="401" ht="16.5" customHeight="1">
      <c r="A401" s="32" t="s">
        <v>38</v>
      </c>
      <c r="B401" s="32" t="s">
        <v>73</v>
      </c>
      <c r="C401" s="32" t="s">
        <v>3505</v>
      </c>
      <c r="D401" s="32" t="s">
        <v>3506</v>
      </c>
      <c r="E401" s="32" t="s">
        <v>3507</v>
      </c>
      <c r="F401" s="4" t="s">
        <v>3508</v>
      </c>
      <c r="G401" s="4"/>
      <c r="H401" s="4" t="s">
        <v>3339</v>
      </c>
      <c r="K401" s="18"/>
      <c r="L401" s="35" t="s">
        <v>1879</v>
      </c>
      <c r="M401" s="19" t="s">
        <v>1957</v>
      </c>
      <c r="N401" s="19" t="s">
        <v>1896</v>
      </c>
      <c r="O401" s="19" t="s">
        <v>1961</v>
      </c>
      <c r="P401" s="19" t="s">
        <v>1900</v>
      </c>
      <c r="Q401" s="19" t="s">
        <v>1888</v>
      </c>
      <c r="R401" s="19" t="s">
        <v>1886</v>
      </c>
      <c r="S401" s="19"/>
      <c r="T401" s="20"/>
      <c r="U401" s="34"/>
      <c r="AF401" s="11" t="str">
        <f t="shared" si="268"/>
        <v>plath-blue-mohair-mix</v>
      </c>
      <c r="AG401" s="11" t="str">
        <f t="shared" ref="AG401:AO401" si="389">if(not(isblank(M401)),", "&amp;M401,"")</f>
        <v>, plath-brown-mohair-mix-1</v>
      </c>
      <c r="AH401" s="11" t="str">
        <f t="shared" si="389"/>
        <v>, plath-olive-mohair-mix</v>
      </c>
      <c r="AI401" s="11" t="str">
        <f t="shared" si="389"/>
        <v>, plath-spice-mohair-mix-1</v>
      </c>
      <c r="AJ401" s="11" t="str">
        <f t="shared" si="389"/>
        <v>, plath-taupe-mohair-mix</v>
      </c>
      <c r="AK401" s="11" t="str">
        <f t="shared" si="389"/>
        <v>, plath-black-merino-1</v>
      </c>
      <c r="AL401" s="11" t="str">
        <f t="shared" si="389"/>
        <v>, plath-charcoal-merino</v>
      </c>
      <c r="AM401" s="11" t="str">
        <f t="shared" si="389"/>
        <v/>
      </c>
      <c r="AN401" s="11" t="str">
        <f t="shared" si="389"/>
        <v/>
      </c>
      <c r="AO401" s="11" t="str">
        <f t="shared" si="389"/>
        <v/>
      </c>
      <c r="AP401" s="21" t="str">
        <f t="shared" si="270"/>
        <v>plath-blue-mohair-mix, plath-brown-mohair-mix-1, plath-olive-mohair-mix, plath-spice-mohair-mix-1, plath-taupe-mohair-mix, plath-black-merino-1, plath-charcoal-merino</v>
      </c>
    </row>
    <row r="402" ht="16.5" customHeight="1">
      <c r="A402" s="32" t="s">
        <v>38</v>
      </c>
      <c r="B402" s="32" t="s">
        <v>103</v>
      </c>
      <c r="C402" s="32" t="s">
        <v>3509</v>
      </c>
      <c r="D402" s="32" t="s">
        <v>3510</v>
      </c>
      <c r="E402" s="32" t="s">
        <v>3511</v>
      </c>
      <c r="F402" s="4" t="s">
        <v>3512</v>
      </c>
      <c r="G402" s="4"/>
      <c r="H402" s="4"/>
      <c r="K402" s="18"/>
      <c r="L402" s="35" t="s">
        <v>1841</v>
      </c>
      <c r="M402" s="20"/>
      <c r="N402" s="20"/>
      <c r="O402" s="20"/>
      <c r="P402" s="20"/>
      <c r="Q402" s="20"/>
      <c r="R402" s="20"/>
      <c r="S402" s="20"/>
      <c r="T402" s="20"/>
      <c r="U402" s="34"/>
      <c r="AF402" s="11" t="str">
        <f t="shared" si="268"/>
        <v>barkle-black-casentino</v>
      </c>
      <c r="AG402" s="11" t="str">
        <f t="shared" ref="AG402:AO402" si="390">if(not(isblank(M402)),", "&amp;M402,"")</f>
        <v/>
      </c>
      <c r="AH402" s="11" t="str">
        <f t="shared" si="390"/>
        <v/>
      </c>
      <c r="AI402" s="11" t="str">
        <f t="shared" si="390"/>
        <v/>
      </c>
      <c r="AJ402" s="11" t="str">
        <f t="shared" si="390"/>
        <v/>
      </c>
      <c r="AK402" s="11" t="str">
        <f t="shared" si="390"/>
        <v/>
      </c>
      <c r="AL402" s="11" t="str">
        <f t="shared" si="390"/>
        <v/>
      </c>
      <c r="AM402" s="11" t="str">
        <f t="shared" si="390"/>
        <v/>
      </c>
      <c r="AN402" s="11" t="str">
        <f t="shared" si="390"/>
        <v/>
      </c>
      <c r="AO402" s="11" t="str">
        <f t="shared" si="390"/>
        <v/>
      </c>
      <c r="AP402" s="21" t="str">
        <f t="shared" si="270"/>
        <v>barkle-black-casentino</v>
      </c>
    </row>
    <row r="403" ht="16.5" customHeight="1">
      <c r="A403" s="32" t="s">
        <v>38</v>
      </c>
      <c r="B403" s="32" t="s">
        <v>330</v>
      </c>
      <c r="C403" s="32" t="s">
        <v>3513</v>
      </c>
      <c r="D403" s="32" t="s">
        <v>3514</v>
      </c>
      <c r="E403" s="32" t="s">
        <v>3515</v>
      </c>
      <c r="F403" s="4" t="s">
        <v>3516</v>
      </c>
      <c r="G403" s="4" t="s">
        <v>3517</v>
      </c>
      <c r="H403" s="4" t="s">
        <v>3518</v>
      </c>
      <c r="K403" s="18"/>
      <c r="L403" s="35" t="s">
        <v>1539</v>
      </c>
      <c r="M403" s="19" t="s">
        <v>233</v>
      </c>
      <c r="N403" s="19" t="s">
        <v>1779</v>
      </c>
      <c r="O403" s="19" t="s">
        <v>1505</v>
      </c>
      <c r="P403" s="20"/>
      <c r="Q403" s="20"/>
      <c r="R403" s="20"/>
      <c r="S403" s="20"/>
      <c r="T403" s="20"/>
      <c r="U403" s="34"/>
      <c r="AF403" s="11" t="str">
        <f t="shared" si="268"/>
        <v>keri-japan-dawn</v>
      </c>
      <c r="AG403" s="11" t="str">
        <f t="shared" ref="AG403:AO403" si="391">if(not(isblank(M403)),", "&amp;M403,"")</f>
        <v>, keri-japan-black</v>
      </c>
      <c r="AH403" s="11" t="str">
        <f t="shared" si="391"/>
        <v>, keri-japan-fog</v>
      </c>
      <c r="AI403" s="11" t="str">
        <f t="shared" si="391"/>
        <v>, keri-japan-broken</v>
      </c>
      <c r="AJ403" s="11" t="str">
        <f t="shared" si="391"/>
        <v/>
      </c>
      <c r="AK403" s="11" t="str">
        <f t="shared" si="391"/>
        <v/>
      </c>
      <c r="AL403" s="11" t="str">
        <f t="shared" si="391"/>
        <v/>
      </c>
      <c r="AM403" s="11" t="str">
        <f t="shared" si="391"/>
        <v/>
      </c>
      <c r="AN403" s="11" t="str">
        <f t="shared" si="391"/>
        <v/>
      </c>
      <c r="AO403" s="11" t="str">
        <f t="shared" si="391"/>
        <v/>
      </c>
      <c r="AP403" s="21" t="str">
        <f t="shared" si="270"/>
        <v>keri-japan-dawn, keri-japan-black, keri-japan-fog, keri-japan-broken</v>
      </c>
    </row>
    <row r="404" ht="16.5" customHeight="1">
      <c r="A404" s="32" t="s">
        <v>38</v>
      </c>
      <c r="B404" s="32" t="s">
        <v>3304</v>
      </c>
      <c r="C404" s="32" t="s">
        <v>3519</v>
      </c>
      <c r="D404" s="32" t="s">
        <v>3520</v>
      </c>
      <c r="E404" s="36"/>
      <c r="F404" s="4"/>
      <c r="G404" s="4"/>
      <c r="H404" s="4"/>
      <c r="K404" s="18"/>
      <c r="L404" s="33"/>
      <c r="M404" s="20"/>
      <c r="N404" s="20"/>
      <c r="O404" s="20"/>
      <c r="P404" s="20"/>
      <c r="Q404" s="20"/>
      <c r="R404" s="20"/>
      <c r="S404" s="20"/>
      <c r="T404" s="20"/>
      <c r="U404" s="34"/>
      <c r="AF404" s="11" t="str">
        <f t="shared" si="268"/>
        <v/>
      </c>
      <c r="AG404" s="11" t="str">
        <f t="shared" ref="AG404:AO404" si="392">if(not(isblank(M404)),", "&amp;M404,"")</f>
        <v/>
      </c>
      <c r="AH404" s="11" t="str">
        <f t="shared" si="392"/>
        <v/>
      </c>
      <c r="AI404" s="11" t="str">
        <f t="shared" si="392"/>
        <v/>
      </c>
      <c r="AJ404" s="11" t="str">
        <f t="shared" si="392"/>
        <v/>
      </c>
      <c r="AK404" s="11" t="str">
        <f t="shared" si="392"/>
        <v/>
      </c>
      <c r="AL404" s="11" t="str">
        <f t="shared" si="392"/>
        <v/>
      </c>
      <c r="AM404" s="11" t="str">
        <f t="shared" si="392"/>
        <v/>
      </c>
      <c r="AN404" s="11" t="str">
        <f t="shared" si="392"/>
        <v/>
      </c>
      <c r="AO404" s="11" t="str">
        <f t="shared" si="392"/>
        <v/>
      </c>
      <c r="AP404" s="21" t="str">
        <f t="shared" si="270"/>
        <v/>
      </c>
    </row>
    <row r="405" ht="16.5" customHeight="1">
      <c r="A405" s="32" t="s">
        <v>38</v>
      </c>
      <c r="B405" s="32" t="s">
        <v>52</v>
      </c>
      <c r="C405" s="32" t="s">
        <v>2440</v>
      </c>
      <c r="D405" s="32" t="s">
        <v>3521</v>
      </c>
      <c r="E405" s="32" t="s">
        <v>3522</v>
      </c>
      <c r="F405" s="4" t="s">
        <v>3523</v>
      </c>
      <c r="G405" s="4"/>
      <c r="H405" s="4" t="s">
        <v>3524</v>
      </c>
      <c r="K405" s="18"/>
      <c r="L405" s="33"/>
      <c r="M405" s="20"/>
      <c r="N405" s="20"/>
      <c r="O405" s="20"/>
      <c r="P405" s="20"/>
      <c r="Q405" s="20"/>
      <c r="R405" s="20"/>
      <c r="S405" s="20"/>
      <c r="T405" s="20"/>
      <c r="U405" s="34"/>
      <c r="AP405" s="21"/>
    </row>
    <row r="406" ht="16.5" customHeight="1">
      <c r="A406" s="32" t="s">
        <v>38</v>
      </c>
      <c r="B406" s="32" t="s">
        <v>39</v>
      </c>
      <c r="C406" s="32" t="s">
        <v>2451</v>
      </c>
      <c r="D406" s="32" t="s">
        <v>3525</v>
      </c>
      <c r="E406" s="32" t="s">
        <v>3526</v>
      </c>
      <c r="F406" s="4" t="s">
        <v>3310</v>
      </c>
      <c r="G406" s="4" t="s">
        <v>3527</v>
      </c>
      <c r="K406" s="18"/>
      <c r="L406" s="33"/>
      <c r="M406" s="20"/>
      <c r="N406" s="20"/>
      <c r="O406" s="20"/>
      <c r="P406" s="20"/>
      <c r="Q406" s="20"/>
      <c r="R406" s="20"/>
      <c r="S406" s="20"/>
      <c r="T406" s="20"/>
      <c r="U406" s="34"/>
      <c r="AP406" s="21"/>
    </row>
    <row r="407" ht="16.5" customHeight="1">
      <c r="A407" s="32" t="s">
        <v>38</v>
      </c>
      <c r="B407" s="32" t="s">
        <v>39</v>
      </c>
      <c r="C407" s="32" t="s">
        <v>3528</v>
      </c>
      <c r="D407" s="32" t="s">
        <v>3529</v>
      </c>
      <c r="E407" s="32" t="s">
        <v>3526</v>
      </c>
      <c r="F407" s="4" t="s">
        <v>3310</v>
      </c>
      <c r="G407" s="4" t="s">
        <v>3530</v>
      </c>
      <c r="H407" s="4" t="s">
        <v>3531</v>
      </c>
      <c r="K407" s="18"/>
      <c r="L407" s="33"/>
      <c r="M407" s="20"/>
      <c r="N407" s="20"/>
      <c r="O407" s="20"/>
      <c r="P407" s="20"/>
      <c r="Q407" s="20"/>
      <c r="R407" s="20"/>
      <c r="S407" s="20"/>
      <c r="T407" s="20"/>
      <c r="U407" s="34"/>
      <c r="AP407" s="21"/>
    </row>
    <row r="408" ht="16.5" customHeight="1">
      <c r="A408" s="32" t="s">
        <v>38</v>
      </c>
      <c r="B408" s="32" t="s">
        <v>330</v>
      </c>
      <c r="C408" s="32" t="s">
        <v>3532</v>
      </c>
      <c r="D408" s="32" t="s">
        <v>3533</v>
      </c>
      <c r="E408" s="32" t="s">
        <v>3515</v>
      </c>
      <c r="F408" s="4" t="s">
        <v>3516</v>
      </c>
      <c r="G408" s="4" t="s">
        <v>3534</v>
      </c>
      <c r="K408" s="18"/>
      <c r="L408" s="33"/>
      <c r="M408" s="20"/>
      <c r="N408" s="20"/>
      <c r="O408" s="20"/>
      <c r="P408" s="20"/>
      <c r="Q408" s="20"/>
      <c r="R408" s="20"/>
      <c r="S408" s="20"/>
      <c r="T408" s="20"/>
      <c r="U408" s="34"/>
      <c r="AP408" s="21"/>
    </row>
    <row r="409" ht="16.5" customHeight="1">
      <c r="A409" s="32" t="s">
        <v>38</v>
      </c>
      <c r="B409" s="32" t="s">
        <v>35</v>
      </c>
      <c r="C409" s="32" t="s">
        <v>3535</v>
      </c>
      <c r="D409" s="32" t="s">
        <v>3536</v>
      </c>
      <c r="E409" s="32" t="s">
        <v>3537</v>
      </c>
      <c r="F409" s="4" t="s">
        <v>3538</v>
      </c>
      <c r="G409" s="4" t="s">
        <v>3539</v>
      </c>
      <c r="K409" s="18"/>
      <c r="L409" s="33"/>
      <c r="M409" s="20"/>
      <c r="N409" s="20"/>
      <c r="O409" s="20"/>
      <c r="P409" s="20"/>
      <c r="Q409" s="20"/>
      <c r="R409" s="20"/>
      <c r="S409" s="20"/>
      <c r="T409" s="20"/>
      <c r="U409" s="34"/>
      <c r="AP409" s="21"/>
    </row>
    <row r="410" ht="16.5" customHeight="1">
      <c r="A410" s="32" t="s">
        <v>38</v>
      </c>
      <c r="B410" s="32" t="s">
        <v>39</v>
      </c>
      <c r="C410" s="32" t="s">
        <v>3540</v>
      </c>
      <c r="D410" s="32" t="s">
        <v>3541</v>
      </c>
      <c r="E410" s="32" t="s">
        <v>3542</v>
      </c>
      <c r="F410" s="4" t="s">
        <v>3543</v>
      </c>
      <c r="G410" s="4" t="s">
        <v>3544</v>
      </c>
      <c r="H410" s="4" t="s">
        <v>3545</v>
      </c>
      <c r="K410" s="18"/>
      <c r="L410" s="33"/>
      <c r="M410" s="20"/>
      <c r="N410" s="20"/>
      <c r="O410" s="20"/>
      <c r="P410" s="20"/>
      <c r="Q410" s="20"/>
      <c r="R410" s="20"/>
      <c r="S410" s="20"/>
      <c r="T410" s="20"/>
      <c r="U410" s="34"/>
      <c r="AP410" s="21"/>
    </row>
    <row r="411" ht="16.5" customHeight="1">
      <c r="A411" s="32" t="s">
        <v>38</v>
      </c>
      <c r="B411" s="32" t="s">
        <v>47</v>
      </c>
      <c r="C411" s="32" t="s">
        <v>1685</v>
      </c>
      <c r="D411" s="32" t="s">
        <v>1686</v>
      </c>
      <c r="E411" s="32" t="s">
        <v>3546</v>
      </c>
      <c r="F411" s="4" t="s">
        <v>1689</v>
      </c>
      <c r="G411" s="4" t="s">
        <v>1687</v>
      </c>
      <c r="H411" s="4" t="s">
        <v>1688</v>
      </c>
      <c r="K411" s="18"/>
      <c r="L411" s="33"/>
      <c r="M411" s="20"/>
      <c r="N411" s="20"/>
      <c r="O411" s="20"/>
      <c r="P411" s="20"/>
      <c r="Q411" s="20"/>
      <c r="R411" s="20"/>
      <c r="S411" s="20"/>
      <c r="T411" s="20"/>
      <c r="U411" s="34"/>
      <c r="AP411" s="21"/>
    </row>
    <row r="412" ht="16.5" customHeight="1">
      <c r="A412" s="32" t="s">
        <v>38</v>
      </c>
      <c r="B412" s="32" t="s">
        <v>307</v>
      </c>
      <c r="C412" s="32" t="s">
        <v>1706</v>
      </c>
      <c r="D412" s="32" t="s">
        <v>1707</v>
      </c>
      <c r="E412" s="32" t="s">
        <v>3407</v>
      </c>
      <c r="F412" s="4" t="s">
        <v>310</v>
      </c>
      <c r="G412" s="4" t="s">
        <v>3547</v>
      </c>
      <c r="K412" s="18"/>
      <c r="L412" s="33"/>
      <c r="M412" s="20"/>
      <c r="N412" s="20"/>
      <c r="O412" s="20"/>
      <c r="P412" s="20"/>
      <c r="Q412" s="20"/>
      <c r="R412" s="20"/>
      <c r="S412" s="20"/>
      <c r="T412" s="20"/>
      <c r="U412" s="34"/>
      <c r="AP412" s="21"/>
    </row>
    <row r="413" ht="16.5" customHeight="1">
      <c r="A413" s="32" t="s">
        <v>38</v>
      </c>
      <c r="B413" s="32" t="s">
        <v>307</v>
      </c>
      <c r="C413" s="32" t="s">
        <v>3379</v>
      </c>
      <c r="D413" s="32" t="s">
        <v>3548</v>
      </c>
      <c r="E413" s="32" t="s">
        <v>3407</v>
      </c>
      <c r="F413" s="4" t="s">
        <v>310</v>
      </c>
      <c r="G413" s="4" t="s">
        <v>3549</v>
      </c>
      <c r="K413" s="18"/>
      <c r="L413" s="33"/>
      <c r="M413" s="20"/>
      <c r="N413" s="20"/>
      <c r="O413" s="20"/>
      <c r="P413" s="20"/>
      <c r="Q413" s="20"/>
      <c r="R413" s="20"/>
      <c r="S413" s="20"/>
      <c r="T413" s="20"/>
      <c r="U413" s="34"/>
      <c r="AP413" s="21"/>
    </row>
    <row r="414" ht="16.5" customHeight="1">
      <c r="A414" s="32" t="s">
        <v>38</v>
      </c>
      <c r="B414" s="32" t="s">
        <v>330</v>
      </c>
      <c r="C414" s="32" t="s">
        <v>3550</v>
      </c>
      <c r="D414" s="32" t="s">
        <v>3551</v>
      </c>
      <c r="E414" s="32" t="s">
        <v>3552</v>
      </c>
      <c r="F414" s="4" t="s">
        <v>3553</v>
      </c>
      <c r="G414" s="4" t="s">
        <v>3554</v>
      </c>
      <c r="H414" s="4" t="s">
        <v>3555</v>
      </c>
      <c r="K414" s="18"/>
      <c r="L414" s="33"/>
      <c r="M414" s="20"/>
      <c r="N414" s="20"/>
      <c r="O414" s="20"/>
      <c r="P414" s="20"/>
      <c r="Q414" s="20"/>
      <c r="R414" s="20"/>
      <c r="S414" s="20"/>
      <c r="T414" s="20"/>
      <c r="U414" s="34"/>
      <c r="AP414" s="21"/>
    </row>
    <row r="415" ht="16.5" customHeight="1">
      <c r="A415" s="32" t="s">
        <v>38</v>
      </c>
      <c r="B415" s="32" t="s">
        <v>103</v>
      </c>
      <c r="C415" s="32" t="s">
        <v>1763</v>
      </c>
      <c r="D415" s="32" t="s">
        <v>1764</v>
      </c>
      <c r="E415" s="32" t="s">
        <v>3556</v>
      </c>
      <c r="F415" s="4" t="s">
        <v>1765</v>
      </c>
      <c r="G415" s="4"/>
      <c r="H415" s="4"/>
      <c r="K415" s="18"/>
      <c r="L415" s="33"/>
      <c r="M415" s="20"/>
      <c r="N415" s="20"/>
      <c r="O415" s="20"/>
      <c r="P415" s="20"/>
      <c r="Q415" s="20"/>
      <c r="R415" s="20"/>
      <c r="S415" s="20"/>
      <c r="T415" s="20"/>
      <c r="U415" s="34"/>
      <c r="AP415" s="21"/>
    </row>
    <row r="416" ht="16.5" customHeight="1">
      <c r="A416" s="32" t="s">
        <v>38</v>
      </c>
      <c r="B416" s="32" t="s">
        <v>35</v>
      </c>
      <c r="C416" s="32" t="s">
        <v>3252</v>
      </c>
      <c r="D416" s="32" t="s">
        <v>3557</v>
      </c>
      <c r="E416" s="32" t="s">
        <v>3558</v>
      </c>
      <c r="F416" s="4" t="s">
        <v>3559</v>
      </c>
      <c r="G416" s="4" t="s">
        <v>3560</v>
      </c>
      <c r="H416" s="4" t="s">
        <v>3352</v>
      </c>
      <c r="K416" s="18"/>
      <c r="L416" s="33"/>
      <c r="M416" s="20"/>
      <c r="N416" s="20"/>
      <c r="O416" s="20"/>
      <c r="P416" s="20"/>
      <c r="Q416" s="20"/>
      <c r="R416" s="20"/>
      <c r="S416" s="20"/>
      <c r="T416" s="20"/>
      <c r="U416" s="34"/>
      <c r="AP416" s="21"/>
    </row>
    <row r="417" ht="16.5" customHeight="1">
      <c r="A417" s="32" t="s">
        <v>38</v>
      </c>
      <c r="B417" s="32" t="s">
        <v>324</v>
      </c>
      <c r="C417" s="32" t="s">
        <v>1813</v>
      </c>
      <c r="D417" s="32" t="s">
        <v>1814</v>
      </c>
      <c r="E417" s="32" t="s">
        <v>3561</v>
      </c>
      <c r="F417" s="4" t="s">
        <v>1815</v>
      </c>
      <c r="G417" s="4"/>
      <c r="H417" s="4"/>
      <c r="K417" s="18"/>
      <c r="L417" s="33"/>
      <c r="M417" s="20"/>
      <c r="N417" s="20"/>
      <c r="O417" s="20"/>
      <c r="P417" s="20"/>
      <c r="Q417" s="20"/>
      <c r="R417" s="20"/>
      <c r="S417" s="20"/>
      <c r="T417" s="20"/>
      <c r="U417" s="34"/>
      <c r="AP417" s="21"/>
    </row>
    <row r="418" ht="16.5" customHeight="1">
      <c r="A418" s="32" t="s">
        <v>38</v>
      </c>
      <c r="B418" s="32" t="s">
        <v>73</v>
      </c>
      <c r="C418" s="32" t="s">
        <v>3562</v>
      </c>
      <c r="D418" s="32" t="s">
        <v>3563</v>
      </c>
      <c r="E418" s="32" t="s">
        <v>3564</v>
      </c>
      <c r="F418" s="4" t="s">
        <v>3565</v>
      </c>
      <c r="G418" s="4"/>
      <c r="H418" s="4"/>
      <c r="K418" s="18"/>
      <c r="L418" s="33"/>
      <c r="M418" s="20"/>
      <c r="N418" s="20"/>
      <c r="O418" s="20"/>
      <c r="P418" s="20"/>
      <c r="Q418" s="20"/>
      <c r="R418" s="20"/>
      <c r="S418" s="20"/>
      <c r="T418" s="20"/>
      <c r="U418" s="34"/>
      <c r="AP418" s="21"/>
    </row>
    <row r="419" ht="16.5" customHeight="1">
      <c r="A419" s="32" t="s">
        <v>38</v>
      </c>
      <c r="B419" s="32" t="s">
        <v>73</v>
      </c>
      <c r="C419" s="32" t="s">
        <v>3566</v>
      </c>
      <c r="D419" s="32" t="s">
        <v>3567</v>
      </c>
      <c r="E419" s="32" t="s">
        <v>3568</v>
      </c>
      <c r="F419" s="4" t="s">
        <v>3569</v>
      </c>
      <c r="G419" s="4" t="s">
        <v>3041</v>
      </c>
      <c r="H419" s="4"/>
      <c r="K419" s="18"/>
      <c r="L419" s="33"/>
      <c r="M419" s="20"/>
      <c r="N419" s="20"/>
      <c r="O419" s="20"/>
      <c r="P419" s="20"/>
      <c r="Q419" s="20"/>
      <c r="R419" s="20"/>
      <c r="S419" s="20"/>
      <c r="T419" s="20"/>
      <c r="U419" s="34"/>
      <c r="AP419" s="21"/>
    </row>
    <row r="420" ht="16.5" customHeight="1">
      <c r="A420" s="32" t="s">
        <v>38</v>
      </c>
      <c r="B420" s="32" t="s">
        <v>73</v>
      </c>
      <c r="C420" s="32" t="s">
        <v>3041</v>
      </c>
      <c r="D420" s="32" t="s">
        <v>3570</v>
      </c>
      <c r="E420" s="32" t="s">
        <v>3568</v>
      </c>
      <c r="F420" s="4" t="s">
        <v>3569</v>
      </c>
      <c r="G420" s="4" t="s">
        <v>3566</v>
      </c>
      <c r="H420" s="4"/>
      <c r="K420" s="18"/>
      <c r="L420" s="33"/>
      <c r="M420" s="20"/>
      <c r="N420" s="20"/>
      <c r="O420" s="20"/>
      <c r="P420" s="20"/>
      <c r="Q420" s="20"/>
      <c r="R420" s="20"/>
      <c r="S420" s="20"/>
      <c r="T420" s="20"/>
      <c r="U420" s="34"/>
      <c r="AP420" s="21"/>
    </row>
    <row r="421" ht="16.5" customHeight="1">
      <c r="A421" s="32" t="s">
        <v>38</v>
      </c>
      <c r="B421" s="32" t="s">
        <v>73</v>
      </c>
      <c r="C421" s="32" t="s">
        <v>1859</v>
      </c>
      <c r="D421" s="32" t="s">
        <v>1860</v>
      </c>
      <c r="E421" s="32" t="s">
        <v>3571</v>
      </c>
      <c r="F421" s="4" t="s">
        <v>879</v>
      </c>
      <c r="G421" s="4" t="s">
        <v>3572</v>
      </c>
      <c r="H421" s="4"/>
      <c r="K421" s="18"/>
      <c r="L421" s="33"/>
      <c r="M421" s="20"/>
      <c r="N421" s="20"/>
      <c r="O421" s="20"/>
      <c r="P421" s="20"/>
      <c r="Q421" s="20"/>
      <c r="R421" s="20"/>
      <c r="S421" s="20"/>
      <c r="T421" s="20"/>
      <c r="U421" s="34"/>
      <c r="AP421" s="21"/>
    </row>
    <row r="422" ht="16.5" customHeight="1">
      <c r="A422" s="32" t="s">
        <v>38</v>
      </c>
      <c r="B422" s="32" t="s">
        <v>73</v>
      </c>
      <c r="C422" s="32" t="s">
        <v>3572</v>
      </c>
      <c r="D422" s="32" t="s">
        <v>3573</v>
      </c>
      <c r="E422" s="32" t="s">
        <v>3571</v>
      </c>
      <c r="F422" s="4" t="s">
        <v>879</v>
      </c>
      <c r="G422" s="4" t="s">
        <v>1859</v>
      </c>
      <c r="H422" s="4"/>
      <c r="K422" s="18"/>
      <c r="L422" s="33"/>
      <c r="M422" s="20"/>
      <c r="N422" s="20"/>
      <c r="O422" s="20"/>
      <c r="P422" s="20"/>
      <c r="Q422" s="20"/>
      <c r="R422" s="20"/>
      <c r="S422" s="20"/>
      <c r="T422" s="20"/>
      <c r="U422" s="34"/>
      <c r="AP422" s="21"/>
    </row>
    <row r="423" ht="16.5" customHeight="1">
      <c r="A423" s="32" t="s">
        <v>38</v>
      </c>
      <c r="B423" s="32" t="s">
        <v>52</v>
      </c>
      <c r="C423" s="32" t="s">
        <v>1871</v>
      </c>
      <c r="D423" s="32" t="s">
        <v>1872</v>
      </c>
      <c r="E423" s="32" t="s">
        <v>3574</v>
      </c>
      <c r="F423" s="4" t="s">
        <v>1873</v>
      </c>
      <c r="G423" s="4"/>
      <c r="H423" s="4"/>
      <c r="K423" s="18"/>
      <c r="L423" s="33"/>
      <c r="M423" s="20"/>
      <c r="N423" s="20"/>
      <c r="O423" s="20"/>
      <c r="P423" s="20"/>
      <c r="Q423" s="20"/>
      <c r="R423" s="20"/>
      <c r="S423" s="20"/>
      <c r="T423" s="20"/>
      <c r="U423" s="34"/>
      <c r="AP423" s="21"/>
    </row>
    <row r="424" ht="16.5" customHeight="1">
      <c r="A424" s="32" t="s">
        <v>38</v>
      </c>
      <c r="B424" s="32" t="s">
        <v>44</v>
      </c>
      <c r="C424" s="32" t="s">
        <v>3575</v>
      </c>
      <c r="D424" s="32" t="s">
        <v>3576</v>
      </c>
      <c r="E424" s="36"/>
      <c r="F424" s="4"/>
      <c r="G424" s="4"/>
      <c r="H424" s="4"/>
      <c r="K424" s="18"/>
      <c r="L424" s="33"/>
      <c r="M424" s="20"/>
      <c r="N424" s="20"/>
      <c r="O424" s="20"/>
      <c r="P424" s="20"/>
      <c r="Q424" s="20"/>
      <c r="R424" s="20"/>
      <c r="S424" s="20"/>
      <c r="T424" s="20"/>
      <c r="U424" s="34"/>
      <c r="AP424" s="21"/>
    </row>
    <row r="425" ht="16.5" customHeight="1">
      <c r="A425" s="32" t="s">
        <v>38</v>
      </c>
      <c r="B425" s="32" t="s">
        <v>73</v>
      </c>
      <c r="C425" s="32" t="s">
        <v>268</v>
      </c>
      <c r="D425" s="32" t="s">
        <v>1918</v>
      </c>
      <c r="E425" s="32" t="s">
        <v>3577</v>
      </c>
      <c r="F425" s="4" t="s">
        <v>1919</v>
      </c>
      <c r="G425" s="4" t="s">
        <v>1128</v>
      </c>
      <c r="H425" s="4"/>
      <c r="K425" s="18"/>
      <c r="L425" s="33"/>
      <c r="M425" s="20"/>
      <c r="N425" s="20"/>
      <c r="O425" s="20"/>
      <c r="P425" s="20"/>
      <c r="Q425" s="20"/>
      <c r="R425" s="20"/>
      <c r="S425" s="20"/>
      <c r="T425" s="20"/>
      <c r="U425" s="34"/>
      <c r="AP425" s="21"/>
    </row>
    <row r="426" ht="16.5" customHeight="1">
      <c r="A426" s="32" t="s">
        <v>38</v>
      </c>
      <c r="B426" s="32" t="s">
        <v>73</v>
      </c>
      <c r="C426" s="32" t="s">
        <v>1128</v>
      </c>
      <c r="D426" s="32" t="s">
        <v>1923</v>
      </c>
      <c r="E426" s="32" t="s">
        <v>3577</v>
      </c>
      <c r="F426" s="4" t="s">
        <v>1919</v>
      </c>
      <c r="G426" s="4" t="s">
        <v>268</v>
      </c>
      <c r="H426" s="4"/>
      <c r="K426" s="18"/>
      <c r="L426" s="33"/>
      <c r="M426" s="20"/>
      <c r="N426" s="20"/>
      <c r="O426" s="20"/>
      <c r="P426" s="20"/>
      <c r="Q426" s="20"/>
      <c r="R426" s="20"/>
      <c r="S426" s="20"/>
      <c r="T426" s="20"/>
      <c r="U426" s="34"/>
      <c r="AP426" s="21"/>
    </row>
    <row r="427" ht="16.5" customHeight="1">
      <c r="A427" s="32" t="s">
        <v>38</v>
      </c>
      <c r="B427" s="32" t="s">
        <v>39</v>
      </c>
      <c r="C427" s="32" t="s">
        <v>3578</v>
      </c>
      <c r="D427" s="32" t="s">
        <v>3579</v>
      </c>
      <c r="E427" s="32" t="s">
        <v>3580</v>
      </c>
      <c r="F427" s="4" t="s">
        <v>345</v>
      </c>
      <c r="G427" s="4"/>
      <c r="H427" s="4"/>
      <c r="K427" s="18"/>
      <c r="L427" s="33"/>
      <c r="M427" s="20"/>
      <c r="N427" s="20"/>
      <c r="O427" s="20"/>
      <c r="P427" s="20"/>
      <c r="Q427" s="20"/>
      <c r="R427" s="20"/>
      <c r="S427" s="20"/>
      <c r="T427" s="20"/>
      <c r="U427" s="34"/>
      <c r="AP427" s="21"/>
    </row>
    <row r="428" ht="16.5" customHeight="1">
      <c r="A428" s="32" t="s">
        <v>38</v>
      </c>
      <c r="B428" s="32" t="s">
        <v>73</v>
      </c>
      <c r="C428" s="32" t="s">
        <v>3581</v>
      </c>
      <c r="D428" s="32" t="s">
        <v>3582</v>
      </c>
      <c r="E428" s="32" t="s">
        <v>3583</v>
      </c>
      <c r="F428" s="4" t="s">
        <v>3584</v>
      </c>
      <c r="G428" s="4"/>
      <c r="H428" s="4"/>
      <c r="K428" s="18"/>
      <c r="L428" s="33"/>
      <c r="M428" s="20"/>
      <c r="N428" s="20"/>
      <c r="O428" s="20"/>
      <c r="P428" s="20"/>
      <c r="Q428" s="20"/>
      <c r="R428" s="20"/>
      <c r="S428" s="20"/>
      <c r="T428" s="20"/>
      <c r="U428" s="34"/>
      <c r="AP428" s="21"/>
    </row>
    <row r="429" ht="16.5" customHeight="1">
      <c r="A429" s="32" t="s">
        <v>34</v>
      </c>
      <c r="B429" s="32" t="s">
        <v>257</v>
      </c>
      <c r="C429" s="32" t="s">
        <v>1246</v>
      </c>
      <c r="D429" s="32" t="s">
        <v>1247</v>
      </c>
      <c r="E429" s="32" t="s">
        <v>3585</v>
      </c>
      <c r="F429" s="4" t="s">
        <v>1249</v>
      </c>
      <c r="G429" s="4" t="s">
        <v>1248</v>
      </c>
      <c r="K429" s="18"/>
      <c r="L429" s="33"/>
      <c r="M429" s="20"/>
      <c r="N429" s="20"/>
      <c r="O429" s="20"/>
      <c r="P429" s="20"/>
      <c r="Q429" s="20"/>
      <c r="R429" s="20"/>
      <c r="S429" s="20"/>
      <c r="T429" s="20"/>
      <c r="U429" s="34"/>
      <c r="AF429" s="11" t="str">
        <f t="shared" ref="AF429:AF605" si="394">if(not(isblank(L429)),L429,"")</f>
        <v/>
      </c>
      <c r="AG429" s="11" t="str">
        <f t="shared" ref="AG429:AO429" si="393">if(not(isblank(M429)),", "&amp;M429,"")</f>
        <v/>
      </c>
      <c r="AH429" s="11" t="str">
        <f t="shared" si="393"/>
        <v/>
      </c>
      <c r="AI429" s="11" t="str">
        <f t="shared" si="393"/>
        <v/>
      </c>
      <c r="AJ429" s="11" t="str">
        <f t="shared" si="393"/>
        <v/>
      </c>
      <c r="AK429" s="11" t="str">
        <f t="shared" si="393"/>
        <v/>
      </c>
      <c r="AL429" s="11" t="str">
        <f t="shared" si="393"/>
        <v/>
      </c>
      <c r="AM429" s="11" t="str">
        <f t="shared" si="393"/>
        <v/>
      </c>
      <c r="AN429" s="11" t="str">
        <f t="shared" si="393"/>
        <v/>
      </c>
      <c r="AO429" s="11" t="str">
        <f t="shared" si="393"/>
        <v/>
      </c>
      <c r="AP429" s="21" t="str">
        <f t="shared" ref="AP429:AP605" si="396">if(isblank(L429),G429,AF429&amp;AG429&amp;AH429&amp;AI429&amp;AJ429&amp;AK429&amp;AL429&amp;AM429&amp;AN429&amp;AO429)</f>
        <v>edvard-japan-blue, edvard-japan-indigo</v>
      </c>
    </row>
    <row r="430" ht="16.5" customHeight="1">
      <c r="A430" s="32" t="s">
        <v>34</v>
      </c>
      <c r="B430" s="32" t="s">
        <v>1266</v>
      </c>
      <c r="C430" s="32" t="s">
        <v>1264</v>
      </c>
      <c r="D430" s="32" t="s">
        <v>1265</v>
      </c>
      <c r="E430" s="32" t="s">
        <v>1268</v>
      </c>
      <c r="F430" s="4" t="s">
        <v>1267</v>
      </c>
      <c r="G430" s="4"/>
      <c r="H430" s="4"/>
      <c r="K430" s="18"/>
      <c r="L430" s="35"/>
      <c r="M430" s="20"/>
      <c r="N430" s="20"/>
      <c r="O430" s="20"/>
      <c r="P430" s="20"/>
      <c r="Q430" s="20"/>
      <c r="R430" s="20"/>
      <c r="S430" s="20"/>
      <c r="T430" s="20"/>
      <c r="U430" s="34"/>
      <c r="AF430" s="11" t="str">
        <f t="shared" si="394"/>
        <v/>
      </c>
      <c r="AG430" s="11" t="str">
        <f t="shared" ref="AG430:AO430" si="395">if(not(isblank(M430)),", "&amp;M430,"")</f>
        <v/>
      </c>
      <c r="AH430" s="11" t="str">
        <f t="shared" si="395"/>
        <v/>
      </c>
      <c r="AI430" s="11" t="str">
        <f t="shared" si="395"/>
        <v/>
      </c>
      <c r="AJ430" s="11" t="str">
        <f t="shared" si="395"/>
        <v/>
      </c>
      <c r="AK430" s="11" t="str">
        <f t="shared" si="395"/>
        <v/>
      </c>
      <c r="AL430" s="11" t="str">
        <f t="shared" si="395"/>
        <v/>
      </c>
      <c r="AM430" s="11" t="str">
        <f t="shared" si="395"/>
        <v/>
      </c>
      <c r="AN430" s="11" t="str">
        <f t="shared" si="395"/>
        <v/>
      </c>
      <c r="AO430" s="11" t="str">
        <f t="shared" si="395"/>
        <v/>
      </c>
      <c r="AP430" s="21" t="str">
        <f t="shared" si="396"/>
        <v/>
      </c>
    </row>
    <row r="431" ht="16.5" customHeight="1">
      <c r="A431" s="32" t="s">
        <v>34</v>
      </c>
      <c r="B431" s="32" t="s">
        <v>35</v>
      </c>
      <c r="C431" s="32" t="s">
        <v>622</v>
      </c>
      <c r="D431" s="32" t="s">
        <v>1306</v>
      </c>
      <c r="E431" s="32" t="s">
        <v>3586</v>
      </c>
      <c r="F431" s="4" t="s">
        <v>1309</v>
      </c>
      <c r="G431" s="4" t="s">
        <v>3587</v>
      </c>
      <c r="K431" s="18"/>
      <c r="L431" s="33"/>
      <c r="M431" s="20"/>
      <c r="N431" s="20"/>
      <c r="O431" s="20"/>
      <c r="P431" s="20"/>
      <c r="Q431" s="20"/>
      <c r="R431" s="20"/>
      <c r="S431" s="20"/>
      <c r="T431" s="20"/>
      <c r="U431" s="34"/>
      <c r="AF431" s="11" t="str">
        <f t="shared" si="394"/>
        <v/>
      </c>
      <c r="AG431" s="11" t="str">
        <f t="shared" ref="AG431:AO431" si="397">if(not(isblank(M431)),", "&amp;M431,"")</f>
        <v/>
      </c>
      <c r="AH431" s="11" t="str">
        <f t="shared" si="397"/>
        <v/>
      </c>
      <c r="AI431" s="11" t="str">
        <f t="shared" si="397"/>
        <v/>
      </c>
      <c r="AJ431" s="11" t="str">
        <f t="shared" si="397"/>
        <v/>
      </c>
      <c r="AK431" s="11" t="str">
        <f t="shared" si="397"/>
        <v/>
      </c>
      <c r="AL431" s="11" t="str">
        <f t="shared" si="397"/>
        <v/>
      </c>
      <c r="AM431" s="11" t="str">
        <f t="shared" si="397"/>
        <v/>
      </c>
      <c r="AN431" s="11" t="str">
        <f t="shared" si="397"/>
        <v/>
      </c>
      <c r="AO431" s="11" t="str">
        <f t="shared" si="397"/>
        <v/>
      </c>
      <c r="AP431" s="21" t="str">
        <f t="shared" si="396"/>
        <v>nelson-black, nelson-light-grey, nelson-toasted, nelson-bonnet-overdye, nelson-putty-overdye, nelson-raw-indigo-stripe, nelson-spice-overdye, nelson-grisaille-overdye</v>
      </c>
    </row>
    <row r="432" ht="16.5" customHeight="1">
      <c r="A432" s="32" t="s">
        <v>34</v>
      </c>
      <c r="B432" s="32" t="s">
        <v>257</v>
      </c>
      <c r="C432" s="32" t="s">
        <v>1314</v>
      </c>
      <c r="D432" s="32" t="s">
        <v>1315</v>
      </c>
      <c r="E432" s="32" t="s">
        <v>3588</v>
      </c>
      <c r="F432" s="4" t="s">
        <v>1317</v>
      </c>
      <c r="G432" s="4" t="s">
        <v>1316</v>
      </c>
      <c r="K432" s="18"/>
      <c r="L432" s="33"/>
      <c r="M432" s="20"/>
      <c r="N432" s="20"/>
      <c r="O432" s="20"/>
      <c r="P432" s="20"/>
      <c r="Q432" s="20"/>
      <c r="R432" s="20"/>
      <c r="S432" s="20"/>
      <c r="T432" s="20"/>
      <c r="U432" s="34"/>
      <c r="AF432" s="11" t="str">
        <f t="shared" si="394"/>
        <v/>
      </c>
      <c r="AG432" s="11" t="str">
        <f t="shared" ref="AG432:AO432" si="398">if(not(isblank(M432)),", "&amp;M432,"")</f>
        <v/>
      </c>
      <c r="AH432" s="11" t="str">
        <f t="shared" si="398"/>
        <v/>
      </c>
      <c r="AI432" s="11" t="str">
        <f t="shared" si="398"/>
        <v/>
      </c>
      <c r="AJ432" s="11" t="str">
        <f t="shared" si="398"/>
        <v/>
      </c>
      <c r="AK432" s="11" t="str">
        <f t="shared" si="398"/>
        <v/>
      </c>
      <c r="AL432" s="11" t="str">
        <f t="shared" si="398"/>
        <v/>
      </c>
      <c r="AM432" s="11" t="str">
        <f t="shared" si="398"/>
        <v/>
      </c>
      <c r="AN432" s="11" t="str">
        <f t="shared" si="398"/>
        <v/>
      </c>
      <c r="AO432" s="11" t="str">
        <f t="shared" si="398"/>
        <v/>
      </c>
      <c r="AP432" s="21" t="str">
        <f t="shared" si="396"/>
        <v>jone-japan-black, jone-japan-blue-1, jone-13-oz-japan-dry-selvage, jone-japan-trouser-stone</v>
      </c>
    </row>
    <row r="433" ht="16.5" customHeight="1">
      <c r="A433" s="32" t="s">
        <v>34</v>
      </c>
      <c r="B433" s="32" t="s">
        <v>257</v>
      </c>
      <c r="C433" s="32" t="s">
        <v>1324</v>
      </c>
      <c r="D433" s="32" t="s">
        <v>1325</v>
      </c>
      <c r="E433" s="32" t="s">
        <v>3589</v>
      </c>
      <c r="F433" s="4" t="s">
        <v>1327</v>
      </c>
      <c r="G433" s="4" t="s">
        <v>1326</v>
      </c>
      <c r="K433" s="18"/>
      <c r="L433" s="33"/>
      <c r="M433" s="20"/>
      <c r="N433" s="20"/>
      <c r="O433" s="20"/>
      <c r="P433" s="20"/>
      <c r="Q433" s="20"/>
      <c r="R433" s="20"/>
      <c r="S433" s="20"/>
      <c r="T433" s="20"/>
      <c r="U433" s="34"/>
      <c r="AF433" s="11" t="str">
        <f t="shared" si="394"/>
        <v/>
      </c>
      <c r="AG433" s="11" t="str">
        <f t="shared" ref="AG433:AO433" si="399">if(not(isblank(M433)),", "&amp;M433,"")</f>
        <v/>
      </c>
      <c r="AH433" s="11" t="str">
        <f t="shared" si="399"/>
        <v/>
      </c>
      <c r="AI433" s="11" t="str">
        <f t="shared" si="399"/>
        <v/>
      </c>
      <c r="AJ433" s="11" t="str">
        <f t="shared" si="399"/>
        <v/>
      </c>
      <c r="AK433" s="11" t="str">
        <f t="shared" si="399"/>
        <v/>
      </c>
      <c r="AL433" s="11" t="str">
        <f t="shared" si="399"/>
        <v/>
      </c>
      <c r="AM433" s="11" t="str">
        <f t="shared" si="399"/>
        <v/>
      </c>
      <c r="AN433" s="11" t="str">
        <f t="shared" si="399"/>
        <v/>
      </c>
      <c r="AO433" s="11" t="str">
        <f t="shared" si="399"/>
        <v/>
      </c>
      <c r="AP433" s="21" t="str">
        <f t="shared" si="396"/>
        <v>edvard-japan-black-comfort, edvard-japan-blue</v>
      </c>
    </row>
    <row r="434" ht="16.5" customHeight="1">
      <c r="A434" s="32" t="s">
        <v>34</v>
      </c>
      <c r="B434" s="32" t="s">
        <v>35</v>
      </c>
      <c r="C434" s="32" t="s">
        <v>1239</v>
      </c>
      <c r="D434" s="32" t="s">
        <v>1330</v>
      </c>
      <c r="E434" s="32" t="s">
        <v>3586</v>
      </c>
      <c r="F434" s="4" t="s">
        <v>3590</v>
      </c>
      <c r="G434" s="4" t="s">
        <v>3591</v>
      </c>
      <c r="K434" s="18"/>
      <c r="L434" s="33"/>
      <c r="M434" s="20"/>
      <c r="N434" s="20"/>
      <c r="O434" s="20"/>
      <c r="P434" s="20"/>
      <c r="Q434" s="20"/>
      <c r="R434" s="20"/>
      <c r="S434" s="20"/>
      <c r="T434" s="20"/>
      <c r="U434" s="34"/>
      <c r="AF434" s="11" t="str">
        <f t="shared" si="394"/>
        <v/>
      </c>
      <c r="AG434" s="11" t="str">
        <f t="shared" ref="AG434:AO434" si="400">if(not(isblank(M434)),", "&amp;M434,"")</f>
        <v/>
      </c>
      <c r="AH434" s="11" t="str">
        <f t="shared" si="400"/>
        <v/>
      </c>
      <c r="AI434" s="11" t="str">
        <f t="shared" si="400"/>
        <v/>
      </c>
      <c r="AJ434" s="11" t="str">
        <f t="shared" si="400"/>
        <v/>
      </c>
      <c r="AK434" s="11" t="str">
        <f t="shared" si="400"/>
        <v/>
      </c>
      <c r="AL434" s="11" t="str">
        <f t="shared" si="400"/>
        <v/>
      </c>
      <c r="AM434" s="11" t="str">
        <f t="shared" si="400"/>
        <v/>
      </c>
      <c r="AN434" s="11" t="str">
        <f t="shared" si="400"/>
        <v/>
      </c>
      <c r="AO434" s="11" t="str">
        <f t="shared" si="400"/>
        <v/>
      </c>
      <c r="AP434" s="21" t="str">
        <f t="shared" si="396"/>
        <v>nelson-white, nelson-light-grey, nelson-toasted, nelson-bonnet-overdye, nelson-putty-overdye, nelson-raw-indigo-stripe, nelson-spice-overdye, nelson-grisaille-overdye</v>
      </c>
    </row>
    <row r="435" ht="16.5" customHeight="1">
      <c r="A435" s="32" t="s">
        <v>34</v>
      </c>
      <c r="B435" s="32" t="s">
        <v>257</v>
      </c>
      <c r="C435" s="32" t="s">
        <v>1335</v>
      </c>
      <c r="D435" s="32" t="s">
        <v>1336</v>
      </c>
      <c r="E435" s="32" t="s">
        <v>3592</v>
      </c>
      <c r="F435" s="4" t="s">
        <v>1338</v>
      </c>
      <c r="G435" s="4" t="s">
        <v>1337</v>
      </c>
      <c r="H435" s="4"/>
      <c r="K435" s="18"/>
      <c r="L435" s="33"/>
      <c r="M435" s="20"/>
      <c r="N435" s="20"/>
      <c r="O435" s="20"/>
      <c r="P435" s="20"/>
      <c r="Q435" s="20"/>
      <c r="R435" s="20"/>
      <c r="S435" s="20"/>
      <c r="T435" s="20"/>
      <c r="U435" s="34"/>
      <c r="AF435" s="11" t="str">
        <f t="shared" si="394"/>
        <v/>
      </c>
      <c r="AG435" s="11" t="str">
        <f t="shared" ref="AG435:AO435" si="401">if(not(isblank(M435)),", "&amp;M435,"")</f>
        <v/>
      </c>
      <c r="AH435" s="11" t="str">
        <f t="shared" si="401"/>
        <v/>
      </c>
      <c r="AI435" s="11" t="str">
        <f t="shared" si="401"/>
        <v/>
      </c>
      <c r="AJ435" s="11" t="str">
        <f t="shared" si="401"/>
        <v/>
      </c>
      <c r="AK435" s="11" t="str">
        <f t="shared" si="401"/>
        <v/>
      </c>
      <c r="AL435" s="11" t="str">
        <f t="shared" si="401"/>
        <v/>
      </c>
      <c r="AM435" s="11" t="str">
        <f t="shared" si="401"/>
        <v/>
      </c>
      <c r="AN435" s="11" t="str">
        <f t="shared" si="401"/>
        <v/>
      </c>
      <c r="AO435" s="11" t="str">
        <f t="shared" si="401"/>
        <v/>
      </c>
      <c r="AP435" s="21" t="str">
        <f t="shared" si="396"/>
        <v>bailey-japan-indigo, bailey-japan-blue</v>
      </c>
    </row>
    <row r="436" ht="16.5" customHeight="1">
      <c r="A436" s="32" t="s">
        <v>34</v>
      </c>
      <c r="B436" s="32" t="s">
        <v>257</v>
      </c>
      <c r="C436" s="32" t="s">
        <v>1342</v>
      </c>
      <c r="D436" s="32" t="s">
        <v>1343</v>
      </c>
      <c r="E436" s="32" t="s">
        <v>3593</v>
      </c>
      <c r="F436" s="4" t="s">
        <v>1345</v>
      </c>
      <c r="G436" s="4" t="s">
        <v>1344</v>
      </c>
      <c r="K436" s="18"/>
      <c r="L436" s="35"/>
      <c r="M436" s="19"/>
      <c r="N436" s="19"/>
      <c r="O436" s="19"/>
      <c r="P436" s="20"/>
      <c r="Q436" s="20"/>
      <c r="R436" s="20"/>
      <c r="S436" s="20"/>
      <c r="T436" s="20"/>
      <c r="U436" s="34"/>
      <c r="AF436" s="11" t="str">
        <f t="shared" si="394"/>
        <v/>
      </c>
      <c r="AG436" s="11" t="str">
        <f t="shared" ref="AG436:AO436" si="402">if(not(isblank(M436)),", "&amp;M436,"")</f>
        <v/>
      </c>
      <c r="AH436" s="11" t="str">
        <f t="shared" si="402"/>
        <v/>
      </c>
      <c r="AI436" s="11" t="str">
        <f t="shared" si="402"/>
        <v/>
      </c>
      <c r="AJ436" s="11" t="str">
        <f t="shared" si="402"/>
        <v/>
      </c>
      <c r="AK436" s="11" t="str">
        <f t="shared" si="402"/>
        <v/>
      </c>
      <c r="AL436" s="11" t="str">
        <f t="shared" si="402"/>
        <v/>
      </c>
      <c r="AM436" s="11" t="str">
        <f t="shared" si="402"/>
        <v/>
      </c>
      <c r="AN436" s="11" t="str">
        <f t="shared" si="402"/>
        <v/>
      </c>
      <c r="AO436" s="11" t="str">
        <f t="shared" si="402"/>
        <v/>
      </c>
      <c r="AP436" s="21" t="str">
        <f t="shared" si="396"/>
        <v>addison-japan-black, addison-japan-rinse-selvage</v>
      </c>
    </row>
    <row r="437" ht="16.5" customHeight="1">
      <c r="A437" s="32" t="s">
        <v>34</v>
      </c>
      <c r="B437" s="32" t="s">
        <v>257</v>
      </c>
      <c r="C437" s="32" t="s">
        <v>1025</v>
      </c>
      <c r="D437" s="32" t="s">
        <v>1350</v>
      </c>
      <c r="E437" s="32" t="s">
        <v>3594</v>
      </c>
      <c r="F437" s="4" t="s">
        <v>1352</v>
      </c>
      <c r="G437" s="4" t="s">
        <v>3595</v>
      </c>
      <c r="K437" s="18"/>
      <c r="L437" s="33"/>
      <c r="M437" s="20"/>
      <c r="N437" s="20"/>
      <c r="O437" s="20"/>
      <c r="P437" s="20"/>
      <c r="Q437" s="20"/>
      <c r="R437" s="20"/>
      <c r="S437" s="20"/>
      <c r="T437" s="20"/>
      <c r="U437" s="34"/>
      <c r="AF437" s="11" t="str">
        <f t="shared" si="394"/>
        <v/>
      </c>
      <c r="AG437" s="11" t="str">
        <f t="shared" ref="AG437:AO437" si="403">if(not(isblank(M437)),", "&amp;M437,"")</f>
        <v/>
      </c>
      <c r="AH437" s="11" t="str">
        <f t="shared" si="403"/>
        <v/>
      </c>
      <c r="AI437" s="11" t="str">
        <f t="shared" si="403"/>
        <v/>
      </c>
      <c r="AJ437" s="11" t="str">
        <f t="shared" si="403"/>
        <v/>
      </c>
      <c r="AK437" s="11" t="str">
        <f t="shared" si="403"/>
        <v/>
      </c>
      <c r="AL437" s="11" t="str">
        <f t="shared" si="403"/>
        <v/>
      </c>
      <c r="AM437" s="11" t="str">
        <f t="shared" si="403"/>
        <v/>
      </c>
      <c r="AN437" s="11" t="str">
        <f t="shared" si="403"/>
        <v/>
      </c>
      <c r="AO437" s="11" t="str">
        <f t="shared" si="403"/>
        <v/>
      </c>
      <c r="AP437" s="21" t="str">
        <f t="shared" si="396"/>
        <v>barnes-japan-dawn, barnes-japan-fade, barnes-japan-mole, barnes-japan-forest-fog, barnes-japan-putty, barnes-22-5-oz-japan-heavy-selvage, barnes-japan-rinse-selvage, barnes-japan-milk</v>
      </c>
    </row>
    <row r="438" ht="16.5" customHeight="1">
      <c r="A438" s="32" t="s">
        <v>34</v>
      </c>
      <c r="B438" s="32" t="s">
        <v>257</v>
      </c>
      <c r="C438" s="32" t="s">
        <v>3596</v>
      </c>
      <c r="D438" s="32" t="s">
        <v>3597</v>
      </c>
      <c r="E438" s="32" t="s">
        <v>3598</v>
      </c>
      <c r="F438" s="4" t="s">
        <v>3599</v>
      </c>
      <c r="G438" s="4" t="s">
        <v>3600</v>
      </c>
      <c r="K438" s="18"/>
      <c r="L438" s="33"/>
      <c r="M438" s="20"/>
      <c r="N438" s="20"/>
      <c r="O438" s="20"/>
      <c r="P438" s="20"/>
      <c r="Q438" s="20"/>
      <c r="R438" s="20"/>
      <c r="S438" s="20"/>
      <c r="T438" s="20"/>
      <c r="U438" s="34"/>
      <c r="AF438" s="11" t="str">
        <f t="shared" si="394"/>
        <v/>
      </c>
      <c r="AG438" s="11" t="str">
        <f t="shared" ref="AG438:AO438" si="404">if(not(isblank(M438)),", "&amp;M438,"")</f>
        <v/>
      </c>
      <c r="AH438" s="11" t="str">
        <f t="shared" si="404"/>
        <v/>
      </c>
      <c r="AI438" s="11" t="str">
        <f t="shared" si="404"/>
        <v/>
      </c>
      <c r="AJ438" s="11" t="str">
        <f t="shared" si="404"/>
        <v/>
      </c>
      <c r="AK438" s="11" t="str">
        <f t="shared" si="404"/>
        <v/>
      </c>
      <c r="AL438" s="11" t="str">
        <f t="shared" si="404"/>
        <v/>
      </c>
      <c r="AM438" s="11" t="str">
        <f t="shared" si="404"/>
        <v/>
      </c>
      <c r="AN438" s="11" t="str">
        <f t="shared" si="404"/>
        <v/>
      </c>
      <c r="AO438" s="11" t="str">
        <f t="shared" si="404"/>
        <v/>
      </c>
      <c r="AP438" s="21" t="str">
        <f t="shared" si="396"/>
        <v>addison-japan-indigo, addison-japan-black</v>
      </c>
    </row>
    <row r="439" ht="16.5" customHeight="1">
      <c r="A439" s="32" t="s">
        <v>34</v>
      </c>
      <c r="B439" s="32" t="s">
        <v>257</v>
      </c>
      <c r="C439" s="32" t="s">
        <v>1366</v>
      </c>
      <c r="D439" s="32" t="s">
        <v>1367</v>
      </c>
      <c r="E439" s="32" t="s">
        <v>3601</v>
      </c>
      <c r="F439" s="4" t="s">
        <v>1338</v>
      </c>
      <c r="G439" s="4" t="s">
        <v>1368</v>
      </c>
      <c r="K439" s="18"/>
      <c r="L439" s="33"/>
      <c r="M439" s="20"/>
      <c r="N439" s="20"/>
      <c r="O439" s="20"/>
      <c r="P439" s="20"/>
      <c r="Q439" s="20"/>
      <c r="R439" s="20"/>
      <c r="S439" s="20"/>
      <c r="T439" s="20"/>
      <c r="U439" s="34"/>
      <c r="AF439" s="11" t="str">
        <f t="shared" si="394"/>
        <v/>
      </c>
      <c r="AG439" s="11" t="str">
        <f t="shared" ref="AG439:AO439" si="405">if(not(isblank(M439)),", "&amp;M439,"")</f>
        <v/>
      </c>
      <c r="AH439" s="11" t="str">
        <f t="shared" si="405"/>
        <v/>
      </c>
      <c r="AI439" s="11" t="str">
        <f t="shared" si="405"/>
        <v/>
      </c>
      <c r="AJ439" s="11" t="str">
        <f t="shared" si="405"/>
        <v/>
      </c>
      <c r="AK439" s="11" t="str">
        <f t="shared" si="405"/>
        <v/>
      </c>
      <c r="AL439" s="11" t="str">
        <f t="shared" si="405"/>
        <v/>
      </c>
      <c r="AM439" s="11" t="str">
        <f t="shared" si="405"/>
        <v/>
      </c>
      <c r="AN439" s="11" t="str">
        <f t="shared" si="405"/>
        <v/>
      </c>
      <c r="AO439" s="11" t="str">
        <f t="shared" si="405"/>
        <v/>
      </c>
      <c r="AP439" s="21" t="str">
        <f t="shared" si="396"/>
        <v>bailey-japan-indigo, bailey-japan-black</v>
      </c>
    </row>
    <row r="440" ht="16.5" customHeight="1">
      <c r="A440" s="32" t="s">
        <v>34</v>
      </c>
      <c r="B440" s="32" t="s">
        <v>257</v>
      </c>
      <c r="C440" s="32" t="s">
        <v>1371</v>
      </c>
      <c r="D440" s="32" t="s">
        <v>1372</v>
      </c>
      <c r="E440" s="32" t="s">
        <v>3602</v>
      </c>
      <c r="F440" s="4" t="s">
        <v>1374</v>
      </c>
      <c r="G440" s="4" t="s">
        <v>1373</v>
      </c>
      <c r="K440" s="18"/>
      <c r="L440" s="33"/>
      <c r="M440" s="20"/>
      <c r="N440" s="20"/>
      <c r="O440" s="20"/>
      <c r="P440" s="20"/>
      <c r="Q440" s="20"/>
      <c r="R440" s="20"/>
      <c r="S440" s="20"/>
      <c r="T440" s="20"/>
      <c r="U440" s="34"/>
      <c r="AF440" s="11" t="str">
        <f t="shared" si="394"/>
        <v/>
      </c>
      <c r="AG440" s="11" t="str">
        <f t="shared" ref="AG440:AO440" si="406">if(not(isblank(M440)),", "&amp;M440,"")</f>
        <v/>
      </c>
      <c r="AH440" s="11" t="str">
        <f t="shared" si="406"/>
        <v/>
      </c>
      <c r="AI440" s="11" t="str">
        <f t="shared" si="406"/>
        <v/>
      </c>
      <c r="AJ440" s="11" t="str">
        <f t="shared" si="406"/>
        <v/>
      </c>
      <c r="AK440" s="11" t="str">
        <f t="shared" si="406"/>
        <v/>
      </c>
      <c r="AL440" s="11" t="str">
        <f t="shared" si="406"/>
        <v/>
      </c>
      <c r="AM440" s="11" t="str">
        <f t="shared" si="406"/>
        <v/>
      </c>
      <c r="AN440" s="11" t="str">
        <f t="shared" si="406"/>
        <v/>
      </c>
      <c r="AO440" s="11" t="str">
        <f t="shared" si="406"/>
        <v/>
      </c>
      <c r="AP440" s="21" t="str">
        <f t="shared" si="396"/>
        <v>jone-japan-indigo, jone-japan-blue-1, jone-13-oz-japan-dry-selvage, jone-japan-trouser-stone</v>
      </c>
    </row>
    <row r="441" ht="16.5" customHeight="1">
      <c r="A441" s="32" t="s">
        <v>34</v>
      </c>
      <c r="B441" s="32" t="s">
        <v>35</v>
      </c>
      <c r="C441" s="32" t="s">
        <v>3603</v>
      </c>
      <c r="D441" s="32" t="s">
        <v>3604</v>
      </c>
      <c r="E441" s="32" t="s">
        <v>3586</v>
      </c>
      <c r="F441" s="4" t="s">
        <v>3605</v>
      </c>
      <c r="G441" s="4" t="s">
        <v>3606</v>
      </c>
      <c r="K441" s="18"/>
      <c r="L441" s="33"/>
      <c r="M441" s="20"/>
      <c r="N441" s="20"/>
      <c r="O441" s="20"/>
      <c r="P441" s="20"/>
      <c r="Q441" s="20"/>
      <c r="R441" s="20"/>
      <c r="S441" s="20"/>
      <c r="T441" s="20"/>
      <c r="U441" s="34"/>
      <c r="AF441" s="11" t="str">
        <f t="shared" si="394"/>
        <v/>
      </c>
      <c r="AG441" s="11" t="str">
        <f t="shared" ref="AG441:AO441" si="407">if(not(isblank(M441)),", "&amp;M441,"")</f>
        <v/>
      </c>
      <c r="AH441" s="11" t="str">
        <f t="shared" si="407"/>
        <v/>
      </c>
      <c r="AI441" s="11" t="str">
        <f t="shared" si="407"/>
        <v/>
      </c>
      <c r="AJ441" s="11" t="str">
        <f t="shared" si="407"/>
        <v/>
      </c>
      <c r="AK441" s="11" t="str">
        <f t="shared" si="407"/>
        <v/>
      </c>
      <c r="AL441" s="11" t="str">
        <f t="shared" si="407"/>
        <v/>
      </c>
      <c r="AM441" s="11" t="str">
        <f t="shared" si="407"/>
        <v/>
      </c>
      <c r="AN441" s="11" t="str">
        <f t="shared" si="407"/>
        <v/>
      </c>
      <c r="AO441" s="11" t="str">
        <f t="shared" si="407"/>
        <v/>
      </c>
      <c r="AP441" s="21" t="str">
        <f t="shared" si="396"/>
        <v>nelson-white, nelson-black, nelson-toasted, nelson-bonnet-overdye, nelson-putty-overdye, nelson-raw-indigo-stripe, nelson-spice-overdye, nelson-grisaille-overdye</v>
      </c>
    </row>
    <row r="442" ht="16.5" customHeight="1">
      <c r="A442" s="32" t="s">
        <v>34</v>
      </c>
      <c r="B442" s="32" t="s">
        <v>35</v>
      </c>
      <c r="C442" s="32" t="s">
        <v>1378</v>
      </c>
      <c r="D442" s="32" t="s">
        <v>1379</v>
      </c>
      <c r="E442" s="32" t="s">
        <v>3607</v>
      </c>
      <c r="F442" s="4" t="s">
        <v>1382</v>
      </c>
      <c r="G442" s="4" t="s">
        <v>3608</v>
      </c>
      <c r="K442" s="18"/>
      <c r="L442" s="33"/>
      <c r="M442" s="20"/>
      <c r="N442" s="20"/>
      <c r="O442" s="20"/>
      <c r="P442" s="20"/>
      <c r="Q442" s="20"/>
      <c r="R442" s="20"/>
      <c r="S442" s="20"/>
      <c r="T442" s="20"/>
      <c r="U442" s="34"/>
      <c r="AF442" s="11" t="str">
        <f t="shared" si="394"/>
        <v/>
      </c>
      <c r="AG442" s="11" t="str">
        <f t="shared" ref="AG442:AO442" si="408">if(not(isblank(M442)),", "&amp;M442,"")</f>
        <v/>
      </c>
      <c r="AH442" s="11" t="str">
        <f t="shared" si="408"/>
        <v/>
      </c>
      <c r="AI442" s="11" t="str">
        <f t="shared" si="408"/>
        <v/>
      </c>
      <c r="AJ442" s="11" t="str">
        <f t="shared" si="408"/>
        <v/>
      </c>
      <c r="AK442" s="11" t="str">
        <f t="shared" si="408"/>
        <v/>
      </c>
      <c r="AL442" s="11" t="str">
        <f t="shared" si="408"/>
        <v/>
      </c>
      <c r="AM442" s="11" t="str">
        <f t="shared" si="408"/>
        <v/>
      </c>
      <c r="AN442" s="11" t="str">
        <f t="shared" si="408"/>
        <v/>
      </c>
      <c r="AO442" s="11" t="str">
        <f t="shared" si="408"/>
        <v/>
      </c>
      <c r="AP442" s="21" t="str">
        <f t="shared" si="396"/>
        <v>richmond-2-pack-white, richmond-2-pack-black, richmond-2-pack-navy</v>
      </c>
    </row>
    <row r="443" ht="16.5" customHeight="1">
      <c r="A443" s="32" t="s">
        <v>34</v>
      </c>
      <c r="B443" s="32" t="s">
        <v>35</v>
      </c>
      <c r="C443" s="32" t="s">
        <v>1388</v>
      </c>
      <c r="D443" s="32" t="s">
        <v>1389</v>
      </c>
      <c r="E443" s="32" t="s">
        <v>3607</v>
      </c>
      <c r="F443" s="4" t="s">
        <v>1382</v>
      </c>
      <c r="G443" s="4" t="s">
        <v>3609</v>
      </c>
      <c r="K443" s="18"/>
      <c r="L443" s="33"/>
      <c r="M443" s="20"/>
      <c r="N443" s="20"/>
      <c r="O443" s="20"/>
      <c r="P443" s="20"/>
      <c r="Q443" s="20"/>
      <c r="R443" s="20"/>
      <c r="S443" s="20"/>
      <c r="T443" s="20"/>
      <c r="U443" s="34"/>
      <c r="AF443" s="11" t="str">
        <f t="shared" si="394"/>
        <v/>
      </c>
      <c r="AG443" s="11" t="str">
        <f t="shared" ref="AG443:AO443" si="409">if(not(isblank(M443)),", "&amp;M443,"")</f>
        <v/>
      </c>
      <c r="AH443" s="11" t="str">
        <f t="shared" si="409"/>
        <v/>
      </c>
      <c r="AI443" s="11" t="str">
        <f t="shared" si="409"/>
        <v/>
      </c>
      <c r="AJ443" s="11" t="str">
        <f t="shared" si="409"/>
        <v/>
      </c>
      <c r="AK443" s="11" t="str">
        <f t="shared" si="409"/>
        <v/>
      </c>
      <c r="AL443" s="11" t="str">
        <f t="shared" si="409"/>
        <v/>
      </c>
      <c r="AM443" s="11" t="str">
        <f t="shared" si="409"/>
        <v/>
      </c>
      <c r="AN443" s="11" t="str">
        <f t="shared" si="409"/>
        <v/>
      </c>
      <c r="AO443" s="11" t="str">
        <f t="shared" si="409"/>
        <v/>
      </c>
      <c r="AP443" s="21" t="str">
        <f t="shared" si="396"/>
        <v>richmond-2-pack-black, richmond-2-pack-light-grey, richmond-2-pack-navy</v>
      </c>
    </row>
    <row r="444" ht="16.5" customHeight="1">
      <c r="A444" s="32" t="s">
        <v>34</v>
      </c>
      <c r="B444" s="32" t="s">
        <v>47</v>
      </c>
      <c r="C444" s="32" t="s">
        <v>3610</v>
      </c>
      <c r="D444" s="32" t="s">
        <v>3611</v>
      </c>
      <c r="E444" s="36"/>
      <c r="F444" s="4"/>
      <c r="G444" s="4"/>
      <c r="H444" s="4"/>
      <c r="K444" s="18"/>
      <c r="L444" s="33"/>
      <c r="M444" s="20"/>
      <c r="N444" s="20"/>
      <c r="O444" s="20"/>
      <c r="P444" s="20"/>
      <c r="Q444" s="20"/>
      <c r="R444" s="20"/>
      <c r="S444" s="20"/>
      <c r="T444" s="20"/>
      <c r="U444" s="34"/>
      <c r="AF444" s="11" t="str">
        <f t="shared" si="394"/>
        <v/>
      </c>
      <c r="AG444" s="11" t="str">
        <f t="shared" ref="AG444:AO444" si="410">if(not(isblank(M444)),", "&amp;M444,"")</f>
        <v/>
      </c>
      <c r="AH444" s="11" t="str">
        <f t="shared" si="410"/>
        <v/>
      </c>
      <c r="AI444" s="11" t="str">
        <f t="shared" si="410"/>
        <v/>
      </c>
      <c r="AJ444" s="11" t="str">
        <f t="shared" si="410"/>
        <v/>
      </c>
      <c r="AK444" s="11" t="str">
        <f t="shared" si="410"/>
        <v/>
      </c>
      <c r="AL444" s="11" t="str">
        <f t="shared" si="410"/>
        <v/>
      </c>
      <c r="AM444" s="11" t="str">
        <f t="shared" si="410"/>
        <v/>
      </c>
      <c r="AN444" s="11" t="str">
        <f t="shared" si="410"/>
        <v/>
      </c>
      <c r="AO444" s="11" t="str">
        <f t="shared" si="410"/>
        <v/>
      </c>
      <c r="AP444" s="21" t="str">
        <f t="shared" si="396"/>
        <v/>
      </c>
    </row>
    <row r="445" ht="16.5" customHeight="1">
      <c r="A445" s="32" t="s">
        <v>34</v>
      </c>
      <c r="B445" s="32" t="s">
        <v>257</v>
      </c>
      <c r="C445" s="32" t="s">
        <v>3612</v>
      </c>
      <c r="D445" s="32" t="s">
        <v>3613</v>
      </c>
      <c r="E445" s="32" t="s">
        <v>3614</v>
      </c>
      <c r="F445" s="4" t="s">
        <v>3615</v>
      </c>
      <c r="G445" s="4" t="s">
        <v>3616</v>
      </c>
      <c r="K445" s="18"/>
      <c r="L445" s="33"/>
      <c r="M445" s="20"/>
      <c r="N445" s="20"/>
      <c r="O445" s="20"/>
      <c r="P445" s="20"/>
      <c r="Q445" s="20"/>
      <c r="R445" s="20"/>
      <c r="S445" s="20"/>
      <c r="T445" s="20"/>
      <c r="U445" s="34"/>
      <c r="AF445" s="11" t="str">
        <f t="shared" si="394"/>
        <v/>
      </c>
      <c r="AG445" s="11" t="str">
        <f t="shared" ref="AG445:AO445" si="411">if(not(isblank(M445)),", "&amp;M445,"")</f>
        <v/>
      </c>
      <c r="AH445" s="11" t="str">
        <f t="shared" si="411"/>
        <v/>
      </c>
      <c r="AI445" s="11" t="str">
        <f t="shared" si="411"/>
        <v/>
      </c>
      <c r="AJ445" s="11" t="str">
        <f t="shared" si="411"/>
        <v/>
      </c>
      <c r="AK445" s="11" t="str">
        <f t="shared" si="411"/>
        <v/>
      </c>
      <c r="AL445" s="11" t="str">
        <f t="shared" si="411"/>
        <v/>
      </c>
      <c r="AM445" s="11" t="str">
        <f t="shared" si="411"/>
        <v/>
      </c>
      <c r="AN445" s="11" t="str">
        <f t="shared" si="411"/>
        <v/>
      </c>
      <c r="AO445" s="11" t="str">
        <f t="shared" si="411"/>
        <v/>
      </c>
      <c r="AP445" s="21" t="str">
        <f t="shared" si="396"/>
        <v>emerson-japan-dawn, emerson-18-oz-japan-dry-selvage, emerson-japan-black-selvage</v>
      </c>
    </row>
    <row r="446" ht="16.5" customHeight="1">
      <c r="A446" s="32" t="s">
        <v>34</v>
      </c>
      <c r="B446" s="32" t="s">
        <v>257</v>
      </c>
      <c r="C446" s="32" t="s">
        <v>1401</v>
      </c>
      <c r="D446" s="32" t="s">
        <v>1402</v>
      </c>
      <c r="E446" s="32" t="s">
        <v>3617</v>
      </c>
      <c r="F446" s="4" t="s">
        <v>1338</v>
      </c>
      <c r="G446" s="4" t="s">
        <v>1403</v>
      </c>
      <c r="H446" s="4"/>
      <c r="K446" s="18"/>
      <c r="L446" s="33"/>
      <c r="M446" s="20"/>
      <c r="N446" s="20"/>
      <c r="O446" s="20"/>
      <c r="P446" s="20"/>
      <c r="Q446" s="20"/>
      <c r="R446" s="20"/>
      <c r="S446" s="20"/>
      <c r="T446" s="20"/>
      <c r="U446" s="34"/>
      <c r="AF446" s="11" t="str">
        <f t="shared" si="394"/>
        <v/>
      </c>
      <c r="AG446" s="11" t="str">
        <f t="shared" ref="AG446:AO446" si="412">if(not(isblank(M446)),", "&amp;M446,"")</f>
        <v/>
      </c>
      <c r="AH446" s="11" t="str">
        <f t="shared" si="412"/>
        <v/>
      </c>
      <c r="AI446" s="11" t="str">
        <f t="shared" si="412"/>
        <v/>
      </c>
      <c r="AJ446" s="11" t="str">
        <f t="shared" si="412"/>
        <v/>
      </c>
      <c r="AK446" s="11" t="str">
        <f t="shared" si="412"/>
        <v/>
      </c>
      <c r="AL446" s="11" t="str">
        <f t="shared" si="412"/>
        <v/>
      </c>
      <c r="AM446" s="11" t="str">
        <f t="shared" si="412"/>
        <v/>
      </c>
      <c r="AN446" s="11" t="str">
        <f t="shared" si="412"/>
        <v/>
      </c>
      <c r="AO446" s="11" t="str">
        <f t="shared" si="412"/>
        <v/>
      </c>
      <c r="AP446" s="21" t="str">
        <f t="shared" si="396"/>
        <v>bailey-japan-blue, bailey-japan-black</v>
      </c>
    </row>
    <row r="447" ht="16.5" customHeight="1">
      <c r="A447" s="32" t="s">
        <v>34</v>
      </c>
      <c r="B447" s="32" t="s">
        <v>257</v>
      </c>
      <c r="C447" s="32" t="s">
        <v>2913</v>
      </c>
      <c r="D447" s="32" t="s">
        <v>3618</v>
      </c>
      <c r="E447" s="32" t="s">
        <v>3619</v>
      </c>
      <c r="F447" s="4" t="s">
        <v>3620</v>
      </c>
      <c r="G447" s="4" t="s">
        <v>3621</v>
      </c>
      <c r="K447" s="18"/>
      <c r="L447" s="33"/>
      <c r="M447" s="20"/>
      <c r="N447" s="20"/>
      <c r="O447" s="20"/>
      <c r="P447" s="20"/>
      <c r="Q447" s="20"/>
      <c r="R447" s="20"/>
      <c r="S447" s="20"/>
      <c r="T447" s="20"/>
      <c r="U447" s="34"/>
      <c r="AF447" s="11" t="str">
        <f t="shared" si="394"/>
        <v/>
      </c>
      <c r="AG447" s="11" t="str">
        <f t="shared" ref="AG447:AO447" si="413">if(not(isblank(M447)),", "&amp;M447,"")</f>
        <v/>
      </c>
      <c r="AH447" s="11" t="str">
        <f t="shared" si="413"/>
        <v/>
      </c>
      <c r="AI447" s="11" t="str">
        <f t="shared" si="413"/>
        <v/>
      </c>
      <c r="AJ447" s="11" t="str">
        <f t="shared" si="413"/>
        <v/>
      </c>
      <c r="AK447" s="11" t="str">
        <f t="shared" si="413"/>
        <v/>
      </c>
      <c r="AL447" s="11" t="str">
        <f t="shared" si="413"/>
        <v/>
      </c>
      <c r="AM447" s="11" t="str">
        <f t="shared" si="413"/>
        <v/>
      </c>
      <c r="AN447" s="11" t="str">
        <f t="shared" si="413"/>
        <v/>
      </c>
      <c r="AO447" s="11" t="str">
        <f t="shared" si="413"/>
        <v/>
      </c>
      <c r="AP447" s="21" t="str">
        <f t="shared" si="396"/>
        <v>barnes-japan-dawn, barnes-japan-fade, barnes-japan-black, barnes-japan-mole, barnes-japan-forest-fog, barnes-japan-putty, barnes-22-5-oz-japan-heavy-selvage, barnes-japan-milk</v>
      </c>
    </row>
    <row r="448" ht="16.5" customHeight="1">
      <c r="A448" s="32" t="s">
        <v>34</v>
      </c>
      <c r="B448" s="32" t="s">
        <v>35</v>
      </c>
      <c r="C448" s="32" t="s">
        <v>1406</v>
      </c>
      <c r="D448" s="32" t="s">
        <v>1407</v>
      </c>
      <c r="E448" s="32" t="s">
        <v>3607</v>
      </c>
      <c r="F448" s="4" t="s">
        <v>1382</v>
      </c>
      <c r="G448" s="4" t="s">
        <v>3622</v>
      </c>
      <c r="K448" s="18"/>
      <c r="L448" s="33"/>
      <c r="M448" s="20"/>
      <c r="N448" s="20"/>
      <c r="O448" s="20"/>
      <c r="P448" s="20"/>
      <c r="Q448" s="20"/>
      <c r="R448" s="20"/>
      <c r="S448" s="20"/>
      <c r="T448" s="20"/>
      <c r="U448" s="34"/>
      <c r="AF448" s="11" t="str">
        <f t="shared" si="394"/>
        <v/>
      </c>
      <c r="AG448" s="11" t="str">
        <f t="shared" ref="AG448:AO448" si="414">if(not(isblank(M448)),", "&amp;M448,"")</f>
        <v/>
      </c>
      <c r="AH448" s="11" t="str">
        <f t="shared" si="414"/>
        <v/>
      </c>
      <c r="AI448" s="11" t="str">
        <f t="shared" si="414"/>
        <v/>
      </c>
      <c r="AJ448" s="11" t="str">
        <f t="shared" si="414"/>
        <v/>
      </c>
      <c r="AK448" s="11" t="str">
        <f t="shared" si="414"/>
        <v/>
      </c>
      <c r="AL448" s="11" t="str">
        <f t="shared" si="414"/>
        <v/>
      </c>
      <c r="AM448" s="11" t="str">
        <f t="shared" si="414"/>
        <v/>
      </c>
      <c r="AN448" s="11" t="str">
        <f t="shared" si="414"/>
        <v/>
      </c>
      <c r="AO448" s="11" t="str">
        <f t="shared" si="414"/>
        <v/>
      </c>
      <c r="AP448" s="21" t="str">
        <f t="shared" si="396"/>
        <v>richmond-2-pack-white, richmond-2-pack-light-grey, richmond-2-pack-navy</v>
      </c>
    </row>
    <row r="449" ht="16.5" customHeight="1">
      <c r="A449" s="32" t="s">
        <v>34</v>
      </c>
      <c r="B449" s="32" t="s">
        <v>330</v>
      </c>
      <c r="C449" s="32" t="s">
        <v>3623</v>
      </c>
      <c r="D449" s="32" t="s">
        <v>3624</v>
      </c>
      <c r="E449" s="32" t="s">
        <v>3625</v>
      </c>
      <c r="F449" s="4" t="s">
        <v>1516</v>
      </c>
      <c r="G449" s="4" t="s">
        <v>3626</v>
      </c>
      <c r="H449" s="4"/>
      <c r="K449" s="18"/>
      <c r="L449" s="33"/>
      <c r="M449" s="20"/>
      <c r="N449" s="20"/>
      <c r="O449" s="20"/>
      <c r="P449" s="20"/>
      <c r="Q449" s="20"/>
      <c r="R449" s="20"/>
      <c r="S449" s="20"/>
      <c r="T449" s="20"/>
      <c r="U449" s="34"/>
      <c r="AF449" s="11" t="str">
        <f t="shared" si="394"/>
        <v/>
      </c>
      <c r="AG449" s="11" t="str">
        <f t="shared" ref="AG449:AO449" si="415">if(not(isblank(M449)),", "&amp;M449,"")</f>
        <v/>
      </c>
      <c r="AH449" s="11" t="str">
        <f t="shared" si="415"/>
        <v/>
      </c>
      <c r="AI449" s="11" t="str">
        <f t="shared" si="415"/>
        <v/>
      </c>
      <c r="AJ449" s="11" t="str">
        <f t="shared" si="415"/>
        <v/>
      </c>
      <c r="AK449" s="11" t="str">
        <f t="shared" si="415"/>
        <v/>
      </c>
      <c r="AL449" s="11" t="str">
        <f t="shared" si="415"/>
        <v/>
      </c>
      <c r="AM449" s="11" t="str">
        <f t="shared" si="415"/>
        <v/>
      </c>
      <c r="AN449" s="11" t="str">
        <f t="shared" si="415"/>
        <v/>
      </c>
      <c r="AO449" s="11" t="str">
        <f t="shared" si="415"/>
        <v/>
      </c>
      <c r="AP449" s="21" t="str">
        <f t="shared" si="396"/>
        <v>palmer-black, palmer-navy</v>
      </c>
    </row>
    <row r="450" ht="16.5" customHeight="1">
      <c r="A450" s="32" t="s">
        <v>34</v>
      </c>
      <c r="B450" s="32" t="s">
        <v>39</v>
      </c>
      <c r="C450" s="32" t="s">
        <v>3627</v>
      </c>
      <c r="D450" s="32" t="s">
        <v>3628</v>
      </c>
      <c r="E450" s="32" t="s">
        <v>3629</v>
      </c>
      <c r="F450" s="4" t="s">
        <v>3630</v>
      </c>
      <c r="G450" s="4" t="s">
        <v>3631</v>
      </c>
      <c r="K450" s="18"/>
      <c r="L450" s="33"/>
      <c r="M450" s="20"/>
      <c r="N450" s="20"/>
      <c r="O450" s="20"/>
      <c r="P450" s="20"/>
      <c r="Q450" s="20"/>
      <c r="R450" s="20"/>
      <c r="S450" s="20"/>
      <c r="T450" s="20"/>
      <c r="U450" s="34"/>
      <c r="AF450" s="11" t="str">
        <f t="shared" si="394"/>
        <v/>
      </c>
      <c r="AG450" s="11" t="str">
        <f t="shared" ref="AG450:AO450" si="416">if(not(isblank(M450)),", "&amp;M450,"")</f>
        <v/>
      </c>
      <c r="AH450" s="11" t="str">
        <f t="shared" si="416"/>
        <v/>
      </c>
      <c r="AI450" s="11" t="str">
        <f t="shared" si="416"/>
        <v/>
      </c>
      <c r="AJ450" s="11" t="str">
        <f t="shared" si="416"/>
        <v/>
      </c>
      <c r="AK450" s="11" t="str">
        <f t="shared" si="416"/>
        <v/>
      </c>
      <c r="AL450" s="11" t="str">
        <f t="shared" si="416"/>
        <v/>
      </c>
      <c r="AM450" s="11" t="str">
        <f t="shared" si="416"/>
        <v/>
      </c>
      <c r="AN450" s="11" t="str">
        <f t="shared" si="416"/>
        <v/>
      </c>
      <c r="AO450" s="11" t="str">
        <f t="shared" si="416"/>
        <v/>
      </c>
      <c r="AP450" s="21" t="str">
        <f t="shared" si="396"/>
        <v>west-black, west-pond, west-taupe, west-deep-teal</v>
      </c>
    </row>
    <row r="451" ht="16.5" customHeight="1">
      <c r="A451" s="32" t="s">
        <v>34</v>
      </c>
      <c r="B451" s="32" t="s">
        <v>39</v>
      </c>
      <c r="C451" s="32" t="s">
        <v>3632</v>
      </c>
      <c r="D451" s="32" t="s">
        <v>3633</v>
      </c>
      <c r="E451" s="32" t="s">
        <v>3634</v>
      </c>
      <c r="F451" s="4" t="s">
        <v>3635</v>
      </c>
      <c r="G451" s="4" t="s">
        <v>3636</v>
      </c>
      <c r="K451" s="18"/>
      <c r="L451" s="33"/>
      <c r="M451" s="20"/>
      <c r="N451" s="20"/>
      <c r="O451" s="20"/>
      <c r="P451" s="20"/>
      <c r="Q451" s="20"/>
      <c r="R451" s="20"/>
      <c r="S451" s="20"/>
      <c r="T451" s="20"/>
      <c r="U451" s="34"/>
      <c r="AF451" s="11" t="str">
        <f t="shared" si="394"/>
        <v/>
      </c>
      <c r="AG451" s="11" t="str">
        <f t="shared" ref="AG451:AO451" si="417">if(not(isblank(M451)),", "&amp;M451,"")</f>
        <v/>
      </c>
      <c r="AH451" s="11" t="str">
        <f t="shared" si="417"/>
        <v/>
      </c>
      <c r="AI451" s="11" t="str">
        <f t="shared" si="417"/>
        <v/>
      </c>
      <c r="AJ451" s="11" t="str">
        <f t="shared" si="417"/>
        <v/>
      </c>
      <c r="AK451" s="11" t="str">
        <f t="shared" si="417"/>
        <v/>
      </c>
      <c r="AL451" s="11" t="str">
        <f t="shared" si="417"/>
        <v/>
      </c>
      <c r="AM451" s="11" t="str">
        <f t="shared" si="417"/>
        <v/>
      </c>
      <c r="AN451" s="11" t="str">
        <f t="shared" si="417"/>
        <v/>
      </c>
      <c r="AO451" s="11" t="str">
        <f t="shared" si="417"/>
        <v/>
      </c>
      <c r="AP451" s="21" t="str">
        <f t="shared" si="396"/>
        <v>cassidy-white-oxford, cassidy-candy-stripe, cassidy-beige, cassidy-olive-oxford, cassidy-black-1</v>
      </c>
    </row>
    <row r="452" ht="16.5" customHeight="1">
      <c r="A452" s="32" t="s">
        <v>34</v>
      </c>
      <c r="B452" s="32" t="s">
        <v>39</v>
      </c>
      <c r="C452" s="32" t="s">
        <v>3637</v>
      </c>
      <c r="D452" s="32" t="s">
        <v>3638</v>
      </c>
      <c r="E452" s="32" t="s">
        <v>3639</v>
      </c>
      <c r="F452" s="4" t="s">
        <v>3640</v>
      </c>
      <c r="G452" s="4" t="s">
        <v>3641</v>
      </c>
      <c r="K452" s="18"/>
      <c r="L452" s="33"/>
      <c r="M452" s="20"/>
      <c r="N452" s="20"/>
      <c r="O452" s="20"/>
      <c r="P452" s="20"/>
      <c r="Q452" s="20"/>
      <c r="R452" s="20"/>
      <c r="S452" s="20"/>
      <c r="T452" s="20"/>
      <c r="U452" s="34"/>
      <c r="AF452" s="11" t="str">
        <f t="shared" si="394"/>
        <v/>
      </c>
      <c r="AG452" s="11" t="str">
        <f t="shared" ref="AG452:AO452" si="418">if(not(isblank(M452)),", "&amp;M452,"")</f>
        <v/>
      </c>
      <c r="AH452" s="11" t="str">
        <f t="shared" si="418"/>
        <v/>
      </c>
      <c r="AI452" s="11" t="str">
        <f t="shared" si="418"/>
        <v/>
      </c>
      <c r="AJ452" s="11" t="str">
        <f t="shared" si="418"/>
        <v/>
      </c>
      <c r="AK452" s="11" t="str">
        <f t="shared" si="418"/>
        <v/>
      </c>
      <c r="AL452" s="11" t="str">
        <f t="shared" si="418"/>
        <v/>
      </c>
      <c r="AM452" s="11" t="str">
        <f t="shared" si="418"/>
        <v/>
      </c>
      <c r="AN452" s="11" t="str">
        <f t="shared" si="418"/>
        <v/>
      </c>
      <c r="AO452" s="11" t="str">
        <f t="shared" si="418"/>
        <v/>
      </c>
      <c r="AP452" s="21" t="str">
        <f t="shared" si="396"/>
        <v>cassidy-white-oxford, cassidy-candy-stripe, cassidy-navy, cassidy-olive-oxford, cassidy-black-1</v>
      </c>
    </row>
    <row r="453" ht="16.5" customHeight="1">
      <c r="A453" s="32" t="s">
        <v>34</v>
      </c>
      <c r="B453" s="32" t="s">
        <v>257</v>
      </c>
      <c r="C453" s="32" t="s">
        <v>1412</v>
      </c>
      <c r="D453" s="32" t="s">
        <v>1413</v>
      </c>
      <c r="E453" s="32" t="s">
        <v>3642</v>
      </c>
      <c r="F453" s="4" t="s">
        <v>1415</v>
      </c>
      <c r="G453" s="4" t="s">
        <v>1414</v>
      </c>
      <c r="K453" s="18"/>
      <c r="L453" s="33"/>
      <c r="M453" s="20"/>
      <c r="N453" s="20"/>
      <c r="O453" s="20"/>
      <c r="P453" s="20"/>
      <c r="Q453" s="20"/>
      <c r="R453" s="20"/>
      <c r="S453" s="20"/>
      <c r="T453" s="20"/>
      <c r="U453" s="34"/>
      <c r="AF453" s="11" t="str">
        <f t="shared" si="394"/>
        <v/>
      </c>
      <c r="AG453" s="11" t="str">
        <f t="shared" ref="AG453:AO453" si="419">if(not(isblank(M453)),", "&amp;M453,"")</f>
        <v/>
      </c>
      <c r="AH453" s="11" t="str">
        <f t="shared" si="419"/>
        <v/>
      </c>
      <c r="AI453" s="11" t="str">
        <f t="shared" si="419"/>
        <v/>
      </c>
      <c r="AJ453" s="11" t="str">
        <f t="shared" si="419"/>
        <v/>
      </c>
      <c r="AK453" s="11" t="str">
        <f t="shared" si="419"/>
        <v/>
      </c>
      <c r="AL453" s="11" t="str">
        <f t="shared" si="419"/>
        <v/>
      </c>
      <c r="AM453" s="11" t="str">
        <f t="shared" si="419"/>
        <v/>
      </c>
      <c r="AN453" s="11" t="str">
        <f t="shared" si="419"/>
        <v/>
      </c>
      <c r="AO453" s="11" t="str">
        <f t="shared" si="419"/>
        <v/>
      </c>
      <c r="AP453" s="21" t="str">
        <f t="shared" si="396"/>
        <v>edvard-japan-indigo, edvard-japan-black-comfort</v>
      </c>
    </row>
    <row r="454" ht="16.5" customHeight="1">
      <c r="A454" s="32" t="s">
        <v>34</v>
      </c>
      <c r="B454" s="32" t="s">
        <v>47</v>
      </c>
      <c r="C454" s="32" t="s">
        <v>3643</v>
      </c>
      <c r="D454" s="32" t="s">
        <v>3644</v>
      </c>
      <c r="E454" s="32" t="s">
        <v>3645</v>
      </c>
      <c r="F454" s="4" t="s">
        <v>3646</v>
      </c>
      <c r="G454" s="4"/>
      <c r="H454" s="4"/>
      <c r="K454" s="18"/>
      <c r="L454" s="33"/>
      <c r="M454" s="20"/>
      <c r="N454" s="20"/>
      <c r="O454" s="20"/>
      <c r="P454" s="20"/>
      <c r="Q454" s="20"/>
      <c r="R454" s="20"/>
      <c r="S454" s="20"/>
      <c r="T454" s="20"/>
      <c r="U454" s="34"/>
      <c r="AF454" s="11" t="str">
        <f t="shared" si="394"/>
        <v/>
      </c>
      <c r="AG454" s="11" t="str">
        <f t="shared" ref="AG454:AO454" si="420">if(not(isblank(M454)),", "&amp;M454,"")</f>
        <v/>
      </c>
      <c r="AH454" s="11" t="str">
        <f t="shared" si="420"/>
        <v/>
      </c>
      <c r="AI454" s="11" t="str">
        <f t="shared" si="420"/>
        <v/>
      </c>
      <c r="AJ454" s="11" t="str">
        <f t="shared" si="420"/>
        <v/>
      </c>
      <c r="AK454" s="11" t="str">
        <f t="shared" si="420"/>
        <v/>
      </c>
      <c r="AL454" s="11" t="str">
        <f t="shared" si="420"/>
        <v/>
      </c>
      <c r="AM454" s="11" t="str">
        <f t="shared" si="420"/>
        <v/>
      </c>
      <c r="AN454" s="11" t="str">
        <f t="shared" si="420"/>
        <v/>
      </c>
      <c r="AO454" s="11" t="str">
        <f t="shared" si="420"/>
        <v/>
      </c>
      <c r="AP454" s="21" t="str">
        <f t="shared" si="396"/>
        <v/>
      </c>
    </row>
    <row r="455" ht="16.5" customHeight="1">
      <c r="A455" s="32" t="s">
        <v>34</v>
      </c>
      <c r="B455" s="32" t="s">
        <v>47</v>
      </c>
      <c r="C455" s="32" t="s">
        <v>3647</v>
      </c>
      <c r="D455" s="32" t="s">
        <v>3648</v>
      </c>
      <c r="E455" s="32" t="s">
        <v>3649</v>
      </c>
      <c r="F455" s="4" t="s">
        <v>3650</v>
      </c>
      <c r="G455" s="4"/>
      <c r="H455" s="4"/>
      <c r="K455" s="18"/>
      <c r="L455" s="33"/>
      <c r="M455" s="20"/>
      <c r="N455" s="20"/>
      <c r="O455" s="20"/>
      <c r="P455" s="20"/>
      <c r="Q455" s="20"/>
      <c r="R455" s="20"/>
      <c r="S455" s="20"/>
      <c r="T455" s="20"/>
      <c r="U455" s="34"/>
      <c r="AF455" s="11" t="str">
        <f t="shared" si="394"/>
        <v/>
      </c>
      <c r="AG455" s="11" t="str">
        <f t="shared" ref="AG455:AO455" si="421">if(not(isblank(M455)),", "&amp;M455,"")</f>
        <v/>
      </c>
      <c r="AH455" s="11" t="str">
        <f t="shared" si="421"/>
        <v/>
      </c>
      <c r="AI455" s="11" t="str">
        <f t="shared" si="421"/>
        <v/>
      </c>
      <c r="AJ455" s="11" t="str">
        <f t="shared" si="421"/>
        <v/>
      </c>
      <c r="AK455" s="11" t="str">
        <f t="shared" si="421"/>
        <v/>
      </c>
      <c r="AL455" s="11" t="str">
        <f t="shared" si="421"/>
        <v/>
      </c>
      <c r="AM455" s="11" t="str">
        <f t="shared" si="421"/>
        <v/>
      </c>
      <c r="AN455" s="11" t="str">
        <f t="shared" si="421"/>
        <v/>
      </c>
      <c r="AO455" s="11" t="str">
        <f t="shared" si="421"/>
        <v/>
      </c>
      <c r="AP455" s="21" t="str">
        <f t="shared" si="396"/>
        <v/>
      </c>
    </row>
    <row r="456" ht="16.5" customHeight="1">
      <c r="A456" s="32" t="s">
        <v>34</v>
      </c>
      <c r="B456" s="32" t="s">
        <v>257</v>
      </c>
      <c r="C456" s="32" t="s">
        <v>1433</v>
      </c>
      <c r="D456" s="32" t="s">
        <v>1434</v>
      </c>
      <c r="E456" s="32" t="s">
        <v>3651</v>
      </c>
      <c r="F456" s="4" t="s">
        <v>1436</v>
      </c>
      <c r="G456" s="4" t="s">
        <v>1435</v>
      </c>
      <c r="K456" s="18"/>
      <c r="L456" s="33"/>
      <c r="M456" s="20"/>
      <c r="N456" s="20"/>
      <c r="O456" s="20"/>
      <c r="P456" s="20"/>
      <c r="Q456" s="20"/>
      <c r="R456" s="20"/>
      <c r="S456" s="20"/>
      <c r="T456" s="20"/>
      <c r="U456" s="34"/>
      <c r="AF456" s="11" t="str">
        <f t="shared" si="394"/>
        <v/>
      </c>
      <c r="AG456" s="11" t="str">
        <f t="shared" ref="AG456:AO456" si="422">if(not(isblank(M456)),", "&amp;M456,"")</f>
        <v/>
      </c>
      <c r="AH456" s="11" t="str">
        <f t="shared" si="422"/>
        <v/>
      </c>
      <c r="AI456" s="11" t="str">
        <f t="shared" si="422"/>
        <v/>
      </c>
      <c r="AJ456" s="11" t="str">
        <f t="shared" si="422"/>
        <v/>
      </c>
      <c r="AK456" s="11" t="str">
        <f t="shared" si="422"/>
        <v/>
      </c>
      <c r="AL456" s="11" t="str">
        <f t="shared" si="422"/>
        <v/>
      </c>
      <c r="AM456" s="11" t="str">
        <f t="shared" si="422"/>
        <v/>
      </c>
      <c r="AN456" s="11" t="str">
        <f t="shared" si="422"/>
        <v/>
      </c>
      <c r="AO456" s="11" t="str">
        <f t="shared" si="422"/>
        <v/>
      </c>
      <c r="AP456" s="21" t="str">
        <f t="shared" si="396"/>
        <v>emerson-japan-dawn, emerson-18-oz-japan-dry-selvage, emerson-japan-dry-selvage</v>
      </c>
    </row>
    <row r="457" ht="16.5" customHeight="1">
      <c r="A457" s="32" t="s">
        <v>34</v>
      </c>
      <c r="B457" s="32" t="s">
        <v>307</v>
      </c>
      <c r="C457" s="32" t="s">
        <v>1446</v>
      </c>
      <c r="D457" s="32" t="s">
        <v>1447</v>
      </c>
      <c r="E457" s="32" t="s">
        <v>3652</v>
      </c>
      <c r="F457" s="4" t="s">
        <v>1448</v>
      </c>
      <c r="G457" s="4"/>
      <c r="H457" s="4"/>
      <c r="K457" s="18"/>
      <c r="L457" s="33"/>
      <c r="M457" s="20"/>
      <c r="N457" s="20"/>
      <c r="O457" s="20"/>
      <c r="P457" s="20"/>
      <c r="Q457" s="20"/>
      <c r="R457" s="20"/>
      <c r="S457" s="20"/>
      <c r="T457" s="20"/>
      <c r="U457" s="34"/>
      <c r="AF457" s="11" t="str">
        <f t="shared" si="394"/>
        <v/>
      </c>
      <c r="AG457" s="11" t="str">
        <f t="shared" ref="AG457:AO457" si="423">if(not(isblank(M457)),", "&amp;M457,"")</f>
        <v/>
      </c>
      <c r="AH457" s="11" t="str">
        <f t="shared" si="423"/>
        <v/>
      </c>
      <c r="AI457" s="11" t="str">
        <f t="shared" si="423"/>
        <v/>
      </c>
      <c r="AJ457" s="11" t="str">
        <f t="shared" si="423"/>
        <v/>
      </c>
      <c r="AK457" s="11" t="str">
        <f t="shared" si="423"/>
        <v/>
      </c>
      <c r="AL457" s="11" t="str">
        <f t="shared" si="423"/>
        <v/>
      </c>
      <c r="AM457" s="11" t="str">
        <f t="shared" si="423"/>
        <v/>
      </c>
      <c r="AN457" s="11" t="str">
        <f t="shared" si="423"/>
        <v/>
      </c>
      <c r="AO457" s="11" t="str">
        <f t="shared" si="423"/>
        <v/>
      </c>
      <c r="AP457" s="21" t="str">
        <f t="shared" si="396"/>
        <v/>
      </c>
    </row>
    <row r="458" ht="16.5" customHeight="1">
      <c r="A458" s="32" t="s">
        <v>34</v>
      </c>
      <c r="B458" s="32" t="s">
        <v>307</v>
      </c>
      <c r="C458" s="32" t="s">
        <v>1452</v>
      </c>
      <c r="D458" s="32" t="s">
        <v>1453</v>
      </c>
      <c r="E458" s="32" t="s">
        <v>3652</v>
      </c>
      <c r="F458" s="4" t="s">
        <v>1455</v>
      </c>
      <c r="G458" s="4" t="s">
        <v>1454</v>
      </c>
      <c r="K458" s="18"/>
      <c r="L458" s="33"/>
      <c r="M458" s="20"/>
      <c r="N458" s="20"/>
      <c r="O458" s="20"/>
      <c r="P458" s="20"/>
      <c r="Q458" s="20"/>
      <c r="R458" s="20"/>
      <c r="S458" s="20"/>
      <c r="T458" s="20"/>
      <c r="U458" s="34"/>
      <c r="AF458" s="11" t="str">
        <f t="shared" si="394"/>
        <v/>
      </c>
      <c r="AG458" s="11" t="str">
        <f t="shared" ref="AG458:AO458" si="424">if(not(isblank(M458)),", "&amp;M458,"")</f>
        <v/>
      </c>
      <c r="AH458" s="11" t="str">
        <f t="shared" si="424"/>
        <v/>
      </c>
      <c r="AI458" s="11" t="str">
        <f t="shared" si="424"/>
        <v/>
      </c>
      <c r="AJ458" s="11" t="str">
        <f t="shared" si="424"/>
        <v/>
      </c>
      <c r="AK458" s="11" t="str">
        <f t="shared" si="424"/>
        <v/>
      </c>
      <c r="AL458" s="11" t="str">
        <f t="shared" si="424"/>
        <v/>
      </c>
      <c r="AM458" s="11" t="str">
        <f t="shared" si="424"/>
        <v/>
      </c>
      <c r="AN458" s="11" t="str">
        <f t="shared" si="424"/>
        <v/>
      </c>
      <c r="AO458" s="11" t="str">
        <f t="shared" si="424"/>
        <v/>
      </c>
      <c r="AP458" s="21" t="str">
        <f t="shared" si="396"/>
        <v>jone-japan-indigo, jone-japan-black, jone-japan-blue-1, jone-13-oz-japan-dry-selvage</v>
      </c>
    </row>
    <row r="459" ht="16.5" customHeight="1">
      <c r="A459" s="32" t="s">
        <v>34</v>
      </c>
      <c r="B459" s="32" t="s">
        <v>307</v>
      </c>
      <c r="C459" s="32" t="s">
        <v>1457</v>
      </c>
      <c r="D459" s="32" t="s">
        <v>1458</v>
      </c>
      <c r="E459" s="36"/>
      <c r="F459" s="4"/>
      <c r="G459" s="4"/>
      <c r="H459" s="4"/>
      <c r="K459" s="18"/>
      <c r="L459" s="33"/>
      <c r="M459" s="20"/>
      <c r="N459" s="20"/>
      <c r="O459" s="20"/>
      <c r="P459" s="20"/>
      <c r="Q459" s="20"/>
      <c r="R459" s="20"/>
      <c r="S459" s="20"/>
      <c r="T459" s="20"/>
      <c r="U459" s="34"/>
      <c r="AF459" s="11" t="str">
        <f t="shared" si="394"/>
        <v/>
      </c>
      <c r="AG459" s="11" t="str">
        <f t="shared" ref="AG459:AO459" si="425">if(not(isblank(M459)),", "&amp;M459,"")</f>
        <v/>
      </c>
      <c r="AH459" s="11" t="str">
        <f t="shared" si="425"/>
        <v/>
      </c>
      <c r="AI459" s="11" t="str">
        <f t="shared" si="425"/>
        <v/>
      </c>
      <c r="AJ459" s="11" t="str">
        <f t="shared" si="425"/>
        <v/>
      </c>
      <c r="AK459" s="11" t="str">
        <f t="shared" si="425"/>
        <v/>
      </c>
      <c r="AL459" s="11" t="str">
        <f t="shared" si="425"/>
        <v/>
      </c>
      <c r="AM459" s="11" t="str">
        <f t="shared" si="425"/>
        <v/>
      </c>
      <c r="AN459" s="11" t="str">
        <f t="shared" si="425"/>
        <v/>
      </c>
      <c r="AO459" s="11" t="str">
        <f t="shared" si="425"/>
        <v/>
      </c>
      <c r="AP459" s="21" t="str">
        <f t="shared" si="396"/>
        <v/>
      </c>
    </row>
    <row r="460" ht="16.5" customHeight="1">
      <c r="A460" s="32" t="s">
        <v>34</v>
      </c>
      <c r="B460" s="32" t="s">
        <v>39</v>
      </c>
      <c r="C460" s="32" t="s">
        <v>3653</v>
      </c>
      <c r="D460" s="32" t="s">
        <v>3654</v>
      </c>
      <c r="E460" s="32" t="s">
        <v>3655</v>
      </c>
      <c r="F460" s="4" t="s">
        <v>3656</v>
      </c>
      <c r="G460" s="4" t="s">
        <v>3657</v>
      </c>
      <c r="K460" s="18"/>
      <c r="L460" s="33"/>
      <c r="M460" s="20"/>
      <c r="N460" s="20"/>
      <c r="O460" s="20"/>
      <c r="P460" s="20"/>
      <c r="Q460" s="20"/>
      <c r="R460" s="20"/>
      <c r="S460" s="20"/>
      <c r="T460" s="20"/>
      <c r="U460" s="34"/>
      <c r="AF460" s="11" t="str">
        <f t="shared" si="394"/>
        <v/>
      </c>
      <c r="AG460" s="11" t="str">
        <f t="shared" ref="AG460:AO460" si="426">if(not(isblank(M460)),", "&amp;M460,"")</f>
        <v/>
      </c>
      <c r="AH460" s="11" t="str">
        <f t="shared" si="426"/>
        <v/>
      </c>
      <c r="AI460" s="11" t="str">
        <f t="shared" si="426"/>
        <v/>
      </c>
      <c r="AJ460" s="11" t="str">
        <f t="shared" si="426"/>
        <v/>
      </c>
      <c r="AK460" s="11" t="str">
        <f t="shared" si="426"/>
        <v/>
      </c>
      <c r="AL460" s="11" t="str">
        <f t="shared" si="426"/>
        <v/>
      </c>
      <c r="AM460" s="11" t="str">
        <f t="shared" si="426"/>
        <v/>
      </c>
      <c r="AN460" s="11" t="str">
        <f t="shared" si="426"/>
        <v/>
      </c>
      <c r="AO460" s="11" t="str">
        <f t="shared" si="426"/>
        <v/>
      </c>
      <c r="AP460" s="21" t="str">
        <f t="shared" si="396"/>
        <v>cassidy-white-oxford, cassidy-candy-stripe, cassidy-navy, cassidy-beige, cassidy-black-1</v>
      </c>
    </row>
    <row r="461" ht="16.5" customHeight="1">
      <c r="A461" s="32" t="s">
        <v>34</v>
      </c>
      <c r="B461" s="32" t="s">
        <v>39</v>
      </c>
      <c r="C461" s="32" t="s">
        <v>1460</v>
      </c>
      <c r="D461" s="32" t="s">
        <v>1461</v>
      </c>
      <c r="E461" s="32" t="s">
        <v>3655</v>
      </c>
      <c r="F461" s="4" t="s">
        <v>1464</v>
      </c>
      <c r="G461" s="4" t="s">
        <v>3658</v>
      </c>
      <c r="H461" s="4" t="s">
        <v>1463</v>
      </c>
      <c r="K461" s="18"/>
      <c r="L461" s="33"/>
      <c r="M461" s="20"/>
      <c r="N461" s="20"/>
      <c r="O461" s="20"/>
      <c r="P461" s="20"/>
      <c r="Q461" s="20"/>
      <c r="R461" s="20"/>
      <c r="S461" s="20"/>
      <c r="T461" s="20"/>
      <c r="U461" s="34"/>
      <c r="AF461" s="11" t="str">
        <f t="shared" si="394"/>
        <v/>
      </c>
      <c r="AG461" s="11" t="str">
        <f t="shared" ref="AG461:AO461" si="427">if(not(isblank(M461)),", "&amp;M461,"")</f>
        <v/>
      </c>
      <c r="AH461" s="11" t="str">
        <f t="shared" si="427"/>
        <v/>
      </c>
      <c r="AI461" s="11" t="str">
        <f t="shared" si="427"/>
        <v/>
      </c>
      <c r="AJ461" s="11" t="str">
        <f t="shared" si="427"/>
        <v/>
      </c>
      <c r="AK461" s="11" t="str">
        <f t="shared" si="427"/>
        <v/>
      </c>
      <c r="AL461" s="11" t="str">
        <f t="shared" si="427"/>
        <v/>
      </c>
      <c r="AM461" s="11" t="str">
        <f t="shared" si="427"/>
        <v/>
      </c>
      <c r="AN461" s="11" t="str">
        <f t="shared" si="427"/>
        <v/>
      </c>
      <c r="AO461" s="11" t="str">
        <f t="shared" si="427"/>
        <v/>
      </c>
      <c r="AP461" s="21" t="str">
        <f t="shared" si="396"/>
        <v>cassidy-candy-stripe, cassidy-navy, cassidy-beige, cassidy-olive-oxford, cassidy-black-1</v>
      </c>
    </row>
    <row r="462" ht="16.5" customHeight="1">
      <c r="A462" s="32" t="s">
        <v>34</v>
      </c>
      <c r="B462" s="32" t="s">
        <v>257</v>
      </c>
      <c r="C462" s="32" t="s">
        <v>1469</v>
      </c>
      <c r="D462" s="32" t="s">
        <v>1470</v>
      </c>
      <c r="E462" s="32" t="s">
        <v>3659</v>
      </c>
      <c r="F462" s="4" t="s">
        <v>1473</v>
      </c>
      <c r="G462" s="4" t="s">
        <v>3660</v>
      </c>
      <c r="I462" s="11" t="s">
        <v>3661</v>
      </c>
      <c r="J462" s="11" t="s">
        <v>3662</v>
      </c>
      <c r="K462" s="18"/>
      <c r="L462" s="35" t="s">
        <v>3663</v>
      </c>
      <c r="M462" s="19" t="s">
        <v>2677</v>
      </c>
      <c r="N462" s="19" t="s">
        <v>2682</v>
      </c>
      <c r="O462" s="19" t="s">
        <v>3374</v>
      </c>
      <c r="P462" s="19" t="s">
        <v>2678</v>
      </c>
      <c r="Q462" s="19" t="s">
        <v>3664</v>
      </c>
      <c r="R462" s="19" t="s">
        <v>1782</v>
      </c>
      <c r="S462" s="19"/>
      <c r="T462" s="20"/>
      <c r="U462" s="34"/>
      <c r="AF462" s="11" t="str">
        <f t="shared" si="394"/>
        <v>aiden-black-ox</v>
      </c>
      <c r="AG462" s="11" t="str">
        <f t="shared" ref="AG462:AO462" si="428">if(not(isblank(M462)),", "&amp;M462,"")</f>
        <v>, aiden-blue-check-pop</v>
      </c>
      <c r="AH462" s="11" t="str">
        <f t="shared" si="428"/>
        <v>, aiden-brown-stripe-pop</v>
      </c>
      <c r="AI462" s="11" t="str">
        <f t="shared" si="428"/>
        <v>, aiden-eclipse-stripe-poplin</v>
      </c>
      <c r="AJ462" s="11" t="str">
        <f t="shared" si="428"/>
        <v>, aiden-grey-oxford</v>
      </c>
      <c r="AK462" s="11" t="str">
        <f t="shared" si="428"/>
        <v>, aiden-japan-shadow</v>
      </c>
      <c r="AL462" s="11" t="str">
        <f t="shared" si="428"/>
        <v>, aiden-white-ox</v>
      </c>
      <c r="AM462" s="11" t="str">
        <f t="shared" si="428"/>
        <v/>
      </c>
      <c r="AN462" s="11" t="str">
        <f t="shared" si="428"/>
        <v/>
      </c>
      <c r="AO462" s="11" t="str">
        <f t="shared" si="428"/>
        <v/>
      </c>
      <c r="AP462" s="21" t="str">
        <f t="shared" si="396"/>
        <v>aiden-black-ox, aiden-blue-check-pop, aiden-brown-stripe-pop, aiden-eclipse-stripe-poplin, aiden-grey-oxford, aiden-japan-shadow, aiden-white-ox</v>
      </c>
    </row>
    <row r="463" ht="16.5" customHeight="1">
      <c r="A463" s="32" t="s">
        <v>34</v>
      </c>
      <c r="B463" s="32" t="s">
        <v>257</v>
      </c>
      <c r="C463" s="32" t="s">
        <v>3665</v>
      </c>
      <c r="D463" s="32" t="s">
        <v>3666</v>
      </c>
      <c r="E463" s="32" t="s">
        <v>3667</v>
      </c>
      <c r="F463" s="4" t="s">
        <v>3668</v>
      </c>
      <c r="G463" s="4" t="s">
        <v>3669</v>
      </c>
      <c r="K463" s="18"/>
      <c r="L463" s="35"/>
      <c r="M463" s="19"/>
      <c r="N463" s="19"/>
      <c r="O463" s="19"/>
      <c r="P463" s="20"/>
      <c r="Q463" s="20"/>
      <c r="R463" s="20"/>
      <c r="S463" s="20"/>
      <c r="T463" s="20"/>
      <c r="U463" s="34"/>
      <c r="AF463" s="11" t="str">
        <f t="shared" si="394"/>
        <v/>
      </c>
      <c r="AG463" s="11" t="str">
        <f t="shared" ref="AG463:AO463" si="429">if(not(isblank(M463)),", "&amp;M463,"")</f>
        <v/>
      </c>
      <c r="AH463" s="11" t="str">
        <f t="shared" si="429"/>
        <v/>
      </c>
      <c r="AI463" s="11" t="str">
        <f t="shared" si="429"/>
        <v/>
      </c>
      <c r="AJ463" s="11" t="str">
        <f t="shared" si="429"/>
        <v/>
      </c>
      <c r="AK463" s="11" t="str">
        <f t="shared" si="429"/>
        <v/>
      </c>
      <c r="AL463" s="11" t="str">
        <f t="shared" si="429"/>
        <v/>
      </c>
      <c r="AM463" s="11" t="str">
        <f t="shared" si="429"/>
        <v/>
      </c>
      <c r="AN463" s="11" t="str">
        <f t="shared" si="429"/>
        <v/>
      </c>
      <c r="AO463" s="11" t="str">
        <f t="shared" si="429"/>
        <v/>
      </c>
      <c r="AP463" s="21" t="str">
        <f t="shared" si="396"/>
        <v>addison-japan-indigo, addison-japan-rinse-selvage</v>
      </c>
    </row>
    <row r="464" ht="16.5" customHeight="1">
      <c r="A464" s="32" t="s">
        <v>210</v>
      </c>
      <c r="B464" s="32" t="s">
        <v>257</v>
      </c>
      <c r="C464" s="32" t="s">
        <v>3670</v>
      </c>
      <c r="D464" s="32" t="s">
        <v>3671</v>
      </c>
      <c r="E464" s="32" t="s">
        <v>3672</v>
      </c>
      <c r="F464" s="4" t="s">
        <v>3673</v>
      </c>
      <c r="G464" s="4"/>
      <c r="H464" s="4"/>
      <c r="K464" s="18"/>
      <c r="L464" s="35"/>
      <c r="M464" s="19"/>
      <c r="N464" s="19"/>
      <c r="O464" s="20"/>
      <c r="P464" s="20"/>
      <c r="Q464" s="20"/>
      <c r="R464" s="20"/>
      <c r="S464" s="20"/>
      <c r="T464" s="20"/>
      <c r="U464" s="34"/>
      <c r="AF464" s="11" t="str">
        <f t="shared" si="394"/>
        <v/>
      </c>
      <c r="AG464" s="11" t="str">
        <f t="shared" ref="AG464:AO464" si="430">if(not(isblank(M464)),", "&amp;M464,"")</f>
        <v/>
      </c>
      <c r="AH464" s="11" t="str">
        <f t="shared" si="430"/>
        <v/>
      </c>
      <c r="AI464" s="11" t="str">
        <f t="shared" si="430"/>
        <v/>
      </c>
      <c r="AJ464" s="11" t="str">
        <f t="shared" si="430"/>
        <v/>
      </c>
      <c r="AK464" s="11" t="str">
        <f t="shared" si="430"/>
        <v/>
      </c>
      <c r="AL464" s="11" t="str">
        <f t="shared" si="430"/>
        <v/>
      </c>
      <c r="AM464" s="11" t="str">
        <f t="shared" si="430"/>
        <v/>
      </c>
      <c r="AN464" s="11" t="str">
        <f t="shared" si="430"/>
        <v/>
      </c>
      <c r="AO464" s="11" t="str">
        <f t="shared" si="430"/>
        <v/>
      </c>
      <c r="AP464" s="21" t="str">
        <f t="shared" si="396"/>
        <v/>
      </c>
    </row>
    <row r="465" ht="16.5" customHeight="1">
      <c r="A465" s="32" t="s">
        <v>34</v>
      </c>
      <c r="B465" s="32" t="s">
        <v>257</v>
      </c>
      <c r="C465" s="32" t="s">
        <v>1478</v>
      </c>
      <c r="D465" s="32" t="s">
        <v>1479</v>
      </c>
      <c r="E465" s="32" t="s">
        <v>3674</v>
      </c>
      <c r="F465" s="4" t="s">
        <v>1481</v>
      </c>
      <c r="G465" s="4" t="s">
        <v>3675</v>
      </c>
      <c r="K465" s="18"/>
      <c r="L465" s="33"/>
      <c r="M465" s="20"/>
      <c r="N465" s="20"/>
      <c r="O465" s="20"/>
      <c r="P465" s="20"/>
      <c r="Q465" s="20"/>
      <c r="R465" s="20"/>
      <c r="S465" s="20"/>
      <c r="T465" s="20"/>
      <c r="U465" s="34"/>
      <c r="AF465" s="11" t="str">
        <f t="shared" si="394"/>
        <v/>
      </c>
      <c r="AG465" s="11" t="str">
        <f t="shared" ref="AG465:AO465" si="431">if(not(isblank(M465)),", "&amp;M465,"")</f>
        <v/>
      </c>
      <c r="AH465" s="11" t="str">
        <f t="shared" si="431"/>
        <v/>
      </c>
      <c r="AI465" s="11" t="str">
        <f t="shared" si="431"/>
        <v/>
      </c>
      <c r="AJ465" s="11" t="str">
        <f t="shared" si="431"/>
        <v/>
      </c>
      <c r="AK465" s="11" t="str">
        <f t="shared" si="431"/>
        <v/>
      </c>
      <c r="AL465" s="11" t="str">
        <f t="shared" si="431"/>
        <v/>
      </c>
      <c r="AM465" s="11" t="str">
        <f t="shared" si="431"/>
        <v/>
      </c>
      <c r="AN465" s="11" t="str">
        <f t="shared" si="431"/>
        <v/>
      </c>
      <c r="AO465" s="11" t="str">
        <f t="shared" si="431"/>
        <v/>
      </c>
      <c r="AP465" s="21" t="str">
        <f t="shared" si="396"/>
        <v>kai-japan-dawn, kai-japan-fade, kai-japan-shadow, kai-15-5-oz-japan-dry-selvage</v>
      </c>
    </row>
    <row r="466" ht="16.5" customHeight="1">
      <c r="A466" s="32" t="s">
        <v>34</v>
      </c>
      <c r="B466" s="32" t="s">
        <v>257</v>
      </c>
      <c r="C466" s="32" t="s">
        <v>1491</v>
      </c>
      <c r="D466" s="32" t="s">
        <v>1492</v>
      </c>
      <c r="E466" s="32" t="s">
        <v>3676</v>
      </c>
      <c r="F466" s="4" t="s">
        <v>1494</v>
      </c>
      <c r="G466" s="4" t="s">
        <v>3677</v>
      </c>
      <c r="K466" s="18"/>
      <c r="L466" s="33"/>
      <c r="M466" s="20"/>
      <c r="N466" s="20"/>
      <c r="O466" s="20"/>
      <c r="P466" s="20"/>
      <c r="Q466" s="20"/>
      <c r="R466" s="20"/>
      <c r="S466" s="20"/>
      <c r="T466" s="20"/>
      <c r="U466" s="34"/>
      <c r="AF466" s="11" t="str">
        <f t="shared" si="394"/>
        <v/>
      </c>
      <c r="AG466" s="11" t="str">
        <f t="shared" ref="AG466:AO466" si="432">if(not(isblank(M466)),", "&amp;M466,"")</f>
        <v/>
      </c>
      <c r="AH466" s="11" t="str">
        <f t="shared" si="432"/>
        <v/>
      </c>
      <c r="AI466" s="11" t="str">
        <f t="shared" si="432"/>
        <v/>
      </c>
      <c r="AJ466" s="11" t="str">
        <f t="shared" si="432"/>
        <v/>
      </c>
      <c r="AK466" s="11" t="str">
        <f t="shared" si="432"/>
        <v/>
      </c>
      <c r="AL466" s="11" t="str">
        <f t="shared" si="432"/>
        <v/>
      </c>
      <c r="AM466" s="11" t="str">
        <f t="shared" si="432"/>
        <v/>
      </c>
      <c r="AN466" s="11" t="str">
        <f t="shared" si="432"/>
        <v/>
      </c>
      <c r="AO466" s="11" t="str">
        <f t="shared" si="432"/>
        <v/>
      </c>
      <c r="AP466" s="21" t="str">
        <f t="shared" si="396"/>
        <v>kai-japan-fade, kai-japan-black, kai-japan-shadow, kai-15-5-oz-japan-dry-selvage</v>
      </c>
    </row>
    <row r="467" ht="16.5" customHeight="1">
      <c r="A467" s="32" t="s">
        <v>34</v>
      </c>
      <c r="B467" s="32" t="s">
        <v>330</v>
      </c>
      <c r="C467" s="32" t="s">
        <v>1513</v>
      </c>
      <c r="D467" s="32" t="s">
        <v>1514</v>
      </c>
      <c r="E467" s="32" t="s">
        <v>3625</v>
      </c>
      <c r="F467" s="4" t="s">
        <v>1516</v>
      </c>
      <c r="G467" s="4" t="s">
        <v>1515</v>
      </c>
      <c r="H467" s="4"/>
      <c r="K467" s="18"/>
      <c r="L467" s="33"/>
      <c r="M467" s="20"/>
      <c r="N467" s="20"/>
      <c r="O467" s="20"/>
      <c r="P467" s="20"/>
      <c r="Q467" s="20"/>
      <c r="R467" s="20"/>
      <c r="S467" s="20"/>
      <c r="T467" s="20"/>
      <c r="U467" s="34"/>
      <c r="AF467" s="11" t="str">
        <f t="shared" si="394"/>
        <v/>
      </c>
      <c r="AG467" s="11" t="str">
        <f t="shared" ref="AG467:AO467" si="433">if(not(isblank(M467)),", "&amp;M467,"")</f>
        <v/>
      </c>
      <c r="AH467" s="11" t="str">
        <f t="shared" si="433"/>
        <v/>
      </c>
      <c r="AI467" s="11" t="str">
        <f t="shared" si="433"/>
        <v/>
      </c>
      <c r="AJ467" s="11" t="str">
        <f t="shared" si="433"/>
        <v/>
      </c>
      <c r="AK467" s="11" t="str">
        <f t="shared" si="433"/>
        <v/>
      </c>
      <c r="AL467" s="11" t="str">
        <f t="shared" si="433"/>
        <v/>
      </c>
      <c r="AM467" s="11" t="str">
        <f t="shared" si="433"/>
        <v/>
      </c>
      <c r="AN467" s="11" t="str">
        <f t="shared" si="433"/>
        <v/>
      </c>
      <c r="AO467" s="11" t="str">
        <f t="shared" si="433"/>
        <v/>
      </c>
      <c r="AP467" s="21" t="str">
        <f t="shared" si="396"/>
        <v>palmer-grey, palmer-navy</v>
      </c>
    </row>
    <row r="468" ht="16.5" customHeight="1">
      <c r="A468" s="32" t="s">
        <v>34</v>
      </c>
      <c r="B468" s="32" t="s">
        <v>257</v>
      </c>
      <c r="C468" s="32" t="s">
        <v>3678</v>
      </c>
      <c r="D468" s="32" t="s">
        <v>3679</v>
      </c>
      <c r="E468" s="32" t="s">
        <v>3680</v>
      </c>
      <c r="F468" s="4" t="s">
        <v>3681</v>
      </c>
      <c r="G468" s="4" t="s">
        <v>3682</v>
      </c>
      <c r="K468" s="18"/>
      <c r="L468" s="33"/>
      <c r="M468" s="20"/>
      <c r="N468" s="20"/>
      <c r="O468" s="20"/>
      <c r="P468" s="20"/>
      <c r="Q468" s="20"/>
      <c r="R468" s="20"/>
      <c r="S468" s="20"/>
      <c r="T468" s="20"/>
      <c r="U468" s="34"/>
      <c r="AF468" s="11" t="str">
        <f t="shared" si="394"/>
        <v/>
      </c>
      <c r="AG468" s="11" t="str">
        <f t="shared" ref="AG468:AO468" si="434">if(not(isblank(M468)),", "&amp;M468,"")</f>
        <v/>
      </c>
      <c r="AH468" s="11" t="str">
        <f t="shared" si="434"/>
        <v/>
      </c>
      <c r="AI468" s="11" t="str">
        <f t="shared" si="434"/>
        <v/>
      </c>
      <c r="AJ468" s="11" t="str">
        <f t="shared" si="434"/>
        <v/>
      </c>
      <c r="AK468" s="11" t="str">
        <f t="shared" si="434"/>
        <v/>
      </c>
      <c r="AL468" s="11" t="str">
        <f t="shared" si="434"/>
        <v/>
      </c>
      <c r="AM468" s="11" t="str">
        <f t="shared" si="434"/>
        <v/>
      </c>
      <c r="AN468" s="11" t="str">
        <f t="shared" si="434"/>
        <v/>
      </c>
      <c r="AO468" s="11" t="str">
        <f t="shared" si="434"/>
        <v/>
      </c>
      <c r="AP468" s="21" t="str">
        <f t="shared" si="396"/>
        <v>emerson-japan-black-selvage, emerson-japan-dry-selvage, emerson-18-oz-japan-dry-selvage</v>
      </c>
    </row>
    <row r="469" ht="16.5" customHeight="1">
      <c r="A469" s="32" t="s">
        <v>34</v>
      </c>
      <c r="B469" s="32" t="s">
        <v>257</v>
      </c>
      <c r="C469" s="32" t="s">
        <v>1520</v>
      </c>
      <c r="D469" s="32" t="s">
        <v>1521</v>
      </c>
      <c r="E469" s="32" t="s">
        <v>3683</v>
      </c>
      <c r="F469" s="4" t="s">
        <v>1523</v>
      </c>
      <c r="G469" s="4" t="s">
        <v>3684</v>
      </c>
      <c r="K469" s="18"/>
      <c r="L469" s="33"/>
      <c r="M469" s="20"/>
      <c r="N469" s="20"/>
      <c r="O469" s="20"/>
      <c r="P469" s="20"/>
      <c r="Q469" s="20"/>
      <c r="R469" s="20"/>
      <c r="S469" s="20"/>
      <c r="T469" s="20"/>
      <c r="U469" s="34"/>
      <c r="AF469" s="11" t="str">
        <f t="shared" si="394"/>
        <v/>
      </c>
      <c r="AG469" s="11" t="str">
        <f t="shared" ref="AG469:AO469" si="435">if(not(isblank(M469)),", "&amp;M469,"")</f>
        <v/>
      </c>
      <c r="AH469" s="11" t="str">
        <f t="shared" si="435"/>
        <v/>
      </c>
      <c r="AI469" s="11" t="str">
        <f t="shared" si="435"/>
        <v/>
      </c>
      <c r="AJ469" s="11" t="str">
        <f t="shared" si="435"/>
        <v/>
      </c>
      <c r="AK469" s="11" t="str">
        <f t="shared" si="435"/>
        <v/>
      </c>
      <c r="AL469" s="11" t="str">
        <f t="shared" si="435"/>
        <v/>
      </c>
      <c r="AM469" s="11" t="str">
        <f t="shared" si="435"/>
        <v/>
      </c>
      <c r="AN469" s="11" t="str">
        <f t="shared" si="435"/>
        <v/>
      </c>
      <c r="AO469" s="11" t="str">
        <f t="shared" si="435"/>
        <v/>
      </c>
      <c r="AP469" s="21" t="str">
        <f t="shared" si="396"/>
        <v>kai-japan-dawn, kai-japan-black, kai-japan-shadow, kai-15-5-oz-japan-dry-selvage</v>
      </c>
    </row>
    <row r="470" ht="16.5" customHeight="1">
      <c r="A470" s="32" t="s">
        <v>210</v>
      </c>
      <c r="B470" s="32" t="s">
        <v>330</v>
      </c>
      <c r="C470" s="32" t="s">
        <v>2012</v>
      </c>
      <c r="D470" s="32" t="s">
        <v>3685</v>
      </c>
      <c r="E470" s="32" t="s">
        <v>3686</v>
      </c>
      <c r="F470" s="4" t="s">
        <v>3686</v>
      </c>
      <c r="G470" s="4" t="s">
        <v>3687</v>
      </c>
      <c r="K470" s="18"/>
      <c r="L470" s="33"/>
      <c r="M470" s="20"/>
      <c r="N470" s="20"/>
      <c r="O470" s="20"/>
      <c r="P470" s="20"/>
      <c r="Q470" s="20"/>
      <c r="R470" s="20"/>
      <c r="S470" s="20"/>
      <c r="T470" s="20"/>
      <c r="U470" s="34"/>
      <c r="AF470" s="11" t="str">
        <f t="shared" si="394"/>
        <v/>
      </c>
      <c r="AG470" s="11" t="str">
        <f t="shared" ref="AG470:AO470" si="436">if(not(isblank(M470)),", "&amp;M470,"")</f>
        <v/>
      </c>
      <c r="AH470" s="11" t="str">
        <f t="shared" si="436"/>
        <v/>
      </c>
      <c r="AI470" s="11" t="str">
        <f t="shared" si="436"/>
        <v/>
      </c>
      <c r="AJ470" s="11" t="str">
        <f t="shared" si="436"/>
        <v/>
      </c>
      <c r="AK470" s="11" t="str">
        <f t="shared" si="436"/>
        <v/>
      </c>
      <c r="AL470" s="11" t="str">
        <f t="shared" si="436"/>
        <v/>
      </c>
      <c r="AM470" s="11" t="str">
        <f t="shared" si="436"/>
        <v/>
      </c>
      <c r="AN470" s="11" t="str">
        <f t="shared" si="436"/>
        <v/>
      </c>
      <c r="AO470" s="11" t="str">
        <f t="shared" si="436"/>
        <v/>
      </c>
      <c r="AP470" s="21" t="str">
        <f t="shared" si="396"/>
        <v>needle-white, needle-reverse-nut-stripe, needle-reverse-blue-stripe</v>
      </c>
    </row>
    <row r="471" ht="16.5" customHeight="1">
      <c r="A471" s="32" t="s">
        <v>210</v>
      </c>
      <c r="B471" s="32" t="s">
        <v>330</v>
      </c>
      <c r="C471" s="32" t="s">
        <v>3457</v>
      </c>
      <c r="D471" s="32" t="s">
        <v>3688</v>
      </c>
      <c r="E471" s="32" t="s">
        <v>3686</v>
      </c>
      <c r="F471" s="4" t="s">
        <v>3689</v>
      </c>
      <c r="G471" s="4" t="s">
        <v>3690</v>
      </c>
      <c r="K471" s="18"/>
      <c r="L471" s="33"/>
      <c r="M471" s="20"/>
      <c r="N471" s="20"/>
      <c r="O471" s="20"/>
      <c r="P471" s="20"/>
      <c r="Q471" s="20"/>
      <c r="R471" s="20"/>
      <c r="S471" s="20"/>
      <c r="T471" s="20"/>
      <c r="U471" s="34"/>
      <c r="AF471" s="11" t="str">
        <f t="shared" si="394"/>
        <v/>
      </c>
      <c r="AG471" s="11" t="str">
        <f t="shared" ref="AG471:AO471" si="437">if(not(isblank(M471)),", "&amp;M471,"")</f>
        <v/>
      </c>
      <c r="AH471" s="11" t="str">
        <f t="shared" si="437"/>
        <v/>
      </c>
      <c r="AI471" s="11" t="str">
        <f t="shared" si="437"/>
        <v/>
      </c>
      <c r="AJ471" s="11" t="str">
        <f t="shared" si="437"/>
        <v/>
      </c>
      <c r="AK471" s="11" t="str">
        <f t="shared" si="437"/>
        <v/>
      </c>
      <c r="AL471" s="11" t="str">
        <f t="shared" si="437"/>
        <v/>
      </c>
      <c r="AM471" s="11" t="str">
        <f t="shared" si="437"/>
        <v/>
      </c>
      <c r="AN471" s="11" t="str">
        <f t="shared" si="437"/>
        <v/>
      </c>
      <c r="AO471" s="11" t="str">
        <f t="shared" si="437"/>
        <v/>
      </c>
      <c r="AP471" s="21" t="str">
        <f t="shared" si="396"/>
        <v>needle-black, needle-reverse-nut-stripe, needle-reverse-blue-stripe</v>
      </c>
    </row>
    <row r="472" ht="16.5" customHeight="1">
      <c r="A472" s="32" t="s">
        <v>210</v>
      </c>
      <c r="B472" s="32" t="s">
        <v>73</v>
      </c>
      <c r="C472" s="32" t="s">
        <v>3691</v>
      </c>
      <c r="D472" s="32" t="s">
        <v>3692</v>
      </c>
      <c r="E472" s="36"/>
      <c r="F472" s="4"/>
      <c r="G472" s="4"/>
      <c r="H472" s="4"/>
      <c r="K472" s="18"/>
      <c r="L472" s="33"/>
      <c r="M472" s="20"/>
      <c r="N472" s="20"/>
      <c r="O472" s="20"/>
      <c r="P472" s="20"/>
      <c r="Q472" s="20"/>
      <c r="R472" s="20"/>
      <c r="S472" s="20"/>
      <c r="T472" s="20"/>
      <c r="U472" s="34"/>
      <c r="AF472" s="11" t="str">
        <f t="shared" si="394"/>
        <v/>
      </c>
      <c r="AG472" s="11" t="str">
        <f t="shared" ref="AG472:AO472" si="438">if(not(isblank(M472)),", "&amp;M472,"")</f>
        <v/>
      </c>
      <c r="AH472" s="11" t="str">
        <f t="shared" si="438"/>
        <v/>
      </c>
      <c r="AI472" s="11" t="str">
        <f t="shared" si="438"/>
        <v/>
      </c>
      <c r="AJ472" s="11" t="str">
        <f t="shared" si="438"/>
        <v/>
      </c>
      <c r="AK472" s="11" t="str">
        <f t="shared" si="438"/>
        <v/>
      </c>
      <c r="AL472" s="11" t="str">
        <f t="shared" si="438"/>
        <v/>
      </c>
      <c r="AM472" s="11" t="str">
        <f t="shared" si="438"/>
        <v/>
      </c>
      <c r="AN472" s="11" t="str">
        <f t="shared" si="438"/>
        <v/>
      </c>
      <c r="AO472" s="11" t="str">
        <f t="shared" si="438"/>
        <v/>
      </c>
      <c r="AP472" s="21" t="str">
        <f t="shared" si="396"/>
        <v/>
      </c>
    </row>
    <row r="473" ht="16.5" customHeight="1">
      <c r="A473" s="32" t="s">
        <v>210</v>
      </c>
      <c r="B473" s="32" t="s">
        <v>73</v>
      </c>
      <c r="C473" s="32" t="s">
        <v>3693</v>
      </c>
      <c r="D473" s="32" t="s">
        <v>3694</v>
      </c>
      <c r="E473" s="36"/>
      <c r="F473" s="4"/>
      <c r="G473" s="4"/>
      <c r="H473" s="4"/>
      <c r="I473" s="11" t="s">
        <v>1715</v>
      </c>
      <c r="K473" s="18"/>
      <c r="L473" s="33"/>
      <c r="M473" s="20"/>
      <c r="N473" s="20"/>
      <c r="O473" s="20"/>
      <c r="P473" s="20"/>
      <c r="Q473" s="20"/>
      <c r="R473" s="20"/>
      <c r="S473" s="20"/>
      <c r="T473" s="20"/>
      <c r="U473" s="34"/>
      <c r="AF473" s="11" t="str">
        <f t="shared" si="394"/>
        <v/>
      </c>
      <c r="AG473" s="11" t="str">
        <f t="shared" ref="AG473:AO473" si="439">if(not(isblank(M473)),", "&amp;M473,"")</f>
        <v/>
      </c>
      <c r="AH473" s="11" t="str">
        <f t="shared" si="439"/>
        <v/>
      </c>
      <c r="AI473" s="11" t="str">
        <f t="shared" si="439"/>
        <v/>
      </c>
      <c r="AJ473" s="11" t="str">
        <f t="shared" si="439"/>
        <v/>
      </c>
      <c r="AK473" s="11" t="str">
        <f t="shared" si="439"/>
        <v/>
      </c>
      <c r="AL473" s="11" t="str">
        <f t="shared" si="439"/>
        <v/>
      </c>
      <c r="AM473" s="11" t="str">
        <f t="shared" si="439"/>
        <v/>
      </c>
      <c r="AN473" s="11" t="str">
        <f t="shared" si="439"/>
        <v/>
      </c>
      <c r="AO473" s="11" t="str">
        <f t="shared" si="439"/>
        <v/>
      </c>
      <c r="AP473" s="21" t="str">
        <f t="shared" si="396"/>
        <v/>
      </c>
    </row>
    <row r="474" ht="16.5" customHeight="1">
      <c r="A474" s="32" t="s">
        <v>34</v>
      </c>
      <c r="B474" s="32" t="s">
        <v>39</v>
      </c>
      <c r="C474" s="32" t="s">
        <v>3695</v>
      </c>
      <c r="D474" s="32" t="s">
        <v>3696</v>
      </c>
      <c r="E474" s="32" t="s">
        <v>3697</v>
      </c>
      <c r="F474" s="4" t="s">
        <v>3698</v>
      </c>
      <c r="G474" s="4" t="s">
        <v>3699</v>
      </c>
      <c r="K474" s="18"/>
      <c r="L474" s="33"/>
      <c r="M474" s="20"/>
      <c r="N474" s="20"/>
      <c r="O474" s="20"/>
      <c r="P474" s="20"/>
      <c r="Q474" s="20"/>
      <c r="R474" s="20"/>
      <c r="S474" s="20"/>
      <c r="T474" s="20"/>
      <c r="U474" s="34"/>
      <c r="AF474" s="11" t="str">
        <f t="shared" si="394"/>
        <v/>
      </c>
      <c r="AG474" s="11" t="str">
        <f t="shared" ref="AG474:AO474" si="440">if(not(isblank(M474)),", "&amp;M474,"")</f>
        <v/>
      </c>
      <c r="AH474" s="11" t="str">
        <f t="shared" si="440"/>
        <v/>
      </c>
      <c r="AI474" s="11" t="str">
        <f t="shared" si="440"/>
        <v/>
      </c>
      <c r="AJ474" s="11" t="str">
        <f t="shared" si="440"/>
        <v/>
      </c>
      <c r="AK474" s="11" t="str">
        <f t="shared" si="440"/>
        <v/>
      </c>
      <c r="AL474" s="11" t="str">
        <f t="shared" si="440"/>
        <v/>
      </c>
      <c r="AM474" s="11" t="str">
        <f t="shared" si="440"/>
        <v/>
      </c>
      <c r="AN474" s="11" t="str">
        <f t="shared" si="440"/>
        <v/>
      </c>
      <c r="AO474" s="11" t="str">
        <f t="shared" si="440"/>
        <v/>
      </c>
      <c r="AP474" s="21" t="str">
        <f t="shared" si="396"/>
        <v>henrey-japan-indigo-dusk, henrey-celeste-office-stripe-poplin</v>
      </c>
    </row>
    <row r="475" ht="16.5" customHeight="1">
      <c r="A475" s="32" t="s">
        <v>34</v>
      </c>
      <c r="B475" s="32" t="s">
        <v>307</v>
      </c>
      <c r="C475" s="32" t="s">
        <v>1463</v>
      </c>
      <c r="D475" s="32" t="s">
        <v>3700</v>
      </c>
      <c r="E475" s="32" t="s">
        <v>3701</v>
      </c>
      <c r="F475" s="4" t="s">
        <v>3702</v>
      </c>
      <c r="G475" s="4" t="s">
        <v>3703</v>
      </c>
      <c r="H475" s="4"/>
      <c r="K475" s="18"/>
      <c r="L475" s="33"/>
      <c r="M475" s="20"/>
      <c r="N475" s="20"/>
      <c r="O475" s="20"/>
      <c r="P475" s="20"/>
      <c r="Q475" s="20"/>
      <c r="R475" s="20"/>
      <c r="S475" s="20"/>
      <c r="T475" s="20"/>
      <c r="U475" s="34"/>
      <c r="AF475" s="11" t="str">
        <f t="shared" si="394"/>
        <v/>
      </c>
      <c r="AG475" s="11" t="str">
        <f t="shared" ref="AG475:AO475" si="441">if(not(isblank(M475)),", "&amp;M475,"")</f>
        <v/>
      </c>
      <c r="AH475" s="11" t="str">
        <f t="shared" si="441"/>
        <v/>
      </c>
      <c r="AI475" s="11" t="str">
        <f t="shared" si="441"/>
        <v/>
      </c>
      <c r="AJ475" s="11" t="str">
        <f t="shared" si="441"/>
        <v/>
      </c>
      <c r="AK475" s="11" t="str">
        <f t="shared" si="441"/>
        <v/>
      </c>
      <c r="AL475" s="11" t="str">
        <f t="shared" si="441"/>
        <v/>
      </c>
      <c r="AM475" s="11" t="str">
        <f t="shared" si="441"/>
        <v/>
      </c>
      <c r="AN475" s="11" t="str">
        <f t="shared" si="441"/>
        <v/>
      </c>
      <c r="AO475" s="11" t="str">
        <f t="shared" si="441"/>
        <v/>
      </c>
      <c r="AP475" s="21" t="str">
        <f t="shared" si="396"/>
        <v>hayes-black, hayes-navy</v>
      </c>
    </row>
    <row r="476" ht="16.5" customHeight="1">
      <c r="A476" s="32" t="s">
        <v>34</v>
      </c>
      <c r="B476" s="32" t="s">
        <v>44</v>
      </c>
      <c r="C476" s="32" t="s">
        <v>1576</v>
      </c>
      <c r="D476" s="32" t="s">
        <v>1577</v>
      </c>
      <c r="E476" s="36"/>
      <c r="F476" s="4"/>
      <c r="G476" s="4"/>
      <c r="H476" s="4"/>
      <c r="K476" s="18"/>
      <c r="L476" s="33"/>
      <c r="M476" s="20"/>
      <c r="N476" s="20"/>
      <c r="O476" s="20"/>
      <c r="P476" s="20"/>
      <c r="Q476" s="20"/>
      <c r="R476" s="20"/>
      <c r="S476" s="20"/>
      <c r="T476" s="20"/>
      <c r="U476" s="34"/>
      <c r="AF476" s="11" t="str">
        <f t="shared" si="394"/>
        <v/>
      </c>
      <c r="AG476" s="11" t="str">
        <f t="shared" ref="AG476:AO476" si="442">if(not(isblank(M476)),", "&amp;M476,"")</f>
        <v/>
      </c>
      <c r="AH476" s="11" t="str">
        <f t="shared" si="442"/>
        <v/>
      </c>
      <c r="AI476" s="11" t="str">
        <f t="shared" si="442"/>
        <v/>
      </c>
      <c r="AJ476" s="11" t="str">
        <f t="shared" si="442"/>
        <v/>
      </c>
      <c r="AK476" s="11" t="str">
        <f t="shared" si="442"/>
        <v/>
      </c>
      <c r="AL476" s="11" t="str">
        <f t="shared" si="442"/>
        <v/>
      </c>
      <c r="AM476" s="11" t="str">
        <f t="shared" si="442"/>
        <v/>
      </c>
      <c r="AN476" s="11" t="str">
        <f t="shared" si="442"/>
        <v/>
      </c>
      <c r="AO476" s="11" t="str">
        <f t="shared" si="442"/>
        <v/>
      </c>
      <c r="AP476" s="21" t="str">
        <f t="shared" si="396"/>
        <v/>
      </c>
    </row>
    <row r="477" ht="16.5" customHeight="1">
      <c r="A477" s="32" t="s">
        <v>34</v>
      </c>
      <c r="B477" s="32" t="s">
        <v>52</v>
      </c>
      <c r="C477" s="32" t="s">
        <v>3704</v>
      </c>
      <c r="D477" s="32" t="s">
        <v>3705</v>
      </c>
      <c r="E477" s="32" t="s">
        <v>3706</v>
      </c>
      <c r="F477" s="4" t="s">
        <v>3707</v>
      </c>
      <c r="G477" s="4"/>
      <c r="H477" s="4" t="s">
        <v>3708</v>
      </c>
      <c r="K477" s="18"/>
      <c r="L477" s="33"/>
      <c r="M477" s="20"/>
      <c r="N477" s="20"/>
      <c r="O477" s="20"/>
      <c r="P477" s="20"/>
      <c r="Q477" s="20"/>
      <c r="R477" s="20"/>
      <c r="S477" s="20"/>
      <c r="T477" s="20"/>
      <c r="U477" s="34"/>
      <c r="AF477" s="11" t="str">
        <f t="shared" si="394"/>
        <v/>
      </c>
      <c r="AG477" s="11" t="str">
        <f t="shared" ref="AG477:AO477" si="443">if(not(isblank(M477)),", "&amp;M477,"")</f>
        <v/>
      </c>
      <c r="AH477" s="11" t="str">
        <f t="shared" si="443"/>
        <v/>
      </c>
      <c r="AI477" s="11" t="str">
        <f t="shared" si="443"/>
        <v/>
      </c>
      <c r="AJ477" s="11" t="str">
        <f t="shared" si="443"/>
        <v/>
      </c>
      <c r="AK477" s="11" t="str">
        <f t="shared" si="443"/>
        <v/>
      </c>
      <c r="AL477" s="11" t="str">
        <f t="shared" si="443"/>
        <v/>
      </c>
      <c r="AM477" s="11" t="str">
        <f t="shared" si="443"/>
        <v/>
      </c>
      <c r="AN477" s="11" t="str">
        <f t="shared" si="443"/>
        <v/>
      </c>
      <c r="AO477" s="11" t="str">
        <f t="shared" si="443"/>
        <v/>
      </c>
      <c r="AP477" s="21" t="str">
        <f t="shared" si="396"/>
        <v/>
      </c>
    </row>
    <row r="478" ht="16.5" customHeight="1">
      <c r="A478" s="32" t="s">
        <v>34</v>
      </c>
      <c r="B478" s="32" t="s">
        <v>39</v>
      </c>
      <c r="C478" s="32" t="s">
        <v>3709</v>
      </c>
      <c r="D478" s="32" t="s">
        <v>3710</v>
      </c>
      <c r="E478" s="32" t="s">
        <v>3655</v>
      </c>
      <c r="F478" s="4" t="s">
        <v>3711</v>
      </c>
      <c r="G478" s="4" t="s">
        <v>3712</v>
      </c>
      <c r="K478" s="18"/>
      <c r="L478" s="33"/>
      <c r="M478" s="20"/>
      <c r="N478" s="20"/>
      <c r="O478" s="20"/>
      <c r="P478" s="20"/>
      <c r="Q478" s="20"/>
      <c r="R478" s="20"/>
      <c r="S478" s="20"/>
      <c r="T478" s="20"/>
      <c r="U478" s="34"/>
      <c r="AF478" s="11" t="str">
        <f t="shared" si="394"/>
        <v/>
      </c>
      <c r="AG478" s="11" t="str">
        <f t="shared" ref="AG478:AO478" si="444">if(not(isblank(M478)),", "&amp;M478,"")</f>
        <v/>
      </c>
      <c r="AH478" s="11" t="str">
        <f t="shared" si="444"/>
        <v/>
      </c>
      <c r="AI478" s="11" t="str">
        <f t="shared" si="444"/>
        <v/>
      </c>
      <c r="AJ478" s="11" t="str">
        <f t="shared" si="444"/>
        <v/>
      </c>
      <c r="AK478" s="11" t="str">
        <f t="shared" si="444"/>
        <v/>
      </c>
      <c r="AL478" s="11" t="str">
        <f t="shared" si="444"/>
        <v/>
      </c>
      <c r="AM478" s="11" t="str">
        <f t="shared" si="444"/>
        <v/>
      </c>
      <c r="AN478" s="11" t="str">
        <f t="shared" si="444"/>
        <v/>
      </c>
      <c r="AO478" s="11" t="str">
        <f t="shared" si="444"/>
        <v/>
      </c>
      <c r="AP478" s="21" t="str">
        <f t="shared" si="396"/>
        <v>cassidy-white-oxford, cassidy-candy-stripe, cassidy-navy, cassidy-beige, cassidy-olive-oxford</v>
      </c>
    </row>
    <row r="479" ht="16.5" customHeight="1">
      <c r="A479" s="32" t="s">
        <v>34</v>
      </c>
      <c r="B479" s="32" t="s">
        <v>39</v>
      </c>
      <c r="C479" s="32" t="s">
        <v>3713</v>
      </c>
      <c r="D479" s="32" t="s">
        <v>3714</v>
      </c>
      <c r="E479" s="32" t="s">
        <v>3655</v>
      </c>
      <c r="F479" s="4" t="s">
        <v>3715</v>
      </c>
      <c r="G479" s="4" t="s">
        <v>3716</v>
      </c>
      <c r="K479" s="18"/>
      <c r="L479" s="33"/>
      <c r="M479" s="20"/>
      <c r="N479" s="20"/>
      <c r="O479" s="20"/>
      <c r="P479" s="20"/>
      <c r="Q479" s="20"/>
      <c r="R479" s="20"/>
      <c r="S479" s="20"/>
      <c r="T479" s="20"/>
      <c r="U479" s="34"/>
      <c r="AF479" s="11" t="str">
        <f t="shared" si="394"/>
        <v/>
      </c>
      <c r="AG479" s="11" t="str">
        <f t="shared" ref="AG479:AO479" si="445">if(not(isblank(M479)),", "&amp;M479,"")</f>
        <v/>
      </c>
      <c r="AH479" s="11" t="str">
        <f t="shared" si="445"/>
        <v/>
      </c>
      <c r="AI479" s="11" t="str">
        <f t="shared" si="445"/>
        <v/>
      </c>
      <c r="AJ479" s="11" t="str">
        <f t="shared" si="445"/>
        <v/>
      </c>
      <c r="AK479" s="11" t="str">
        <f t="shared" si="445"/>
        <v/>
      </c>
      <c r="AL479" s="11" t="str">
        <f t="shared" si="445"/>
        <v/>
      </c>
      <c r="AM479" s="11" t="str">
        <f t="shared" si="445"/>
        <v/>
      </c>
      <c r="AN479" s="11" t="str">
        <f t="shared" si="445"/>
        <v/>
      </c>
      <c r="AO479" s="11" t="str">
        <f t="shared" si="445"/>
        <v/>
      </c>
      <c r="AP479" s="21" t="str">
        <f t="shared" si="396"/>
        <v>cassidy-white-oxford, cassidy-navy, cassidy-beige, cassidy-olive-oxford, cassidy-black-1</v>
      </c>
    </row>
    <row r="480" ht="16.5" customHeight="1">
      <c r="A480" s="32" t="s">
        <v>34</v>
      </c>
      <c r="B480" s="32" t="s">
        <v>39</v>
      </c>
      <c r="C480" s="32" t="s">
        <v>3717</v>
      </c>
      <c r="D480" s="32" t="s">
        <v>3718</v>
      </c>
      <c r="E480" s="32" t="s">
        <v>3719</v>
      </c>
      <c r="F480" s="4" t="s">
        <v>3720</v>
      </c>
      <c r="G480" s="4" t="s">
        <v>3721</v>
      </c>
      <c r="H480" s="4" t="s">
        <v>1469</v>
      </c>
      <c r="K480" s="18"/>
      <c r="L480" s="33"/>
      <c r="M480" s="20"/>
      <c r="N480" s="20"/>
      <c r="O480" s="20"/>
      <c r="P480" s="20"/>
      <c r="Q480" s="20"/>
      <c r="R480" s="20"/>
      <c r="S480" s="20"/>
      <c r="T480" s="20"/>
      <c r="U480" s="34"/>
      <c r="AF480" s="11" t="str">
        <f t="shared" si="394"/>
        <v/>
      </c>
      <c r="AG480" s="11" t="str">
        <f t="shared" ref="AG480:AO480" si="446">if(not(isblank(M480)),", "&amp;M480,"")</f>
        <v/>
      </c>
      <c r="AH480" s="11" t="str">
        <f t="shared" si="446"/>
        <v/>
      </c>
      <c r="AI480" s="11" t="str">
        <f t="shared" si="446"/>
        <v/>
      </c>
      <c r="AJ480" s="11" t="str">
        <f t="shared" si="446"/>
        <v/>
      </c>
      <c r="AK480" s="11" t="str">
        <f t="shared" si="446"/>
        <v/>
      </c>
      <c r="AL480" s="11" t="str">
        <f t="shared" si="446"/>
        <v/>
      </c>
      <c r="AM480" s="11" t="str">
        <f t="shared" si="446"/>
        <v/>
      </c>
      <c r="AN480" s="11" t="str">
        <f t="shared" si="446"/>
        <v/>
      </c>
      <c r="AO480" s="11" t="str">
        <f t="shared" si="446"/>
        <v/>
      </c>
      <c r="AP480" s="21" t="str">
        <f t="shared" si="396"/>
        <v>connely-navy-moleskin-1, connely-black-check-loose, connely-brown-grunge-check</v>
      </c>
    </row>
    <row r="481" ht="16.5" customHeight="1">
      <c r="A481" s="32" t="s">
        <v>34</v>
      </c>
      <c r="B481" s="32" t="s">
        <v>307</v>
      </c>
      <c r="C481" s="32" t="s">
        <v>3722</v>
      </c>
      <c r="D481" s="32" t="s">
        <v>3723</v>
      </c>
      <c r="E481" s="32" t="s">
        <v>3724</v>
      </c>
      <c r="F481" s="4" t="s">
        <v>3725</v>
      </c>
      <c r="G481" s="4" t="s">
        <v>3726</v>
      </c>
      <c r="H481" s="4"/>
      <c r="K481" s="18"/>
      <c r="L481" s="33"/>
      <c r="M481" s="20"/>
      <c r="N481" s="20"/>
      <c r="O481" s="20"/>
      <c r="P481" s="20"/>
      <c r="Q481" s="20"/>
      <c r="R481" s="20"/>
      <c r="S481" s="20"/>
      <c r="T481" s="20"/>
      <c r="U481" s="34"/>
      <c r="AF481" s="11" t="str">
        <f t="shared" si="394"/>
        <v/>
      </c>
      <c r="AG481" s="11" t="str">
        <f t="shared" ref="AG481:AO481" si="447">if(not(isblank(M481)),", "&amp;M481,"")</f>
        <v/>
      </c>
      <c r="AH481" s="11" t="str">
        <f t="shared" si="447"/>
        <v/>
      </c>
      <c r="AI481" s="11" t="str">
        <f t="shared" si="447"/>
        <v/>
      </c>
      <c r="AJ481" s="11" t="str">
        <f t="shared" si="447"/>
        <v/>
      </c>
      <c r="AK481" s="11" t="str">
        <f t="shared" si="447"/>
        <v/>
      </c>
      <c r="AL481" s="11" t="str">
        <f t="shared" si="447"/>
        <v/>
      </c>
      <c r="AM481" s="11" t="str">
        <f t="shared" si="447"/>
        <v/>
      </c>
      <c r="AN481" s="11" t="str">
        <f t="shared" si="447"/>
        <v/>
      </c>
      <c r="AO481" s="11" t="str">
        <f t="shared" si="447"/>
        <v/>
      </c>
      <c r="AP481" s="21" t="str">
        <f t="shared" si="396"/>
        <v>hayes-black, hayes-charcoal</v>
      </c>
    </row>
    <row r="482" ht="16.5" customHeight="1">
      <c r="A482" s="32" t="s">
        <v>210</v>
      </c>
      <c r="B482" s="32" t="s">
        <v>52</v>
      </c>
      <c r="C482" s="32" t="s">
        <v>3727</v>
      </c>
      <c r="D482" s="32" t="s">
        <v>3728</v>
      </c>
      <c r="E482" s="32" t="s">
        <v>3729</v>
      </c>
      <c r="F482" s="4" t="s">
        <v>3730</v>
      </c>
      <c r="G482" s="4" t="s">
        <v>3731</v>
      </c>
      <c r="H482" s="4"/>
      <c r="K482" s="18"/>
      <c r="L482" s="33"/>
      <c r="M482" s="20"/>
      <c r="N482" s="20"/>
      <c r="O482" s="20"/>
      <c r="P482" s="20"/>
      <c r="Q482" s="20"/>
      <c r="R482" s="20"/>
      <c r="S482" s="20"/>
      <c r="T482" s="20"/>
      <c r="U482" s="34"/>
      <c r="AF482" s="11" t="str">
        <f t="shared" si="394"/>
        <v/>
      </c>
      <c r="AG482" s="11" t="str">
        <f t="shared" ref="AG482:AO482" si="448">if(not(isblank(M482)),", "&amp;M482,"")</f>
        <v/>
      </c>
      <c r="AH482" s="11" t="str">
        <f t="shared" si="448"/>
        <v/>
      </c>
      <c r="AI482" s="11" t="str">
        <f t="shared" si="448"/>
        <v/>
      </c>
      <c r="AJ482" s="11" t="str">
        <f t="shared" si="448"/>
        <v/>
      </c>
      <c r="AK482" s="11" t="str">
        <f t="shared" si="448"/>
        <v/>
      </c>
      <c r="AL482" s="11" t="str">
        <f t="shared" si="448"/>
        <v/>
      </c>
      <c r="AM482" s="11" t="str">
        <f t="shared" si="448"/>
        <v/>
      </c>
      <c r="AN482" s="11" t="str">
        <f t="shared" si="448"/>
        <v/>
      </c>
      <c r="AO482" s="11" t="str">
        <f t="shared" si="448"/>
        <v/>
      </c>
      <c r="AP482" s="21" t="str">
        <f t="shared" si="396"/>
        <v>hodge-check-wool</v>
      </c>
    </row>
    <row r="483" ht="16.5" customHeight="1">
      <c r="A483" s="32" t="s">
        <v>210</v>
      </c>
      <c r="B483" s="32" t="s">
        <v>52</v>
      </c>
      <c r="C483" s="32" t="s">
        <v>3731</v>
      </c>
      <c r="D483" s="32" t="s">
        <v>3732</v>
      </c>
      <c r="E483" s="32" t="s">
        <v>3733</v>
      </c>
      <c r="F483" s="4" t="s">
        <v>3734</v>
      </c>
      <c r="G483" s="4" t="s">
        <v>3727</v>
      </c>
      <c r="H483" s="4"/>
      <c r="K483" s="18"/>
      <c r="L483" s="33"/>
      <c r="M483" s="20"/>
      <c r="N483" s="20"/>
      <c r="O483" s="20"/>
      <c r="P483" s="20"/>
      <c r="Q483" s="20"/>
      <c r="R483" s="20"/>
      <c r="S483" s="20"/>
      <c r="T483" s="20"/>
      <c r="U483" s="34"/>
      <c r="AF483" s="11" t="str">
        <f t="shared" si="394"/>
        <v/>
      </c>
      <c r="AG483" s="11" t="str">
        <f t="shared" ref="AG483:AO483" si="449">if(not(isblank(M483)),", "&amp;M483,"")</f>
        <v/>
      </c>
      <c r="AH483" s="11" t="str">
        <f t="shared" si="449"/>
        <v/>
      </c>
      <c r="AI483" s="11" t="str">
        <f t="shared" si="449"/>
        <v/>
      </c>
      <c r="AJ483" s="11" t="str">
        <f t="shared" si="449"/>
        <v/>
      </c>
      <c r="AK483" s="11" t="str">
        <f t="shared" si="449"/>
        <v/>
      </c>
      <c r="AL483" s="11" t="str">
        <f t="shared" si="449"/>
        <v/>
      </c>
      <c r="AM483" s="11" t="str">
        <f t="shared" si="449"/>
        <v/>
      </c>
      <c r="AN483" s="11" t="str">
        <f t="shared" si="449"/>
        <v/>
      </c>
      <c r="AO483" s="11" t="str">
        <f t="shared" si="449"/>
        <v/>
      </c>
      <c r="AP483" s="21" t="str">
        <f t="shared" si="396"/>
        <v>hodge-black</v>
      </c>
    </row>
    <row r="484" ht="16.5" customHeight="1">
      <c r="A484" s="32" t="s">
        <v>34</v>
      </c>
      <c r="B484" s="32" t="s">
        <v>39</v>
      </c>
      <c r="C484" s="32" t="s">
        <v>3735</v>
      </c>
      <c r="D484" s="32" t="s">
        <v>3736</v>
      </c>
      <c r="E484" s="32" t="s">
        <v>3737</v>
      </c>
      <c r="F484" s="4" t="s">
        <v>3738</v>
      </c>
      <c r="G484" s="4" t="s">
        <v>3739</v>
      </c>
      <c r="K484" s="18"/>
      <c r="L484" s="33"/>
      <c r="M484" s="20"/>
      <c r="N484" s="20"/>
      <c r="O484" s="20"/>
      <c r="P484" s="20"/>
      <c r="Q484" s="20"/>
      <c r="R484" s="20"/>
      <c r="S484" s="20"/>
      <c r="T484" s="20"/>
      <c r="U484" s="34"/>
      <c r="AF484" s="11" t="str">
        <f t="shared" si="394"/>
        <v/>
      </c>
      <c r="AG484" s="11" t="str">
        <f t="shared" ref="AG484:AO484" si="450">if(not(isblank(M484)),", "&amp;M484,"")</f>
        <v/>
      </c>
      <c r="AH484" s="11" t="str">
        <f t="shared" si="450"/>
        <v/>
      </c>
      <c r="AI484" s="11" t="str">
        <f t="shared" si="450"/>
        <v/>
      </c>
      <c r="AJ484" s="11" t="str">
        <f t="shared" si="450"/>
        <v/>
      </c>
      <c r="AK484" s="11" t="str">
        <f t="shared" si="450"/>
        <v/>
      </c>
      <c r="AL484" s="11" t="str">
        <f t="shared" si="450"/>
        <v/>
      </c>
      <c r="AM484" s="11" t="str">
        <f t="shared" si="450"/>
        <v/>
      </c>
      <c r="AN484" s="11" t="str">
        <f t="shared" si="450"/>
        <v/>
      </c>
      <c r="AO484" s="11" t="str">
        <f t="shared" si="450"/>
        <v/>
      </c>
      <c r="AP484" s="21" t="str">
        <f t="shared" si="396"/>
        <v>philly-dusty-gunmetal-corduroy, philly-dusty-off-white-corduroy</v>
      </c>
    </row>
    <row r="485" ht="16.5" customHeight="1">
      <c r="A485" s="32" t="s">
        <v>34</v>
      </c>
      <c r="B485" s="32" t="s">
        <v>39</v>
      </c>
      <c r="C485" s="32" t="s">
        <v>3740</v>
      </c>
      <c r="D485" s="32" t="s">
        <v>3741</v>
      </c>
      <c r="E485" s="32" t="s">
        <v>3742</v>
      </c>
      <c r="F485" s="4" t="s">
        <v>3738</v>
      </c>
      <c r="G485" s="4" t="s">
        <v>3743</v>
      </c>
      <c r="K485" s="18"/>
      <c r="L485" s="33"/>
      <c r="M485" s="20"/>
      <c r="N485" s="20"/>
      <c r="O485" s="20"/>
      <c r="P485" s="20"/>
      <c r="Q485" s="20"/>
      <c r="R485" s="20"/>
      <c r="S485" s="20"/>
      <c r="T485" s="20"/>
      <c r="U485" s="34"/>
      <c r="AF485" s="11" t="str">
        <f t="shared" si="394"/>
        <v/>
      </c>
      <c r="AG485" s="11" t="str">
        <f t="shared" ref="AG485:AO485" si="451">if(not(isblank(M485)),", "&amp;M485,"")</f>
        <v/>
      </c>
      <c r="AH485" s="11" t="str">
        <f t="shared" si="451"/>
        <v/>
      </c>
      <c r="AI485" s="11" t="str">
        <f t="shared" si="451"/>
        <v/>
      </c>
      <c r="AJ485" s="11" t="str">
        <f t="shared" si="451"/>
        <v/>
      </c>
      <c r="AK485" s="11" t="str">
        <f t="shared" si="451"/>
        <v/>
      </c>
      <c r="AL485" s="11" t="str">
        <f t="shared" si="451"/>
        <v/>
      </c>
      <c r="AM485" s="11" t="str">
        <f t="shared" si="451"/>
        <v/>
      </c>
      <c r="AN485" s="11" t="str">
        <f t="shared" si="451"/>
        <v/>
      </c>
      <c r="AO485" s="11" t="str">
        <f t="shared" si="451"/>
        <v/>
      </c>
      <c r="AP485" s="21" t="str">
        <f t="shared" si="396"/>
        <v>philly-dusty-off-white-corduroy, philly-dusty-air-corduroy</v>
      </c>
    </row>
    <row r="486" ht="16.5" customHeight="1">
      <c r="A486" s="32" t="s">
        <v>34</v>
      </c>
      <c r="B486" s="32" t="s">
        <v>39</v>
      </c>
      <c r="C486" s="32" t="s">
        <v>3744</v>
      </c>
      <c r="D486" s="32" t="s">
        <v>3745</v>
      </c>
      <c r="E486" s="32" t="s">
        <v>3746</v>
      </c>
      <c r="F486" s="4" t="s">
        <v>3738</v>
      </c>
      <c r="G486" s="4" t="s">
        <v>3747</v>
      </c>
      <c r="K486" s="18"/>
      <c r="L486" s="33"/>
      <c r="M486" s="20"/>
      <c r="N486" s="20"/>
      <c r="O486" s="20"/>
      <c r="P486" s="20"/>
      <c r="Q486" s="20"/>
      <c r="R486" s="20"/>
      <c r="S486" s="20"/>
      <c r="T486" s="20"/>
      <c r="U486" s="34"/>
      <c r="AF486" s="11" t="str">
        <f t="shared" si="394"/>
        <v/>
      </c>
      <c r="AG486" s="11" t="str">
        <f t="shared" ref="AG486:AO486" si="452">if(not(isblank(M486)),", "&amp;M486,"")</f>
        <v/>
      </c>
      <c r="AH486" s="11" t="str">
        <f t="shared" si="452"/>
        <v/>
      </c>
      <c r="AI486" s="11" t="str">
        <f t="shared" si="452"/>
        <v/>
      </c>
      <c r="AJ486" s="11" t="str">
        <f t="shared" si="452"/>
        <v/>
      </c>
      <c r="AK486" s="11" t="str">
        <f t="shared" si="452"/>
        <v/>
      </c>
      <c r="AL486" s="11" t="str">
        <f t="shared" si="452"/>
        <v/>
      </c>
      <c r="AM486" s="11" t="str">
        <f t="shared" si="452"/>
        <v/>
      </c>
      <c r="AN486" s="11" t="str">
        <f t="shared" si="452"/>
        <v/>
      </c>
      <c r="AO486" s="11" t="str">
        <f t="shared" si="452"/>
        <v/>
      </c>
      <c r="AP486" s="21" t="str">
        <f t="shared" si="396"/>
        <v>philly-dusty-gunmetal-corduroy, philly-dusty-air-corduroy</v>
      </c>
    </row>
    <row r="487" ht="16.5" customHeight="1">
      <c r="A487" s="32" t="s">
        <v>34</v>
      </c>
      <c r="B487" s="32" t="s">
        <v>35</v>
      </c>
      <c r="C487" s="32" t="s">
        <v>1584</v>
      </c>
      <c r="D487" s="32" t="s">
        <v>1585</v>
      </c>
      <c r="E487" s="32" t="s">
        <v>3607</v>
      </c>
      <c r="F487" s="4" t="s">
        <v>1382</v>
      </c>
      <c r="G487" s="4" t="s">
        <v>3748</v>
      </c>
      <c r="K487" s="18"/>
      <c r="L487" s="33"/>
      <c r="M487" s="20"/>
      <c r="N487" s="20"/>
      <c r="O487" s="20"/>
      <c r="P487" s="20"/>
      <c r="Q487" s="20"/>
      <c r="R487" s="20"/>
      <c r="S487" s="20"/>
      <c r="T487" s="20"/>
      <c r="U487" s="34"/>
      <c r="AF487" s="11" t="str">
        <f t="shared" si="394"/>
        <v/>
      </c>
      <c r="AG487" s="11" t="str">
        <f t="shared" ref="AG487:AO487" si="453">if(not(isblank(M487)),", "&amp;M487,"")</f>
        <v/>
      </c>
      <c r="AH487" s="11" t="str">
        <f t="shared" si="453"/>
        <v/>
      </c>
      <c r="AI487" s="11" t="str">
        <f t="shared" si="453"/>
        <v/>
      </c>
      <c r="AJ487" s="11" t="str">
        <f t="shared" si="453"/>
        <v/>
      </c>
      <c r="AK487" s="11" t="str">
        <f t="shared" si="453"/>
        <v/>
      </c>
      <c r="AL487" s="11" t="str">
        <f t="shared" si="453"/>
        <v/>
      </c>
      <c r="AM487" s="11" t="str">
        <f t="shared" si="453"/>
        <v/>
      </c>
      <c r="AN487" s="11" t="str">
        <f t="shared" si="453"/>
        <v/>
      </c>
      <c r="AO487" s="11" t="str">
        <f t="shared" si="453"/>
        <v/>
      </c>
      <c r="AP487" s="21" t="str">
        <f t="shared" si="396"/>
        <v>richmond-2-pack-white, richmond-2-pack-black, richmond-2-pack-light-grey</v>
      </c>
    </row>
    <row r="488" ht="16.5" customHeight="1">
      <c r="A488" s="32" t="s">
        <v>34</v>
      </c>
      <c r="B488" s="32" t="s">
        <v>39</v>
      </c>
      <c r="C488" s="32" t="s">
        <v>3749</v>
      </c>
      <c r="D488" s="32" t="s">
        <v>3750</v>
      </c>
      <c r="E488" s="32" t="s">
        <v>3751</v>
      </c>
      <c r="F488" s="4" t="s">
        <v>3630</v>
      </c>
      <c r="G488" s="4" t="s">
        <v>3752</v>
      </c>
      <c r="H488" s="4" t="s">
        <v>1469</v>
      </c>
      <c r="K488" s="18"/>
      <c r="L488" s="33"/>
      <c r="M488" s="20"/>
      <c r="N488" s="20"/>
      <c r="O488" s="20"/>
      <c r="P488" s="20"/>
      <c r="Q488" s="20"/>
      <c r="R488" s="20"/>
      <c r="S488" s="20"/>
      <c r="T488" s="20"/>
      <c r="U488" s="34"/>
      <c r="AF488" s="11" t="str">
        <f t="shared" si="394"/>
        <v/>
      </c>
      <c r="AG488" s="11" t="str">
        <f t="shared" ref="AG488:AO488" si="454">if(not(isblank(M488)),", "&amp;M488,"")</f>
        <v/>
      </c>
      <c r="AH488" s="11" t="str">
        <f t="shared" si="454"/>
        <v/>
      </c>
      <c r="AI488" s="11" t="str">
        <f t="shared" si="454"/>
        <v/>
      </c>
      <c r="AJ488" s="11" t="str">
        <f t="shared" si="454"/>
        <v/>
      </c>
      <c r="AK488" s="11" t="str">
        <f t="shared" si="454"/>
        <v/>
      </c>
      <c r="AL488" s="11" t="str">
        <f t="shared" si="454"/>
        <v/>
      </c>
      <c r="AM488" s="11" t="str">
        <f t="shared" si="454"/>
        <v/>
      </c>
      <c r="AN488" s="11" t="str">
        <f t="shared" si="454"/>
        <v/>
      </c>
      <c r="AO488" s="11" t="str">
        <f t="shared" si="454"/>
        <v/>
      </c>
      <c r="AP488" s="21" t="str">
        <f t="shared" si="396"/>
        <v>west-pond, west-taupe, west-stone-oxford, west-deep-teal</v>
      </c>
    </row>
    <row r="489" ht="16.5" customHeight="1">
      <c r="A489" s="32" t="s">
        <v>34</v>
      </c>
      <c r="B489" s="32" t="s">
        <v>39</v>
      </c>
      <c r="C489" s="32" t="s">
        <v>3753</v>
      </c>
      <c r="D489" s="32" t="s">
        <v>3754</v>
      </c>
      <c r="E489" s="32" t="s">
        <v>3751</v>
      </c>
      <c r="F489" s="4" t="s">
        <v>3630</v>
      </c>
      <c r="G489" s="4" t="s">
        <v>3755</v>
      </c>
      <c r="K489" s="18"/>
      <c r="L489" s="33"/>
      <c r="M489" s="20"/>
      <c r="N489" s="20"/>
      <c r="O489" s="20"/>
      <c r="P489" s="20"/>
      <c r="Q489" s="20"/>
      <c r="R489" s="20"/>
      <c r="S489" s="20"/>
      <c r="T489" s="20"/>
      <c r="U489" s="34"/>
      <c r="AF489" s="11" t="str">
        <f t="shared" si="394"/>
        <v/>
      </c>
      <c r="AG489" s="11" t="str">
        <f t="shared" ref="AG489:AO489" si="455">if(not(isblank(M489)),", "&amp;M489,"")</f>
        <v/>
      </c>
      <c r="AH489" s="11" t="str">
        <f t="shared" si="455"/>
        <v/>
      </c>
      <c r="AI489" s="11" t="str">
        <f t="shared" si="455"/>
        <v/>
      </c>
      <c r="AJ489" s="11" t="str">
        <f t="shared" si="455"/>
        <v/>
      </c>
      <c r="AK489" s="11" t="str">
        <f t="shared" si="455"/>
        <v/>
      </c>
      <c r="AL489" s="11" t="str">
        <f t="shared" si="455"/>
        <v/>
      </c>
      <c r="AM489" s="11" t="str">
        <f t="shared" si="455"/>
        <v/>
      </c>
      <c r="AN489" s="11" t="str">
        <f t="shared" si="455"/>
        <v/>
      </c>
      <c r="AO489" s="11" t="str">
        <f t="shared" si="455"/>
        <v/>
      </c>
      <c r="AP489" s="21" t="str">
        <f t="shared" si="396"/>
        <v>west-black, west-pond, west-taupe, west-stone-oxford</v>
      </c>
    </row>
    <row r="490" ht="16.5" customHeight="1">
      <c r="A490" s="32" t="s">
        <v>34</v>
      </c>
      <c r="B490" s="32" t="s">
        <v>39</v>
      </c>
      <c r="C490" s="32" t="s">
        <v>3756</v>
      </c>
      <c r="D490" s="32" t="s">
        <v>3757</v>
      </c>
      <c r="E490" s="32" t="s">
        <v>3751</v>
      </c>
      <c r="F490" s="4" t="s">
        <v>3630</v>
      </c>
      <c r="G490" s="4" t="s">
        <v>3758</v>
      </c>
      <c r="K490" s="18"/>
      <c r="L490" s="33"/>
      <c r="M490" s="20"/>
      <c r="N490" s="20"/>
      <c r="O490" s="20"/>
      <c r="P490" s="20"/>
      <c r="Q490" s="20"/>
      <c r="R490" s="20"/>
      <c r="S490" s="20"/>
      <c r="T490" s="20"/>
      <c r="U490" s="34"/>
      <c r="AF490" s="11" t="str">
        <f t="shared" si="394"/>
        <v/>
      </c>
      <c r="AG490" s="11" t="str">
        <f t="shared" ref="AG490:AO490" si="456">if(not(isblank(M490)),", "&amp;M490,"")</f>
        <v/>
      </c>
      <c r="AH490" s="11" t="str">
        <f t="shared" si="456"/>
        <v/>
      </c>
      <c r="AI490" s="11" t="str">
        <f t="shared" si="456"/>
        <v/>
      </c>
      <c r="AJ490" s="11" t="str">
        <f t="shared" si="456"/>
        <v/>
      </c>
      <c r="AK490" s="11" t="str">
        <f t="shared" si="456"/>
        <v/>
      </c>
      <c r="AL490" s="11" t="str">
        <f t="shared" si="456"/>
        <v/>
      </c>
      <c r="AM490" s="11" t="str">
        <f t="shared" si="456"/>
        <v/>
      </c>
      <c r="AN490" s="11" t="str">
        <f t="shared" si="456"/>
        <v/>
      </c>
      <c r="AO490" s="11" t="str">
        <f t="shared" si="456"/>
        <v/>
      </c>
      <c r="AP490" s="21" t="str">
        <f t="shared" si="396"/>
        <v>west-black, west-taupe, west-stone-oxford, west-deep-teal</v>
      </c>
    </row>
    <row r="491" ht="16.5" customHeight="1">
      <c r="A491" s="32" t="s">
        <v>34</v>
      </c>
      <c r="B491" s="32" t="s">
        <v>39</v>
      </c>
      <c r="C491" s="32" t="s">
        <v>3759</v>
      </c>
      <c r="D491" s="32" t="s">
        <v>3760</v>
      </c>
      <c r="E491" s="32" t="s">
        <v>3751</v>
      </c>
      <c r="F491" s="4" t="s">
        <v>3630</v>
      </c>
      <c r="G491" s="4" t="s">
        <v>3761</v>
      </c>
      <c r="H491" s="4" t="s">
        <v>1463</v>
      </c>
      <c r="K491" s="18"/>
      <c r="L491" s="33"/>
      <c r="M491" s="20"/>
      <c r="N491" s="20"/>
      <c r="O491" s="20"/>
      <c r="P491" s="20"/>
      <c r="Q491" s="20"/>
      <c r="R491" s="20"/>
      <c r="S491" s="20"/>
      <c r="T491" s="20"/>
      <c r="U491" s="34"/>
      <c r="AF491" s="11" t="str">
        <f t="shared" si="394"/>
        <v/>
      </c>
      <c r="AG491" s="11" t="str">
        <f t="shared" ref="AG491:AO491" si="457">if(not(isblank(M491)),", "&amp;M491,"")</f>
        <v/>
      </c>
      <c r="AH491" s="11" t="str">
        <f t="shared" si="457"/>
        <v/>
      </c>
      <c r="AI491" s="11" t="str">
        <f t="shared" si="457"/>
        <v/>
      </c>
      <c r="AJ491" s="11" t="str">
        <f t="shared" si="457"/>
        <v/>
      </c>
      <c r="AK491" s="11" t="str">
        <f t="shared" si="457"/>
        <v/>
      </c>
      <c r="AL491" s="11" t="str">
        <f t="shared" si="457"/>
        <v/>
      </c>
      <c r="AM491" s="11" t="str">
        <f t="shared" si="457"/>
        <v/>
      </c>
      <c r="AN491" s="11" t="str">
        <f t="shared" si="457"/>
        <v/>
      </c>
      <c r="AO491" s="11" t="str">
        <f t="shared" si="457"/>
        <v/>
      </c>
      <c r="AP491" s="21" t="str">
        <f t="shared" si="396"/>
        <v>west-black, west-pond, west-stone-oxford, west-deep-teal</v>
      </c>
    </row>
    <row r="492" ht="16.5" customHeight="1">
      <c r="A492" s="32" t="s">
        <v>34</v>
      </c>
      <c r="B492" s="32" t="s">
        <v>39</v>
      </c>
      <c r="C492" s="32" t="s">
        <v>3762</v>
      </c>
      <c r="D492" s="32" t="s">
        <v>3763</v>
      </c>
      <c r="E492" s="32" t="s">
        <v>3764</v>
      </c>
      <c r="F492" s="4" t="s">
        <v>3765</v>
      </c>
      <c r="G492" s="4" t="s">
        <v>3766</v>
      </c>
      <c r="J492" s="11" t="s">
        <v>3339</v>
      </c>
      <c r="K492" s="18"/>
      <c r="L492" s="33"/>
      <c r="M492" s="20"/>
      <c r="N492" s="20"/>
      <c r="O492" s="20"/>
      <c r="P492" s="20"/>
      <c r="Q492" s="20"/>
      <c r="R492" s="20"/>
      <c r="S492" s="20"/>
      <c r="T492" s="20"/>
      <c r="U492" s="34"/>
      <c r="AF492" s="11" t="str">
        <f t="shared" si="394"/>
        <v/>
      </c>
      <c r="AG492" s="11" t="str">
        <f t="shared" ref="AG492:AO492" si="458">if(not(isblank(M492)),", "&amp;M492,"")</f>
        <v/>
      </c>
      <c r="AH492" s="11" t="str">
        <f t="shared" si="458"/>
        <v/>
      </c>
      <c r="AI492" s="11" t="str">
        <f t="shared" si="458"/>
        <v/>
      </c>
      <c r="AJ492" s="11" t="str">
        <f t="shared" si="458"/>
        <v/>
      </c>
      <c r="AK492" s="11" t="str">
        <f t="shared" si="458"/>
        <v/>
      </c>
      <c r="AL492" s="11" t="str">
        <f t="shared" si="458"/>
        <v/>
      </c>
      <c r="AM492" s="11" t="str">
        <f t="shared" si="458"/>
        <v/>
      </c>
      <c r="AN492" s="11" t="str">
        <f t="shared" si="458"/>
        <v/>
      </c>
      <c r="AO492" s="11" t="str">
        <f t="shared" si="458"/>
        <v/>
      </c>
      <c r="AP492" s="21" t="str">
        <f t="shared" si="396"/>
        <v>huff-taupe-fluid-merino, huff-black-voile, huff-weather-voile, huff-dove-voile, huff-charcoal-tech, huff-grey-tech, huff-milk-tech</v>
      </c>
    </row>
    <row r="493" ht="16.5" customHeight="1">
      <c r="A493" s="32" t="s">
        <v>34</v>
      </c>
      <c r="B493" s="32" t="s">
        <v>39</v>
      </c>
      <c r="C493" s="32" t="s">
        <v>3767</v>
      </c>
      <c r="D493" s="32" t="s">
        <v>3768</v>
      </c>
      <c r="E493" s="32" t="s">
        <v>3764</v>
      </c>
      <c r="F493" s="4" t="s">
        <v>3769</v>
      </c>
      <c r="G493" s="4" t="s">
        <v>3770</v>
      </c>
      <c r="I493" s="11" t="s">
        <v>3771</v>
      </c>
      <c r="J493" s="11" t="s">
        <v>3358</v>
      </c>
      <c r="K493" s="18"/>
      <c r="L493" s="33"/>
      <c r="M493" s="20"/>
      <c r="N493" s="20"/>
      <c r="O493" s="20"/>
      <c r="P493" s="20"/>
      <c r="Q493" s="20"/>
      <c r="R493" s="20"/>
      <c r="S493" s="20"/>
      <c r="T493" s="20"/>
      <c r="U493" s="34"/>
      <c r="AF493" s="11" t="str">
        <f t="shared" si="394"/>
        <v/>
      </c>
      <c r="AG493" s="11" t="str">
        <f t="shared" ref="AG493:AO493" si="459">if(not(isblank(M493)),", "&amp;M493,"")</f>
        <v/>
      </c>
      <c r="AH493" s="11" t="str">
        <f t="shared" si="459"/>
        <v/>
      </c>
      <c r="AI493" s="11" t="str">
        <f t="shared" si="459"/>
        <v/>
      </c>
      <c r="AJ493" s="11" t="str">
        <f t="shared" si="459"/>
        <v/>
      </c>
      <c r="AK493" s="11" t="str">
        <f t="shared" si="459"/>
        <v/>
      </c>
      <c r="AL493" s="11" t="str">
        <f t="shared" si="459"/>
        <v/>
      </c>
      <c r="AM493" s="11" t="str">
        <f t="shared" si="459"/>
        <v/>
      </c>
      <c r="AN493" s="11" t="str">
        <f t="shared" si="459"/>
        <v/>
      </c>
      <c r="AO493" s="11" t="str">
        <f t="shared" si="459"/>
        <v/>
      </c>
      <c r="AP493" s="21" t="str">
        <f t="shared" si="396"/>
        <v>huff-charcoal-fluid-merino, huff-black-voile, huff-weather-voile, huff-dove-voile, huff-charcoal-tech, huff-grey-tech, huff-milk-tech</v>
      </c>
    </row>
    <row r="494" ht="16.5" customHeight="1">
      <c r="A494" s="32" t="s">
        <v>34</v>
      </c>
      <c r="B494" s="32" t="s">
        <v>39</v>
      </c>
      <c r="C494" s="32" t="s">
        <v>3772</v>
      </c>
      <c r="D494" s="32" t="s">
        <v>3773</v>
      </c>
      <c r="E494" s="32" t="s">
        <v>3774</v>
      </c>
      <c r="F494" s="4" t="s">
        <v>3775</v>
      </c>
      <c r="G494" s="4" t="s">
        <v>3776</v>
      </c>
      <c r="H494" s="4"/>
      <c r="K494" s="18"/>
      <c r="L494" s="33"/>
      <c r="M494" s="20"/>
      <c r="N494" s="20"/>
      <c r="O494" s="20"/>
      <c r="P494" s="20"/>
      <c r="Q494" s="20"/>
      <c r="R494" s="20"/>
      <c r="S494" s="20"/>
      <c r="T494" s="20"/>
      <c r="U494" s="34"/>
      <c r="AF494" s="11" t="str">
        <f t="shared" si="394"/>
        <v/>
      </c>
      <c r="AG494" s="11" t="str">
        <f t="shared" ref="AG494:AO494" si="460">if(not(isblank(M494)),", "&amp;M494,"")</f>
        <v/>
      </c>
      <c r="AH494" s="11" t="str">
        <f t="shared" si="460"/>
        <v/>
      </c>
      <c r="AI494" s="11" t="str">
        <f t="shared" si="460"/>
        <v/>
      </c>
      <c r="AJ494" s="11" t="str">
        <f t="shared" si="460"/>
        <v/>
      </c>
      <c r="AK494" s="11" t="str">
        <f t="shared" si="460"/>
        <v/>
      </c>
      <c r="AL494" s="11" t="str">
        <f t="shared" si="460"/>
        <v/>
      </c>
      <c r="AM494" s="11" t="str">
        <f t="shared" si="460"/>
        <v/>
      </c>
      <c r="AN494" s="11" t="str">
        <f t="shared" si="460"/>
        <v/>
      </c>
      <c r="AO494" s="11" t="str">
        <f t="shared" si="460"/>
        <v/>
      </c>
      <c r="AP494" s="21" t="str">
        <f t="shared" si="396"/>
        <v>buck-shadow-check</v>
      </c>
    </row>
    <row r="495" ht="16.5" customHeight="1">
      <c r="A495" s="32" t="s">
        <v>34</v>
      </c>
      <c r="B495" s="32" t="s">
        <v>39</v>
      </c>
      <c r="C495" s="32" t="s">
        <v>3777</v>
      </c>
      <c r="D495" s="32" t="s">
        <v>3778</v>
      </c>
      <c r="E495" s="36"/>
      <c r="F495" s="4"/>
      <c r="G495" s="4"/>
      <c r="H495" s="4"/>
      <c r="K495" s="18"/>
      <c r="L495" s="33"/>
      <c r="M495" s="20"/>
      <c r="N495" s="20"/>
      <c r="O495" s="20"/>
      <c r="P495" s="20"/>
      <c r="Q495" s="20"/>
      <c r="R495" s="20"/>
      <c r="S495" s="20"/>
      <c r="T495" s="20"/>
      <c r="U495" s="34"/>
      <c r="AF495" s="11" t="str">
        <f t="shared" si="394"/>
        <v/>
      </c>
      <c r="AG495" s="11" t="str">
        <f t="shared" ref="AG495:AO495" si="461">if(not(isblank(M495)),", "&amp;M495,"")</f>
        <v/>
      </c>
      <c r="AH495" s="11" t="str">
        <f t="shared" si="461"/>
        <v/>
      </c>
      <c r="AI495" s="11" t="str">
        <f t="shared" si="461"/>
        <v/>
      </c>
      <c r="AJ495" s="11" t="str">
        <f t="shared" si="461"/>
        <v/>
      </c>
      <c r="AK495" s="11" t="str">
        <f t="shared" si="461"/>
        <v/>
      </c>
      <c r="AL495" s="11" t="str">
        <f t="shared" si="461"/>
        <v/>
      </c>
      <c r="AM495" s="11" t="str">
        <f t="shared" si="461"/>
        <v/>
      </c>
      <c r="AN495" s="11" t="str">
        <f t="shared" si="461"/>
        <v/>
      </c>
      <c r="AO495" s="11" t="str">
        <f t="shared" si="461"/>
        <v/>
      </c>
      <c r="AP495" s="21" t="str">
        <f t="shared" si="396"/>
        <v/>
      </c>
    </row>
    <row r="496" ht="16.5" customHeight="1">
      <c r="A496" s="32" t="s">
        <v>34</v>
      </c>
      <c r="B496" s="32" t="s">
        <v>35</v>
      </c>
      <c r="C496" s="32" t="s">
        <v>3779</v>
      </c>
      <c r="D496" s="32" t="s">
        <v>3331</v>
      </c>
      <c r="E496" s="36"/>
      <c r="F496" s="4"/>
      <c r="G496" s="4" t="s">
        <v>3780</v>
      </c>
      <c r="K496" s="18"/>
      <c r="L496" s="33"/>
      <c r="M496" s="20"/>
      <c r="N496" s="20"/>
      <c r="O496" s="20"/>
      <c r="P496" s="20"/>
      <c r="Q496" s="20"/>
      <c r="R496" s="20"/>
      <c r="S496" s="20"/>
      <c r="T496" s="20"/>
      <c r="U496" s="34"/>
      <c r="AF496" s="11" t="str">
        <f t="shared" si="394"/>
        <v/>
      </c>
      <c r="AG496" s="11" t="str">
        <f t="shared" ref="AG496:AO496" si="462">if(not(isblank(M496)),", "&amp;M496,"")</f>
        <v/>
      </c>
      <c r="AH496" s="11" t="str">
        <f t="shared" si="462"/>
        <v/>
      </c>
      <c r="AI496" s="11" t="str">
        <f t="shared" si="462"/>
        <v/>
      </c>
      <c r="AJ496" s="11" t="str">
        <f t="shared" si="462"/>
        <v/>
      </c>
      <c r="AK496" s="11" t="str">
        <f t="shared" si="462"/>
        <v/>
      </c>
      <c r="AL496" s="11" t="str">
        <f t="shared" si="462"/>
        <v/>
      </c>
      <c r="AM496" s="11" t="str">
        <f t="shared" si="462"/>
        <v/>
      </c>
      <c r="AN496" s="11" t="str">
        <f t="shared" si="462"/>
        <v/>
      </c>
      <c r="AO496" s="11" t="str">
        <f t="shared" si="462"/>
        <v/>
      </c>
      <c r="AP496" s="21" t="str">
        <f t="shared" si="396"/>
        <v>needle-tee-charcoal, needle-tee-grey, needle-tee-white</v>
      </c>
    </row>
    <row r="497" ht="16.5" customHeight="1">
      <c r="A497" s="32" t="s">
        <v>34</v>
      </c>
      <c r="B497" s="32" t="s">
        <v>330</v>
      </c>
      <c r="C497" s="32" t="s">
        <v>3781</v>
      </c>
      <c r="D497" s="32" t="s">
        <v>3514</v>
      </c>
      <c r="E497" s="32" t="s">
        <v>3515</v>
      </c>
      <c r="F497" s="4" t="s">
        <v>3516</v>
      </c>
      <c r="G497" s="4" t="s">
        <v>3517</v>
      </c>
      <c r="K497" s="18"/>
      <c r="L497" s="33"/>
      <c r="M497" s="20"/>
      <c r="N497" s="20"/>
      <c r="O497" s="20"/>
      <c r="P497" s="20"/>
      <c r="Q497" s="20"/>
      <c r="R497" s="20"/>
      <c r="S497" s="20"/>
      <c r="T497" s="20"/>
      <c r="U497" s="34"/>
      <c r="AF497" s="11" t="str">
        <f t="shared" si="394"/>
        <v/>
      </c>
      <c r="AG497" s="11" t="str">
        <f t="shared" ref="AG497:AO497" si="463">if(not(isblank(M497)),", "&amp;M497,"")</f>
        <v/>
      </c>
      <c r="AH497" s="11" t="str">
        <f t="shared" si="463"/>
        <v/>
      </c>
      <c r="AI497" s="11" t="str">
        <f t="shared" si="463"/>
        <v/>
      </c>
      <c r="AJ497" s="11" t="str">
        <f t="shared" si="463"/>
        <v/>
      </c>
      <c r="AK497" s="11" t="str">
        <f t="shared" si="463"/>
        <v/>
      </c>
      <c r="AL497" s="11" t="str">
        <f t="shared" si="463"/>
        <v/>
      </c>
      <c r="AM497" s="11" t="str">
        <f t="shared" si="463"/>
        <v/>
      </c>
      <c r="AN497" s="11" t="str">
        <f t="shared" si="463"/>
        <v/>
      </c>
      <c r="AO497" s="11" t="str">
        <f t="shared" si="463"/>
        <v/>
      </c>
      <c r="AP497" s="21" t="str">
        <f t="shared" si="396"/>
        <v>roth-white, roth-purple-overdye, roth-moonlight-overdye</v>
      </c>
    </row>
    <row r="498" ht="16.5" customHeight="1">
      <c r="A498" s="32" t="s">
        <v>34</v>
      </c>
      <c r="B498" s="32" t="s">
        <v>52</v>
      </c>
      <c r="C498" s="32" t="s">
        <v>1733</v>
      </c>
      <c r="D498" s="32" t="s">
        <v>3782</v>
      </c>
      <c r="E498" s="32" t="s">
        <v>3783</v>
      </c>
      <c r="F498" s="4" t="s">
        <v>3784</v>
      </c>
      <c r="G498" s="4" t="s">
        <v>1730</v>
      </c>
      <c r="H498" s="4" t="s">
        <v>3785</v>
      </c>
      <c r="K498" s="18"/>
      <c r="L498" s="33"/>
      <c r="M498" s="20"/>
      <c r="N498" s="20"/>
      <c r="O498" s="20"/>
      <c r="P498" s="20"/>
      <c r="Q498" s="20"/>
      <c r="R498" s="20"/>
      <c r="S498" s="20"/>
      <c r="T498" s="20"/>
      <c r="U498" s="34"/>
      <c r="AF498" s="11" t="str">
        <f t="shared" si="394"/>
        <v/>
      </c>
      <c r="AG498" s="11" t="str">
        <f t="shared" ref="AG498:AO498" si="464">if(not(isblank(M498)),", "&amp;M498,"")</f>
        <v/>
      </c>
      <c r="AH498" s="11" t="str">
        <f t="shared" si="464"/>
        <v/>
      </c>
      <c r="AI498" s="11" t="str">
        <f t="shared" si="464"/>
        <v/>
      </c>
      <c r="AJ498" s="11" t="str">
        <f t="shared" si="464"/>
        <v/>
      </c>
      <c r="AK498" s="11" t="str">
        <f t="shared" si="464"/>
        <v/>
      </c>
      <c r="AL498" s="11" t="str">
        <f t="shared" si="464"/>
        <v/>
      </c>
      <c r="AM498" s="11" t="str">
        <f t="shared" si="464"/>
        <v/>
      </c>
      <c r="AN498" s="11" t="str">
        <f t="shared" si="464"/>
        <v/>
      </c>
      <c r="AO498" s="11" t="str">
        <f t="shared" si="464"/>
        <v/>
      </c>
      <c r="AP498" s="21" t="str">
        <f t="shared" si="396"/>
        <v>les-dawn</v>
      </c>
    </row>
    <row r="499" ht="16.5" customHeight="1">
      <c r="A499" s="32" t="s">
        <v>34</v>
      </c>
      <c r="B499" s="32" t="s">
        <v>257</v>
      </c>
      <c r="C499" s="32" t="s">
        <v>1623</v>
      </c>
      <c r="D499" s="32" t="s">
        <v>1624</v>
      </c>
      <c r="E499" s="32" t="s">
        <v>3786</v>
      </c>
      <c r="F499" s="4" t="s">
        <v>1626</v>
      </c>
      <c r="G499" s="4" t="s">
        <v>1625</v>
      </c>
      <c r="K499" s="18"/>
      <c r="L499" s="33"/>
      <c r="M499" s="20"/>
      <c r="N499" s="20"/>
      <c r="O499" s="20"/>
      <c r="P499" s="20"/>
      <c r="Q499" s="20"/>
      <c r="R499" s="20"/>
      <c r="S499" s="20"/>
      <c r="T499" s="20"/>
      <c r="U499" s="34"/>
      <c r="AF499" s="11" t="str">
        <f t="shared" si="394"/>
        <v/>
      </c>
      <c r="AG499" s="11" t="str">
        <f t="shared" ref="AG499:AO499" si="465">if(not(isblank(M499)),", "&amp;M499,"")</f>
        <v/>
      </c>
      <c r="AH499" s="11" t="str">
        <f t="shared" si="465"/>
        <v/>
      </c>
      <c r="AI499" s="11" t="str">
        <f t="shared" si="465"/>
        <v/>
      </c>
      <c r="AJ499" s="11" t="str">
        <f t="shared" si="465"/>
        <v/>
      </c>
      <c r="AK499" s="11" t="str">
        <f t="shared" si="465"/>
        <v/>
      </c>
      <c r="AL499" s="11" t="str">
        <f t="shared" si="465"/>
        <v/>
      </c>
      <c r="AM499" s="11" t="str">
        <f t="shared" si="465"/>
        <v/>
      </c>
      <c r="AN499" s="11" t="str">
        <f t="shared" si="465"/>
        <v/>
      </c>
      <c r="AO499" s="11" t="str">
        <f t="shared" si="465"/>
        <v/>
      </c>
      <c r="AP499" s="21" t="str">
        <f t="shared" si="396"/>
        <v>jone-japan-indigo, jone-japan-black, jone-13-oz-japan-dry-selvage, jone-japan-trouser-stone</v>
      </c>
    </row>
    <row r="500" ht="16.5" customHeight="1">
      <c r="A500" s="32" t="s">
        <v>34</v>
      </c>
      <c r="B500" s="32" t="s">
        <v>39</v>
      </c>
      <c r="C500" s="32" t="s">
        <v>3664</v>
      </c>
      <c r="D500" s="32" t="s">
        <v>3354</v>
      </c>
      <c r="E500" s="32" t="s">
        <v>3355</v>
      </c>
      <c r="F500" s="4" t="s">
        <v>3787</v>
      </c>
      <c r="G500" s="4" t="s">
        <v>3788</v>
      </c>
      <c r="H500" s="4" t="s">
        <v>509</v>
      </c>
      <c r="K500" s="18"/>
      <c r="L500" s="33"/>
      <c r="M500" s="20"/>
      <c r="N500" s="20"/>
      <c r="O500" s="20"/>
      <c r="P500" s="20"/>
      <c r="Q500" s="20"/>
      <c r="R500" s="20"/>
      <c r="S500" s="20"/>
      <c r="T500" s="20"/>
      <c r="U500" s="34"/>
      <c r="AF500" s="11" t="str">
        <f t="shared" si="394"/>
        <v/>
      </c>
      <c r="AG500" s="11" t="str">
        <f t="shared" ref="AG500:AO500" si="466">if(not(isblank(M500)),", "&amp;M500,"")</f>
        <v/>
      </c>
      <c r="AH500" s="11" t="str">
        <f t="shared" si="466"/>
        <v/>
      </c>
      <c r="AI500" s="11" t="str">
        <f t="shared" si="466"/>
        <v/>
      </c>
      <c r="AJ500" s="11" t="str">
        <f t="shared" si="466"/>
        <v/>
      </c>
      <c r="AK500" s="11" t="str">
        <f t="shared" si="466"/>
        <v/>
      </c>
      <c r="AL500" s="11" t="str">
        <f t="shared" si="466"/>
        <v/>
      </c>
      <c r="AM500" s="11" t="str">
        <f t="shared" si="466"/>
        <v/>
      </c>
      <c r="AN500" s="11" t="str">
        <f t="shared" si="466"/>
        <v/>
      </c>
      <c r="AO500" s="11" t="str">
        <f t="shared" si="466"/>
        <v/>
      </c>
      <c r="AP500" s="21" t="str">
        <f t="shared" si="396"/>
        <v>aiden-eclipse-stripe-poplin, aiden-grey-oxford, aiden-milk-check, aiden-brown-grunge-check, aiden-black, aiden-white</v>
      </c>
    </row>
    <row r="501" ht="16.5" customHeight="1">
      <c r="A501" s="32" t="s">
        <v>34</v>
      </c>
      <c r="B501" s="32" t="s">
        <v>52</v>
      </c>
      <c r="C501" s="32" t="s">
        <v>3789</v>
      </c>
      <c r="D501" s="32" t="s">
        <v>3360</v>
      </c>
      <c r="E501" s="32" t="s">
        <v>3790</v>
      </c>
      <c r="F501" s="4" t="s">
        <v>3791</v>
      </c>
      <c r="G501" s="4"/>
      <c r="H501" s="4" t="s">
        <v>3792</v>
      </c>
      <c r="K501" s="18"/>
      <c r="L501" s="33"/>
      <c r="M501" s="20"/>
      <c r="N501" s="20"/>
      <c r="O501" s="20"/>
      <c r="P501" s="20"/>
      <c r="Q501" s="20"/>
      <c r="R501" s="20"/>
      <c r="S501" s="20"/>
      <c r="T501" s="20"/>
      <c r="U501" s="34"/>
      <c r="AF501" s="11" t="str">
        <f t="shared" si="394"/>
        <v/>
      </c>
      <c r="AG501" s="11" t="str">
        <f t="shared" ref="AG501:AO501" si="467">if(not(isblank(M501)),", "&amp;M501,"")</f>
        <v/>
      </c>
      <c r="AH501" s="11" t="str">
        <f t="shared" si="467"/>
        <v/>
      </c>
      <c r="AI501" s="11" t="str">
        <f t="shared" si="467"/>
        <v/>
      </c>
      <c r="AJ501" s="11" t="str">
        <f t="shared" si="467"/>
        <v/>
      </c>
      <c r="AK501" s="11" t="str">
        <f t="shared" si="467"/>
        <v/>
      </c>
      <c r="AL501" s="11" t="str">
        <f t="shared" si="467"/>
        <v/>
      </c>
      <c r="AM501" s="11" t="str">
        <f t="shared" si="467"/>
        <v/>
      </c>
      <c r="AN501" s="11" t="str">
        <f t="shared" si="467"/>
        <v/>
      </c>
      <c r="AO501" s="11" t="str">
        <f t="shared" si="467"/>
        <v/>
      </c>
      <c r="AP501" s="21" t="str">
        <f t="shared" si="396"/>
        <v/>
      </c>
    </row>
    <row r="502" ht="16.5" customHeight="1">
      <c r="A502" s="32" t="s">
        <v>34</v>
      </c>
      <c r="B502" s="32" t="s">
        <v>257</v>
      </c>
      <c r="C502" s="32" t="s">
        <v>2910</v>
      </c>
      <c r="D502" s="32" t="s">
        <v>3793</v>
      </c>
      <c r="E502" s="32" t="s">
        <v>3794</v>
      </c>
      <c r="F502" s="4" t="s">
        <v>3795</v>
      </c>
      <c r="G502" s="4" t="s">
        <v>3796</v>
      </c>
      <c r="H502" s="4" t="s">
        <v>1711</v>
      </c>
      <c r="K502" s="18"/>
      <c r="L502" s="33"/>
      <c r="M502" s="20"/>
      <c r="N502" s="20"/>
      <c r="O502" s="20"/>
      <c r="P502" s="20"/>
      <c r="Q502" s="20"/>
      <c r="R502" s="20"/>
      <c r="S502" s="20"/>
      <c r="T502" s="20"/>
      <c r="U502" s="34"/>
      <c r="AF502" s="11" t="str">
        <f t="shared" si="394"/>
        <v/>
      </c>
      <c r="AG502" s="11" t="str">
        <f t="shared" ref="AG502:AO502" si="468">if(not(isblank(M502)),", "&amp;M502,"")</f>
        <v/>
      </c>
      <c r="AH502" s="11" t="str">
        <f t="shared" si="468"/>
        <v/>
      </c>
      <c r="AI502" s="11" t="str">
        <f t="shared" si="468"/>
        <v/>
      </c>
      <c r="AJ502" s="11" t="str">
        <f t="shared" si="468"/>
        <v/>
      </c>
      <c r="AK502" s="11" t="str">
        <f t="shared" si="468"/>
        <v/>
      </c>
      <c r="AL502" s="11" t="str">
        <f t="shared" si="468"/>
        <v/>
      </c>
      <c r="AM502" s="11" t="str">
        <f t="shared" si="468"/>
        <v/>
      </c>
      <c r="AN502" s="11" t="str">
        <f t="shared" si="468"/>
        <v/>
      </c>
      <c r="AO502" s="11" t="str">
        <f t="shared" si="468"/>
        <v/>
      </c>
      <c r="AP502" s="21" t="str">
        <f t="shared" si="396"/>
        <v>barnes-japan-putty, barnes-japan-dawn, barnes-japan-black, barnes-japan-fade, barnes-japan-mole, barnes-22-5-oz-japan-heavy-selvage, barnes-japan-rinse-selvage, barnes-japan-milk</v>
      </c>
    </row>
    <row r="503" ht="16.5" customHeight="1">
      <c r="A503" s="32" t="s">
        <v>34</v>
      </c>
      <c r="B503" s="32" t="s">
        <v>257</v>
      </c>
      <c r="C503" s="32" t="s">
        <v>2912</v>
      </c>
      <c r="D503" s="32" t="s">
        <v>3797</v>
      </c>
      <c r="E503" s="32" t="s">
        <v>3798</v>
      </c>
      <c r="F503" s="4" t="s">
        <v>3799</v>
      </c>
      <c r="G503" s="4" t="s">
        <v>3800</v>
      </c>
      <c r="H503" s="4" t="s">
        <v>1711</v>
      </c>
      <c r="K503" s="18"/>
      <c r="L503" s="33"/>
      <c r="M503" s="20"/>
      <c r="N503" s="20"/>
      <c r="O503" s="20"/>
      <c r="P503" s="20"/>
      <c r="Q503" s="20"/>
      <c r="R503" s="20"/>
      <c r="S503" s="20"/>
      <c r="T503" s="20"/>
      <c r="U503" s="34"/>
      <c r="AF503" s="11" t="str">
        <f t="shared" si="394"/>
        <v/>
      </c>
      <c r="AG503" s="11" t="str">
        <f t="shared" ref="AG503:AO503" si="469">if(not(isblank(M503)),", "&amp;M503,"")</f>
        <v/>
      </c>
      <c r="AH503" s="11" t="str">
        <f t="shared" si="469"/>
        <v/>
      </c>
      <c r="AI503" s="11" t="str">
        <f t="shared" si="469"/>
        <v/>
      </c>
      <c r="AJ503" s="11" t="str">
        <f t="shared" si="469"/>
        <v/>
      </c>
      <c r="AK503" s="11" t="str">
        <f t="shared" si="469"/>
        <v/>
      </c>
      <c r="AL503" s="11" t="str">
        <f t="shared" si="469"/>
        <v/>
      </c>
      <c r="AM503" s="11" t="str">
        <f t="shared" si="469"/>
        <v/>
      </c>
      <c r="AN503" s="11" t="str">
        <f t="shared" si="469"/>
        <v/>
      </c>
      <c r="AO503" s="11" t="str">
        <f t="shared" si="469"/>
        <v/>
      </c>
      <c r="AP503" s="21" t="str">
        <f t="shared" si="396"/>
        <v>barnes-japan-forest-fog, barnes-japan-dawn, barnes-japan-fade, barnes-japan-black, barnes-japan-mole, barnes-22-5-oz-japan-heavy-selvage, barnes-japan-rinse-selvage, barnes-japan-milk</v>
      </c>
    </row>
    <row r="504" ht="16.5" customHeight="1">
      <c r="A504" s="32" t="s">
        <v>34</v>
      </c>
      <c r="B504" s="32" t="s">
        <v>73</v>
      </c>
      <c r="C504" s="32" t="s">
        <v>3801</v>
      </c>
      <c r="D504" s="32" t="s">
        <v>3802</v>
      </c>
      <c r="E504" s="32" t="s">
        <v>3803</v>
      </c>
      <c r="F504" s="4" t="s">
        <v>3804</v>
      </c>
      <c r="G504" s="4"/>
      <c r="H504" s="4" t="s">
        <v>3805</v>
      </c>
      <c r="K504" s="18"/>
      <c r="L504" s="33"/>
      <c r="M504" s="20"/>
      <c r="N504" s="20"/>
      <c r="O504" s="20"/>
      <c r="P504" s="20"/>
      <c r="Q504" s="20"/>
      <c r="R504" s="20"/>
      <c r="S504" s="20"/>
      <c r="T504" s="20"/>
      <c r="U504" s="34"/>
      <c r="AF504" s="11" t="str">
        <f t="shared" si="394"/>
        <v/>
      </c>
      <c r="AG504" s="11" t="str">
        <f t="shared" ref="AG504:AO504" si="470">if(not(isblank(M504)),", "&amp;M504,"")</f>
        <v/>
      </c>
      <c r="AH504" s="11" t="str">
        <f t="shared" si="470"/>
        <v/>
      </c>
      <c r="AI504" s="11" t="str">
        <f t="shared" si="470"/>
        <v/>
      </c>
      <c r="AJ504" s="11" t="str">
        <f t="shared" si="470"/>
        <v/>
      </c>
      <c r="AK504" s="11" t="str">
        <f t="shared" si="470"/>
        <v/>
      </c>
      <c r="AL504" s="11" t="str">
        <f t="shared" si="470"/>
        <v/>
      </c>
      <c r="AM504" s="11" t="str">
        <f t="shared" si="470"/>
        <v/>
      </c>
      <c r="AN504" s="11" t="str">
        <f t="shared" si="470"/>
        <v/>
      </c>
      <c r="AO504" s="11" t="str">
        <f t="shared" si="470"/>
        <v/>
      </c>
      <c r="AP504" s="21" t="str">
        <f t="shared" si="396"/>
        <v/>
      </c>
    </row>
    <row r="505" ht="16.5" customHeight="1">
      <c r="A505" s="32" t="s">
        <v>34</v>
      </c>
      <c r="B505" s="32" t="s">
        <v>361</v>
      </c>
      <c r="C505" s="32" t="s">
        <v>3806</v>
      </c>
      <c r="D505" s="32" t="s">
        <v>3807</v>
      </c>
      <c r="E505" s="32" t="s">
        <v>3808</v>
      </c>
      <c r="F505" s="4" t="s">
        <v>3809</v>
      </c>
      <c r="G505" s="4" t="s">
        <v>3810</v>
      </c>
      <c r="H505" s="4" t="s">
        <v>3334</v>
      </c>
      <c r="K505" s="18"/>
      <c r="L505" s="33"/>
      <c r="M505" s="20"/>
      <c r="N505" s="20"/>
      <c r="O505" s="20"/>
      <c r="P505" s="20"/>
      <c r="Q505" s="20"/>
      <c r="R505" s="20"/>
      <c r="S505" s="20"/>
      <c r="T505" s="20"/>
      <c r="U505" s="34"/>
      <c r="AF505" s="11" t="str">
        <f t="shared" si="394"/>
        <v/>
      </c>
      <c r="AG505" s="11" t="str">
        <f t="shared" ref="AG505:AO505" si="471">if(not(isblank(M505)),", "&amp;M505,"")</f>
        <v/>
      </c>
      <c r="AH505" s="11" t="str">
        <f t="shared" si="471"/>
        <v/>
      </c>
      <c r="AI505" s="11" t="str">
        <f t="shared" si="471"/>
        <v/>
      </c>
      <c r="AJ505" s="11" t="str">
        <f t="shared" si="471"/>
        <v/>
      </c>
      <c r="AK505" s="11" t="str">
        <f t="shared" si="471"/>
        <v/>
      </c>
      <c r="AL505" s="11" t="str">
        <f t="shared" si="471"/>
        <v/>
      </c>
      <c r="AM505" s="11" t="str">
        <f t="shared" si="471"/>
        <v/>
      </c>
      <c r="AN505" s="11" t="str">
        <f t="shared" si="471"/>
        <v/>
      </c>
      <c r="AO505" s="11" t="str">
        <f t="shared" si="471"/>
        <v/>
      </c>
      <c r="AP505" s="21" t="str">
        <f t="shared" si="396"/>
        <v>dunn-dove-tech, dunn-dawn, dunn-shadow, dunn-japan-optic, dunn-sand-overdye, dunn-toast-overdye, dunn-overdye-green, dunn-overdye-grisaille-1</v>
      </c>
    </row>
    <row r="506" ht="16.5" customHeight="1">
      <c r="A506" s="32" t="s">
        <v>34</v>
      </c>
      <c r="B506" s="32" t="s">
        <v>361</v>
      </c>
      <c r="C506" s="32" t="s">
        <v>3811</v>
      </c>
      <c r="D506" s="32" t="s">
        <v>3812</v>
      </c>
      <c r="E506" s="32" t="s">
        <v>3808</v>
      </c>
      <c r="F506" s="4" t="s">
        <v>3813</v>
      </c>
      <c r="G506" s="4" t="s">
        <v>3814</v>
      </c>
      <c r="H506" s="4" t="s">
        <v>3342</v>
      </c>
      <c r="K506" s="18"/>
      <c r="L506" s="33"/>
      <c r="M506" s="20"/>
      <c r="N506" s="20"/>
      <c r="O506" s="20"/>
      <c r="P506" s="20"/>
      <c r="Q506" s="20"/>
      <c r="R506" s="20"/>
      <c r="S506" s="20"/>
      <c r="T506" s="20"/>
      <c r="U506" s="34"/>
      <c r="AF506" s="11" t="str">
        <f t="shared" si="394"/>
        <v/>
      </c>
      <c r="AG506" s="11" t="str">
        <f t="shared" ref="AG506:AO506" si="472">if(not(isblank(M506)),", "&amp;M506,"")</f>
        <v/>
      </c>
      <c r="AH506" s="11" t="str">
        <f t="shared" si="472"/>
        <v/>
      </c>
      <c r="AI506" s="11" t="str">
        <f t="shared" si="472"/>
        <v/>
      </c>
      <c r="AJ506" s="11" t="str">
        <f t="shared" si="472"/>
        <v/>
      </c>
      <c r="AK506" s="11" t="str">
        <f t="shared" si="472"/>
        <v/>
      </c>
      <c r="AL506" s="11" t="str">
        <f t="shared" si="472"/>
        <v/>
      </c>
      <c r="AM506" s="11" t="str">
        <f t="shared" si="472"/>
        <v/>
      </c>
      <c r="AN506" s="11" t="str">
        <f t="shared" si="472"/>
        <v/>
      </c>
      <c r="AO506" s="11" t="str">
        <f t="shared" si="472"/>
        <v/>
      </c>
      <c r="AP506" s="21" t="str">
        <f t="shared" si="396"/>
        <v>dunn-black-tech, dunn-dawn, dunn-shadow, dunn-japan-optic, dunn-sand-overdye, dunn-toast-overdye, dunn-overdye-green, dunn-overdye-grisaille-1</v>
      </c>
    </row>
    <row r="507" ht="16.5" customHeight="1">
      <c r="A507" s="32" t="s">
        <v>34</v>
      </c>
      <c r="B507" s="32" t="s">
        <v>361</v>
      </c>
      <c r="C507" s="32" t="s">
        <v>3815</v>
      </c>
      <c r="D507" s="32" t="s">
        <v>3816</v>
      </c>
      <c r="E507" s="32" t="s">
        <v>3817</v>
      </c>
      <c r="F507" s="4" t="s">
        <v>3818</v>
      </c>
      <c r="G507" s="4" t="s">
        <v>3819</v>
      </c>
      <c r="H507" s="4" t="s">
        <v>2435</v>
      </c>
      <c r="K507" s="18"/>
      <c r="L507" s="33"/>
      <c r="M507" s="20"/>
      <c r="N507" s="20"/>
      <c r="O507" s="20"/>
      <c r="P507" s="20"/>
      <c r="Q507" s="20"/>
      <c r="R507" s="20"/>
      <c r="S507" s="20"/>
      <c r="T507" s="20"/>
      <c r="U507" s="34"/>
      <c r="AF507" s="11" t="str">
        <f t="shared" si="394"/>
        <v/>
      </c>
      <c r="AG507" s="11" t="str">
        <f t="shared" ref="AG507:AO507" si="473">if(not(isblank(M507)),", "&amp;M507,"")</f>
        <v/>
      </c>
      <c r="AH507" s="11" t="str">
        <f t="shared" si="473"/>
        <v/>
      </c>
      <c r="AI507" s="11" t="str">
        <f t="shared" si="473"/>
        <v/>
      </c>
      <c r="AJ507" s="11" t="str">
        <f t="shared" si="473"/>
        <v/>
      </c>
      <c r="AK507" s="11" t="str">
        <f t="shared" si="473"/>
        <v/>
      </c>
      <c r="AL507" s="11" t="str">
        <f t="shared" si="473"/>
        <v/>
      </c>
      <c r="AM507" s="11" t="str">
        <f t="shared" si="473"/>
        <v/>
      </c>
      <c r="AN507" s="11" t="str">
        <f t="shared" si="473"/>
        <v/>
      </c>
      <c r="AO507" s="11" t="str">
        <f t="shared" si="473"/>
        <v/>
      </c>
      <c r="AP507" s="21" t="str">
        <f t="shared" si="396"/>
        <v>dunn-overdye-grisaille-1, dunn-sand-overdye, dunn-toast-overdye, dunn-dawn, dunn-shadow, dunn-japan-optic, dunn-black-tech, dunn-dove-tech</v>
      </c>
    </row>
    <row r="508" ht="16.5" customHeight="1">
      <c r="A508" s="32" t="s">
        <v>34</v>
      </c>
      <c r="B508" s="32" t="s">
        <v>257</v>
      </c>
      <c r="C508" s="32" t="s">
        <v>3820</v>
      </c>
      <c r="D508" s="32" t="s">
        <v>3821</v>
      </c>
      <c r="E508" s="32" t="s">
        <v>3822</v>
      </c>
      <c r="F508" s="4" t="s">
        <v>3823</v>
      </c>
      <c r="G508" s="4" t="s">
        <v>3824</v>
      </c>
      <c r="K508" s="18"/>
      <c r="L508" s="33"/>
      <c r="M508" s="20"/>
      <c r="N508" s="20"/>
      <c r="O508" s="20"/>
      <c r="P508" s="20"/>
      <c r="Q508" s="20"/>
      <c r="R508" s="20"/>
      <c r="S508" s="20"/>
      <c r="T508" s="20"/>
      <c r="U508" s="34"/>
      <c r="AF508" s="11" t="str">
        <f t="shared" si="394"/>
        <v/>
      </c>
      <c r="AG508" s="11" t="str">
        <f t="shared" ref="AG508:AO508" si="474">if(not(isblank(M508)),", "&amp;M508,"")</f>
        <v/>
      </c>
      <c r="AH508" s="11" t="str">
        <f t="shared" si="474"/>
        <v/>
      </c>
      <c r="AI508" s="11" t="str">
        <f t="shared" si="474"/>
        <v/>
      </c>
      <c r="AJ508" s="11" t="str">
        <f t="shared" si="474"/>
        <v/>
      </c>
      <c r="AK508" s="11" t="str">
        <f t="shared" si="474"/>
        <v/>
      </c>
      <c r="AL508" s="11" t="str">
        <f t="shared" si="474"/>
        <v/>
      </c>
      <c r="AM508" s="11" t="str">
        <f t="shared" si="474"/>
        <v/>
      </c>
      <c r="AN508" s="11" t="str">
        <f t="shared" si="474"/>
        <v/>
      </c>
      <c r="AO508" s="11" t="str">
        <f t="shared" si="474"/>
        <v/>
      </c>
      <c r="AP508" s="21" t="str">
        <f t="shared" si="396"/>
        <v>emerson-japan-dry-selvage, emerson-japan-black-selvage, emerson-japan-dawn</v>
      </c>
    </row>
    <row r="509" ht="16.5" customHeight="1">
      <c r="A509" s="32" t="s">
        <v>34</v>
      </c>
      <c r="B509" s="32" t="s">
        <v>39</v>
      </c>
      <c r="C509" s="32" t="s">
        <v>3825</v>
      </c>
      <c r="D509" s="32" t="s">
        <v>3826</v>
      </c>
      <c r="E509" s="32" t="s">
        <v>3827</v>
      </c>
      <c r="F509" s="4" t="s">
        <v>3828</v>
      </c>
      <c r="G509" s="4" t="s">
        <v>3829</v>
      </c>
      <c r="K509" s="18"/>
      <c r="L509" s="33"/>
      <c r="M509" s="20"/>
      <c r="N509" s="20"/>
      <c r="O509" s="20"/>
      <c r="P509" s="20"/>
      <c r="Q509" s="20"/>
      <c r="R509" s="20"/>
      <c r="S509" s="20"/>
      <c r="T509" s="20"/>
      <c r="U509" s="34"/>
      <c r="AF509" s="11" t="str">
        <f t="shared" si="394"/>
        <v/>
      </c>
      <c r="AG509" s="11" t="str">
        <f t="shared" ref="AG509:AO509" si="475">if(not(isblank(M509)),", "&amp;M509,"")</f>
        <v/>
      </c>
      <c r="AH509" s="11" t="str">
        <f t="shared" si="475"/>
        <v/>
      </c>
      <c r="AI509" s="11" t="str">
        <f t="shared" si="475"/>
        <v/>
      </c>
      <c r="AJ509" s="11" t="str">
        <f t="shared" si="475"/>
        <v/>
      </c>
      <c r="AK509" s="11" t="str">
        <f t="shared" si="475"/>
        <v/>
      </c>
      <c r="AL509" s="11" t="str">
        <f t="shared" si="475"/>
        <v/>
      </c>
      <c r="AM509" s="11" t="str">
        <f t="shared" si="475"/>
        <v/>
      </c>
      <c r="AN509" s="11" t="str">
        <f t="shared" si="475"/>
        <v/>
      </c>
      <c r="AO509" s="11" t="str">
        <f t="shared" si="475"/>
        <v/>
      </c>
      <c r="AP509" s="21" t="str">
        <f t="shared" si="396"/>
        <v>huff-grey-tech, huff-milk-tech, huff-black-voile, huff-weather-voile, huff-dove-voile, huff-charcoal-fluid-merino, huff-taupe-fluid-merino</v>
      </c>
    </row>
    <row r="510" ht="16.5" customHeight="1">
      <c r="A510" s="32" t="s">
        <v>34</v>
      </c>
      <c r="B510" s="32" t="s">
        <v>39</v>
      </c>
      <c r="C510" s="32" t="s">
        <v>3830</v>
      </c>
      <c r="D510" s="32" t="s">
        <v>3831</v>
      </c>
      <c r="E510" s="32" t="s">
        <v>3832</v>
      </c>
      <c r="F510" s="4" t="s">
        <v>3833</v>
      </c>
      <c r="G510" s="4" t="s">
        <v>3834</v>
      </c>
      <c r="K510" s="18"/>
      <c r="L510" s="33"/>
      <c r="M510" s="20"/>
      <c r="N510" s="20"/>
      <c r="O510" s="20"/>
      <c r="P510" s="20"/>
      <c r="Q510" s="20"/>
      <c r="R510" s="20"/>
      <c r="S510" s="20"/>
      <c r="T510" s="20"/>
      <c r="U510" s="34"/>
      <c r="AF510" s="11" t="str">
        <f t="shared" si="394"/>
        <v/>
      </c>
      <c r="AG510" s="11" t="str">
        <f t="shared" ref="AG510:AO510" si="476">if(not(isblank(M510)),", "&amp;M510,"")</f>
        <v/>
      </c>
      <c r="AH510" s="11" t="str">
        <f t="shared" si="476"/>
        <v/>
      </c>
      <c r="AI510" s="11" t="str">
        <f t="shared" si="476"/>
        <v/>
      </c>
      <c r="AJ510" s="11" t="str">
        <f t="shared" si="476"/>
        <v/>
      </c>
      <c r="AK510" s="11" t="str">
        <f t="shared" si="476"/>
        <v/>
      </c>
      <c r="AL510" s="11" t="str">
        <f t="shared" si="476"/>
        <v/>
      </c>
      <c r="AM510" s="11" t="str">
        <f t="shared" si="476"/>
        <v/>
      </c>
      <c r="AN510" s="11" t="str">
        <f t="shared" si="476"/>
        <v/>
      </c>
      <c r="AO510" s="11" t="str">
        <f t="shared" si="476"/>
        <v/>
      </c>
      <c r="AP510" s="21" t="str">
        <f t="shared" si="396"/>
        <v>huff-charcoal-tech, huff-milk-tech, huff-black-voile, huff-weather-voile, huff-dove-voile, huff-charcoal-fluid-merino, huff-taupe-fluid-merino</v>
      </c>
    </row>
    <row r="511" ht="16.5" customHeight="1">
      <c r="A511" s="32" t="s">
        <v>34</v>
      </c>
      <c r="B511" s="32" t="s">
        <v>39</v>
      </c>
      <c r="C511" s="32" t="s">
        <v>3835</v>
      </c>
      <c r="D511" s="32" t="s">
        <v>3836</v>
      </c>
      <c r="E511" s="32" t="s">
        <v>3832</v>
      </c>
      <c r="F511" s="4" t="s">
        <v>3837</v>
      </c>
      <c r="G511" s="4" t="s">
        <v>3838</v>
      </c>
      <c r="K511" s="18"/>
      <c r="L511" s="33"/>
      <c r="M511" s="20"/>
      <c r="N511" s="20"/>
      <c r="O511" s="20"/>
      <c r="P511" s="20"/>
      <c r="Q511" s="20"/>
      <c r="R511" s="20"/>
      <c r="S511" s="20"/>
      <c r="T511" s="20"/>
      <c r="U511" s="34"/>
      <c r="AF511" s="11" t="str">
        <f t="shared" si="394"/>
        <v/>
      </c>
      <c r="AG511" s="11" t="str">
        <f t="shared" ref="AG511:AO511" si="477">if(not(isblank(M511)),", "&amp;M511,"")</f>
        <v/>
      </c>
      <c r="AH511" s="11" t="str">
        <f t="shared" si="477"/>
        <v/>
      </c>
      <c r="AI511" s="11" t="str">
        <f t="shared" si="477"/>
        <v/>
      </c>
      <c r="AJ511" s="11" t="str">
        <f t="shared" si="477"/>
        <v/>
      </c>
      <c r="AK511" s="11" t="str">
        <f t="shared" si="477"/>
        <v/>
      </c>
      <c r="AL511" s="11" t="str">
        <f t="shared" si="477"/>
        <v/>
      </c>
      <c r="AM511" s="11" t="str">
        <f t="shared" si="477"/>
        <v/>
      </c>
      <c r="AN511" s="11" t="str">
        <f t="shared" si="477"/>
        <v/>
      </c>
      <c r="AO511" s="11" t="str">
        <f t="shared" si="477"/>
        <v/>
      </c>
      <c r="AP511" s="21" t="str">
        <f t="shared" si="396"/>
        <v>huff-charcoal-tech, huff-grey-tech, huff-black-voile, huff-weather-voile, huff-dove-voile, huff-charcoal-fluid-merino, huff-taupe-fluid-merino</v>
      </c>
    </row>
    <row r="512" ht="16.5" customHeight="1">
      <c r="A512" s="32" t="s">
        <v>34</v>
      </c>
      <c r="B512" s="32" t="s">
        <v>257</v>
      </c>
      <c r="C512" s="32" t="s">
        <v>3839</v>
      </c>
      <c r="D512" s="32" t="s">
        <v>3840</v>
      </c>
      <c r="E512" s="32" t="s">
        <v>3841</v>
      </c>
      <c r="F512" s="4" t="s">
        <v>3842</v>
      </c>
      <c r="G512" s="4" t="s">
        <v>3843</v>
      </c>
      <c r="K512" s="18"/>
      <c r="L512" s="33"/>
      <c r="M512" s="20"/>
      <c r="N512" s="20"/>
      <c r="O512" s="20"/>
      <c r="P512" s="20"/>
      <c r="Q512" s="20"/>
      <c r="R512" s="20"/>
      <c r="S512" s="20"/>
      <c r="T512" s="20"/>
      <c r="U512" s="34"/>
      <c r="AF512" s="11" t="str">
        <f t="shared" si="394"/>
        <v/>
      </c>
      <c r="AG512" s="11" t="str">
        <f t="shared" ref="AG512:AO512" si="478">if(not(isblank(M512)),", "&amp;M512,"")</f>
        <v/>
      </c>
      <c r="AH512" s="11" t="str">
        <f t="shared" si="478"/>
        <v/>
      </c>
      <c r="AI512" s="11" t="str">
        <f t="shared" si="478"/>
        <v/>
      </c>
      <c r="AJ512" s="11" t="str">
        <f t="shared" si="478"/>
        <v/>
      </c>
      <c r="AK512" s="11" t="str">
        <f t="shared" si="478"/>
        <v/>
      </c>
      <c r="AL512" s="11" t="str">
        <f t="shared" si="478"/>
        <v/>
      </c>
      <c r="AM512" s="11" t="str">
        <f t="shared" si="478"/>
        <v/>
      </c>
      <c r="AN512" s="11" t="str">
        <f t="shared" si="478"/>
        <v/>
      </c>
      <c r="AO512" s="11" t="str">
        <f t="shared" si="478"/>
        <v/>
      </c>
      <c r="AP512" s="21" t="str">
        <f t="shared" si="396"/>
        <v>kai-japan-dawn, kai-japan-fade, kai-japan-black, kai-japan-shadow</v>
      </c>
    </row>
    <row r="513" ht="16.5" customHeight="1">
      <c r="A513" s="32" t="s">
        <v>34</v>
      </c>
      <c r="B513" s="32" t="s">
        <v>39</v>
      </c>
      <c r="C513" s="32" t="s">
        <v>3844</v>
      </c>
      <c r="D513" s="32" t="s">
        <v>3845</v>
      </c>
      <c r="E513" s="32" t="s">
        <v>3846</v>
      </c>
      <c r="F513" s="4" t="s">
        <v>3847</v>
      </c>
      <c r="G513" s="4" t="s">
        <v>3848</v>
      </c>
      <c r="K513" s="18"/>
      <c r="L513" s="33"/>
      <c r="M513" s="20"/>
      <c r="N513" s="20"/>
      <c r="O513" s="20"/>
      <c r="P513" s="20"/>
      <c r="Q513" s="20"/>
      <c r="R513" s="20"/>
      <c r="S513" s="20"/>
      <c r="T513" s="20"/>
      <c r="U513" s="34"/>
      <c r="AF513" s="11" t="str">
        <f t="shared" si="394"/>
        <v/>
      </c>
      <c r="AG513" s="11" t="str">
        <f t="shared" ref="AG513:AO513" si="479">if(not(isblank(M513)),", "&amp;M513,"")</f>
        <v/>
      </c>
      <c r="AH513" s="11" t="str">
        <f t="shared" si="479"/>
        <v/>
      </c>
      <c r="AI513" s="11" t="str">
        <f t="shared" si="479"/>
        <v/>
      </c>
      <c r="AJ513" s="11" t="str">
        <f t="shared" si="479"/>
        <v/>
      </c>
      <c r="AK513" s="11" t="str">
        <f t="shared" si="479"/>
        <v/>
      </c>
      <c r="AL513" s="11" t="str">
        <f t="shared" si="479"/>
        <v/>
      </c>
      <c r="AM513" s="11" t="str">
        <f t="shared" si="479"/>
        <v/>
      </c>
      <c r="AN513" s="11" t="str">
        <f t="shared" si="479"/>
        <v/>
      </c>
      <c r="AO513" s="11" t="str">
        <f t="shared" si="479"/>
        <v/>
      </c>
      <c r="AP513" s="21" t="str">
        <f t="shared" si="396"/>
        <v>keen-grisaille-noil-silk, keen-raw-japan-black-noil-silk, keen-raw-nut-checked-loose, keen-raw-shadow-check, keen-silver-fox, shea-japan-black-ikat</v>
      </c>
    </row>
    <row r="514" ht="16.5" customHeight="1">
      <c r="A514" s="32" t="s">
        <v>34</v>
      </c>
      <c r="B514" s="32" t="s">
        <v>35</v>
      </c>
      <c r="C514" s="32" t="s">
        <v>3849</v>
      </c>
      <c r="D514" s="32" t="s">
        <v>3536</v>
      </c>
      <c r="E514" s="32" t="s">
        <v>3537</v>
      </c>
      <c r="F514" s="4" t="s">
        <v>3538</v>
      </c>
      <c r="G514" s="4" t="s">
        <v>3539</v>
      </c>
      <c r="H514" s="4" t="s">
        <v>3850</v>
      </c>
      <c r="K514" s="18"/>
      <c r="L514" s="33"/>
      <c r="M514" s="20"/>
      <c r="N514" s="20"/>
      <c r="O514" s="20"/>
      <c r="P514" s="20"/>
      <c r="Q514" s="20"/>
      <c r="R514" s="20"/>
      <c r="S514" s="20"/>
      <c r="T514" s="20"/>
      <c r="U514" s="34"/>
      <c r="AF514" s="11" t="str">
        <f t="shared" si="394"/>
        <v/>
      </c>
      <c r="AG514" s="11" t="str">
        <f t="shared" ref="AG514:AO514" si="480">if(not(isblank(M514)),", "&amp;M514,"")</f>
        <v/>
      </c>
      <c r="AH514" s="11" t="str">
        <f t="shared" si="480"/>
        <v/>
      </c>
      <c r="AI514" s="11" t="str">
        <f t="shared" si="480"/>
        <v/>
      </c>
      <c r="AJ514" s="11" t="str">
        <f t="shared" si="480"/>
        <v/>
      </c>
      <c r="AK514" s="11" t="str">
        <f t="shared" si="480"/>
        <v/>
      </c>
      <c r="AL514" s="11" t="str">
        <f t="shared" si="480"/>
        <v/>
      </c>
      <c r="AM514" s="11" t="str">
        <f t="shared" si="480"/>
        <v/>
      </c>
      <c r="AN514" s="11" t="str">
        <f t="shared" si="480"/>
        <v/>
      </c>
      <c r="AO514" s="11" t="str">
        <f t="shared" si="480"/>
        <v/>
      </c>
      <c r="AP514" s="21" t="str">
        <f t="shared" si="396"/>
        <v>needle-tee-grey, needle-tee-white, needle-tee-white-fluid</v>
      </c>
    </row>
    <row r="515" ht="16.5" customHeight="1">
      <c r="A515" s="32" t="s">
        <v>34</v>
      </c>
      <c r="B515" s="32" t="s">
        <v>35</v>
      </c>
      <c r="C515" s="32" t="s">
        <v>2428</v>
      </c>
      <c r="D515" s="32" t="s">
        <v>3851</v>
      </c>
      <c r="E515" s="32" t="s">
        <v>3537</v>
      </c>
      <c r="F515" s="4" t="s">
        <v>3538</v>
      </c>
      <c r="G515" s="4" t="s">
        <v>3852</v>
      </c>
      <c r="H515" s="4" t="s">
        <v>3853</v>
      </c>
      <c r="K515" s="18"/>
      <c r="L515" s="33"/>
      <c r="M515" s="20"/>
      <c r="N515" s="20"/>
      <c r="O515" s="20"/>
      <c r="P515" s="20"/>
      <c r="Q515" s="20"/>
      <c r="R515" s="20"/>
      <c r="S515" s="20"/>
      <c r="T515" s="20"/>
      <c r="U515" s="34"/>
      <c r="AF515" s="11" t="str">
        <f t="shared" si="394"/>
        <v/>
      </c>
      <c r="AG515" s="11" t="str">
        <f t="shared" ref="AG515:AO515" si="481">if(not(isblank(M515)),", "&amp;M515,"")</f>
        <v/>
      </c>
      <c r="AH515" s="11" t="str">
        <f t="shared" si="481"/>
        <v/>
      </c>
      <c r="AI515" s="11" t="str">
        <f t="shared" si="481"/>
        <v/>
      </c>
      <c r="AJ515" s="11" t="str">
        <f t="shared" si="481"/>
        <v/>
      </c>
      <c r="AK515" s="11" t="str">
        <f t="shared" si="481"/>
        <v/>
      </c>
      <c r="AL515" s="11" t="str">
        <f t="shared" si="481"/>
        <v/>
      </c>
      <c r="AM515" s="11" t="str">
        <f t="shared" si="481"/>
        <v/>
      </c>
      <c r="AN515" s="11" t="str">
        <f t="shared" si="481"/>
        <v/>
      </c>
      <c r="AO515" s="11" t="str">
        <f t="shared" si="481"/>
        <v/>
      </c>
      <c r="AP515" s="21" t="str">
        <f t="shared" si="396"/>
        <v>needle-tee-charcoal, needle-tee-grey, needle-tee-white-fluid</v>
      </c>
    </row>
    <row r="516" ht="16.5" customHeight="1">
      <c r="A516" s="32" t="s">
        <v>34</v>
      </c>
      <c r="B516" s="32" t="s">
        <v>35</v>
      </c>
      <c r="C516" s="32" t="s">
        <v>2434</v>
      </c>
      <c r="D516" s="32" t="s">
        <v>3854</v>
      </c>
      <c r="E516" s="32" t="s">
        <v>3855</v>
      </c>
      <c r="F516" s="4" t="s">
        <v>3856</v>
      </c>
      <c r="G516" s="4" t="s">
        <v>3857</v>
      </c>
      <c r="H516" s="4" t="s">
        <v>3858</v>
      </c>
      <c r="K516" s="18"/>
      <c r="L516" s="33"/>
      <c r="M516" s="20"/>
      <c r="N516" s="20"/>
      <c r="O516" s="20"/>
      <c r="P516" s="20"/>
      <c r="Q516" s="20"/>
      <c r="R516" s="20"/>
      <c r="S516" s="20"/>
      <c r="T516" s="20"/>
      <c r="U516" s="34"/>
      <c r="AF516" s="11" t="str">
        <f t="shared" si="394"/>
        <v/>
      </c>
      <c r="AG516" s="11" t="str">
        <f t="shared" ref="AG516:AO516" si="482">if(not(isblank(M516)),", "&amp;M516,"")</f>
        <v/>
      </c>
      <c r="AH516" s="11" t="str">
        <f t="shared" si="482"/>
        <v/>
      </c>
      <c r="AI516" s="11" t="str">
        <f t="shared" si="482"/>
        <v/>
      </c>
      <c r="AJ516" s="11" t="str">
        <f t="shared" si="482"/>
        <v/>
      </c>
      <c r="AK516" s="11" t="str">
        <f t="shared" si="482"/>
        <v/>
      </c>
      <c r="AL516" s="11" t="str">
        <f t="shared" si="482"/>
        <v/>
      </c>
      <c r="AM516" s="11" t="str">
        <f t="shared" si="482"/>
        <v/>
      </c>
      <c r="AN516" s="11" t="str">
        <f t="shared" si="482"/>
        <v/>
      </c>
      <c r="AO516" s="11" t="str">
        <f t="shared" si="482"/>
        <v/>
      </c>
      <c r="AP516" s="21" t="str">
        <f t="shared" si="396"/>
        <v>nelson-white, nelson-black, nelson-light-grey, nelson-toasted, nelson-bonnet-overdye, nelson-putty-overdye, nelson-raw-indigo-stripe, nelson-spice-overdye</v>
      </c>
    </row>
    <row r="517" ht="16.5" customHeight="1">
      <c r="A517" s="32" t="s">
        <v>34</v>
      </c>
      <c r="B517" s="32" t="s">
        <v>35</v>
      </c>
      <c r="C517" s="32" t="s">
        <v>2450</v>
      </c>
      <c r="D517" s="32" t="s">
        <v>3859</v>
      </c>
      <c r="E517" s="32" t="s">
        <v>3860</v>
      </c>
      <c r="F517" s="4" t="s">
        <v>3861</v>
      </c>
      <c r="G517" s="4" t="s">
        <v>3862</v>
      </c>
      <c r="H517" s="4" t="s">
        <v>3863</v>
      </c>
      <c r="K517" s="18"/>
      <c r="L517" s="33"/>
      <c r="M517" s="20"/>
      <c r="N517" s="20"/>
      <c r="O517" s="20"/>
      <c r="P517" s="20"/>
      <c r="Q517" s="20"/>
      <c r="R517" s="20"/>
      <c r="S517" s="20"/>
      <c r="T517" s="20"/>
      <c r="U517" s="34"/>
      <c r="AF517" s="11" t="str">
        <f t="shared" si="394"/>
        <v/>
      </c>
      <c r="AG517" s="11" t="str">
        <f t="shared" ref="AG517:AO517" si="483">if(not(isblank(M517)),", "&amp;M517,"")</f>
        <v/>
      </c>
      <c r="AH517" s="11" t="str">
        <f t="shared" si="483"/>
        <v/>
      </c>
      <c r="AI517" s="11" t="str">
        <f t="shared" si="483"/>
        <v/>
      </c>
      <c r="AJ517" s="11" t="str">
        <f t="shared" si="483"/>
        <v/>
      </c>
      <c r="AK517" s="11" t="str">
        <f t="shared" si="483"/>
        <v/>
      </c>
      <c r="AL517" s="11" t="str">
        <f t="shared" si="483"/>
        <v/>
      </c>
      <c r="AM517" s="11" t="str">
        <f t="shared" si="483"/>
        <v/>
      </c>
      <c r="AN517" s="11" t="str">
        <f t="shared" si="483"/>
        <v/>
      </c>
      <c r="AO517" s="11" t="str">
        <f t="shared" si="483"/>
        <v/>
      </c>
      <c r="AP517" s="21" t="str">
        <f t="shared" si="396"/>
        <v>nelson-white, nelson-black, nelson-light-grey, nelson-toasted, nelson-bonnet-overdye, nelson-raw-indigo-stripe, nelson-spice-overdye, nelson-grisaille-overdye</v>
      </c>
    </row>
    <row r="518" ht="16.5" customHeight="1">
      <c r="A518" s="32" t="s">
        <v>34</v>
      </c>
      <c r="B518" s="32" t="s">
        <v>3864</v>
      </c>
      <c r="C518" s="32" t="s">
        <v>3865</v>
      </c>
      <c r="D518" s="32" t="s">
        <v>3866</v>
      </c>
      <c r="E518" s="32" t="s">
        <v>3867</v>
      </c>
      <c r="G518" s="4" t="s">
        <v>3868</v>
      </c>
      <c r="K518" s="18"/>
      <c r="L518" s="33"/>
      <c r="M518" s="20"/>
      <c r="N518" s="20"/>
      <c r="O518" s="20"/>
      <c r="P518" s="20"/>
      <c r="Q518" s="20"/>
      <c r="R518" s="20"/>
      <c r="S518" s="20"/>
      <c r="T518" s="20"/>
      <c r="U518" s="34"/>
      <c r="AF518" s="11" t="str">
        <f t="shared" si="394"/>
        <v/>
      </c>
      <c r="AG518" s="11" t="str">
        <f t="shared" ref="AG518:AO518" si="484">if(not(isblank(M518)),", "&amp;M518,"")</f>
        <v/>
      </c>
      <c r="AH518" s="11" t="str">
        <f t="shared" si="484"/>
        <v/>
      </c>
      <c r="AI518" s="11" t="str">
        <f t="shared" si="484"/>
        <v/>
      </c>
      <c r="AJ518" s="11" t="str">
        <f t="shared" si="484"/>
        <v/>
      </c>
      <c r="AK518" s="11" t="str">
        <f t="shared" si="484"/>
        <v/>
      </c>
      <c r="AL518" s="11" t="str">
        <f t="shared" si="484"/>
        <v/>
      </c>
      <c r="AM518" s="11" t="str">
        <f t="shared" si="484"/>
        <v/>
      </c>
      <c r="AN518" s="11" t="str">
        <f t="shared" si="484"/>
        <v/>
      </c>
      <c r="AO518" s="11" t="str">
        <f t="shared" si="484"/>
        <v/>
      </c>
      <c r="AP518" s="21" t="str">
        <f t="shared" si="396"/>
        <v>plath-brown-mohair-mix, plath-spice-mohair-mix, plath-yellow-mohair-mix, plath-grisaille-mohair-mix, plath-black-merino, plath-stone-merino, plath-olive-merino</v>
      </c>
    </row>
    <row r="519" ht="16.5" customHeight="1">
      <c r="A519" s="32" t="s">
        <v>34</v>
      </c>
      <c r="B519" s="32" t="s">
        <v>3864</v>
      </c>
      <c r="C519" s="32" t="s">
        <v>3869</v>
      </c>
      <c r="D519" s="32" t="s">
        <v>3870</v>
      </c>
      <c r="E519" s="32" t="s">
        <v>3867</v>
      </c>
      <c r="G519" s="4" t="s">
        <v>3871</v>
      </c>
      <c r="K519" s="18"/>
      <c r="L519" s="33"/>
      <c r="M519" s="20"/>
      <c r="N519" s="20"/>
      <c r="O519" s="20"/>
      <c r="P519" s="20"/>
      <c r="Q519" s="20"/>
      <c r="R519" s="20"/>
      <c r="S519" s="20"/>
      <c r="T519" s="20"/>
      <c r="U519" s="34"/>
      <c r="AF519" s="11" t="str">
        <f t="shared" si="394"/>
        <v/>
      </c>
      <c r="AG519" s="11" t="str">
        <f t="shared" ref="AG519:AO519" si="485">if(not(isblank(M519)),", "&amp;M519,"")</f>
        <v/>
      </c>
      <c r="AH519" s="11" t="str">
        <f t="shared" si="485"/>
        <v/>
      </c>
      <c r="AI519" s="11" t="str">
        <f t="shared" si="485"/>
        <v/>
      </c>
      <c r="AJ519" s="11" t="str">
        <f t="shared" si="485"/>
        <v/>
      </c>
      <c r="AK519" s="11" t="str">
        <f t="shared" si="485"/>
        <v/>
      </c>
      <c r="AL519" s="11" t="str">
        <f t="shared" si="485"/>
        <v/>
      </c>
      <c r="AM519" s="11" t="str">
        <f t="shared" si="485"/>
        <v/>
      </c>
      <c r="AN519" s="11" t="str">
        <f t="shared" si="485"/>
        <v/>
      </c>
      <c r="AO519" s="11" t="str">
        <f t="shared" si="485"/>
        <v/>
      </c>
      <c r="AP519" s="21" t="str">
        <f t="shared" si="396"/>
        <v>plath-brown-mohair-mix, plath-spice-mohair-mix, plath-charcoal-mohair-mix, plath-yellow-mohair-mix, plath-black-merino, plath-stone-merino, plath-olive-merino</v>
      </c>
    </row>
    <row r="520" ht="16.5" customHeight="1">
      <c r="A520" s="32" t="s">
        <v>34</v>
      </c>
      <c r="B520" s="32" t="s">
        <v>3864</v>
      </c>
      <c r="C520" s="32" t="s">
        <v>3805</v>
      </c>
      <c r="D520" s="32" t="s">
        <v>3872</v>
      </c>
      <c r="E520" s="32" t="s">
        <v>3873</v>
      </c>
      <c r="G520" s="4" t="s">
        <v>3874</v>
      </c>
      <c r="K520" s="18"/>
      <c r="L520" s="33"/>
      <c r="M520" s="20"/>
      <c r="N520" s="20"/>
      <c r="O520" s="20"/>
      <c r="P520" s="20"/>
      <c r="Q520" s="20"/>
      <c r="R520" s="20"/>
      <c r="S520" s="20"/>
      <c r="T520" s="20"/>
      <c r="U520" s="34"/>
      <c r="AF520" s="11" t="str">
        <f t="shared" si="394"/>
        <v/>
      </c>
      <c r="AG520" s="11" t="str">
        <f t="shared" ref="AG520:AO520" si="486">if(not(isblank(M520)),", "&amp;M520,"")</f>
        <v/>
      </c>
      <c r="AH520" s="11" t="str">
        <f t="shared" si="486"/>
        <v/>
      </c>
      <c r="AI520" s="11" t="str">
        <f t="shared" si="486"/>
        <v/>
      </c>
      <c r="AJ520" s="11" t="str">
        <f t="shared" si="486"/>
        <v/>
      </c>
      <c r="AK520" s="11" t="str">
        <f t="shared" si="486"/>
        <v/>
      </c>
      <c r="AL520" s="11" t="str">
        <f t="shared" si="486"/>
        <v/>
      </c>
      <c r="AM520" s="11" t="str">
        <f t="shared" si="486"/>
        <v/>
      </c>
      <c r="AN520" s="11" t="str">
        <f t="shared" si="486"/>
        <v/>
      </c>
      <c r="AO520" s="11" t="str">
        <f t="shared" si="486"/>
        <v/>
      </c>
      <c r="AP520" s="21" t="str">
        <f t="shared" si="396"/>
        <v>plath-black-merino, plath-stone-merino, plath-brown-mohair-mix, plath-spice-mohair-mix, plath-charcoal-mohair-mix, plath-yellow-mohair-mix, plath-grisaille-mohair-mix</v>
      </c>
    </row>
    <row r="521" ht="16.5" customHeight="1">
      <c r="A521" s="32" t="s">
        <v>34</v>
      </c>
      <c r="B521" s="32" t="s">
        <v>3864</v>
      </c>
      <c r="C521" s="32" t="s">
        <v>3875</v>
      </c>
      <c r="D521" s="32" t="s">
        <v>3876</v>
      </c>
      <c r="E521" s="32" t="s">
        <v>3873</v>
      </c>
      <c r="F521" s="4"/>
      <c r="G521" s="4" t="s">
        <v>3877</v>
      </c>
      <c r="H521" s="4" t="s">
        <v>3878</v>
      </c>
      <c r="K521" s="18"/>
      <c r="L521" s="33"/>
      <c r="M521" s="20"/>
      <c r="N521" s="20"/>
      <c r="O521" s="20"/>
      <c r="P521" s="20"/>
      <c r="Q521" s="20"/>
      <c r="R521" s="20"/>
      <c r="S521" s="20"/>
      <c r="T521" s="20"/>
      <c r="U521" s="34"/>
      <c r="AF521" s="11" t="str">
        <f t="shared" si="394"/>
        <v/>
      </c>
      <c r="AG521" s="11" t="str">
        <f t="shared" ref="AG521:AO521" si="487">if(not(isblank(M521)),", "&amp;M521,"")</f>
        <v/>
      </c>
      <c r="AH521" s="11" t="str">
        <f t="shared" si="487"/>
        <v/>
      </c>
      <c r="AI521" s="11" t="str">
        <f t="shared" si="487"/>
        <v/>
      </c>
      <c r="AJ521" s="11" t="str">
        <f t="shared" si="487"/>
        <v/>
      </c>
      <c r="AK521" s="11" t="str">
        <f t="shared" si="487"/>
        <v/>
      </c>
      <c r="AL521" s="11" t="str">
        <f t="shared" si="487"/>
        <v/>
      </c>
      <c r="AM521" s="11" t="str">
        <f t="shared" si="487"/>
        <v/>
      </c>
      <c r="AN521" s="11" t="str">
        <f t="shared" si="487"/>
        <v/>
      </c>
      <c r="AO521" s="11" t="str">
        <f t="shared" si="487"/>
        <v/>
      </c>
      <c r="AP521" s="21" t="str">
        <f t="shared" si="396"/>
        <v>plath-black-merino, plath-olive-merino, plath-brown-mohair-mix, plath-spice-mohair-mix, plath-charcoal-mohair-mix, plath-yellow-mohair-mix, plath-grisaille-mohair-mix</v>
      </c>
    </row>
    <row r="522" ht="16.5" customHeight="1">
      <c r="A522" s="32" t="s">
        <v>34</v>
      </c>
      <c r="B522" s="32" t="s">
        <v>3864</v>
      </c>
      <c r="C522" s="32" t="s">
        <v>3879</v>
      </c>
      <c r="D522" s="32" t="s">
        <v>3880</v>
      </c>
      <c r="E522" s="32" t="s">
        <v>3867</v>
      </c>
      <c r="F522" s="4"/>
      <c r="G522" s="4" t="s">
        <v>3881</v>
      </c>
      <c r="H522" s="4" t="s">
        <v>2450</v>
      </c>
      <c r="K522" s="18"/>
      <c r="L522" s="33"/>
      <c r="M522" s="20"/>
      <c r="N522" s="20"/>
      <c r="O522" s="20"/>
      <c r="P522" s="20"/>
      <c r="Q522" s="20"/>
      <c r="R522" s="20"/>
      <c r="S522" s="20"/>
      <c r="T522" s="20"/>
      <c r="U522" s="34"/>
      <c r="AF522" s="11" t="str">
        <f t="shared" si="394"/>
        <v/>
      </c>
      <c r="AG522" s="11" t="str">
        <f t="shared" ref="AG522:AO522" si="488">if(not(isblank(M522)),", "&amp;M522,"")</f>
        <v/>
      </c>
      <c r="AH522" s="11" t="str">
        <f t="shared" si="488"/>
        <v/>
      </c>
      <c r="AI522" s="11" t="str">
        <f t="shared" si="488"/>
        <v/>
      </c>
      <c r="AJ522" s="11" t="str">
        <f t="shared" si="488"/>
        <v/>
      </c>
      <c r="AK522" s="11" t="str">
        <f t="shared" si="488"/>
        <v/>
      </c>
      <c r="AL522" s="11" t="str">
        <f t="shared" si="488"/>
        <v/>
      </c>
      <c r="AM522" s="11" t="str">
        <f t="shared" si="488"/>
        <v/>
      </c>
      <c r="AN522" s="11" t="str">
        <f t="shared" si="488"/>
        <v/>
      </c>
      <c r="AO522" s="11" t="str">
        <f t="shared" si="488"/>
        <v/>
      </c>
      <c r="AP522" s="21" t="str">
        <f t="shared" si="396"/>
        <v>plath-black-merino, plath-stone-merino, plath-olive-merino, plath-brown-mohair-mix, plath-spice-mohair-mix, plath-charcoal-mohair-mix, plath-grisaille-mohair-mix</v>
      </c>
    </row>
    <row r="523" ht="16.5" customHeight="1">
      <c r="A523" s="32" t="s">
        <v>34</v>
      </c>
      <c r="B523" s="32" t="s">
        <v>330</v>
      </c>
      <c r="C523" s="32" t="s">
        <v>2435</v>
      </c>
      <c r="D523" s="32" t="s">
        <v>3533</v>
      </c>
      <c r="E523" s="32" t="s">
        <v>3515</v>
      </c>
      <c r="F523" s="4" t="s">
        <v>3516</v>
      </c>
      <c r="G523" s="4" t="s">
        <v>3534</v>
      </c>
      <c r="H523" s="4" t="s">
        <v>509</v>
      </c>
      <c r="I523" s="11" t="s">
        <v>3850</v>
      </c>
      <c r="J523" s="11" t="s">
        <v>3882</v>
      </c>
      <c r="K523" s="18"/>
      <c r="L523" s="33"/>
      <c r="M523" s="20"/>
      <c r="N523" s="20"/>
      <c r="O523" s="20"/>
      <c r="P523" s="20"/>
      <c r="Q523" s="20"/>
      <c r="R523" s="20"/>
      <c r="S523" s="20"/>
      <c r="T523" s="20"/>
      <c r="U523" s="34"/>
      <c r="AF523" s="11" t="str">
        <f t="shared" si="394"/>
        <v/>
      </c>
      <c r="AG523" s="11" t="str">
        <f t="shared" ref="AG523:AO523" si="489">if(not(isblank(M523)),", "&amp;M523,"")</f>
        <v/>
      </c>
      <c r="AH523" s="11" t="str">
        <f t="shared" si="489"/>
        <v/>
      </c>
      <c r="AI523" s="11" t="str">
        <f t="shared" si="489"/>
        <v/>
      </c>
      <c r="AJ523" s="11" t="str">
        <f t="shared" si="489"/>
        <v/>
      </c>
      <c r="AK523" s="11" t="str">
        <f t="shared" si="489"/>
        <v/>
      </c>
      <c r="AL523" s="11" t="str">
        <f t="shared" si="489"/>
        <v/>
      </c>
      <c r="AM523" s="11" t="str">
        <f t="shared" si="489"/>
        <v/>
      </c>
      <c r="AN523" s="11" t="str">
        <f t="shared" si="489"/>
        <v/>
      </c>
      <c r="AO523" s="11" t="str">
        <f t="shared" si="489"/>
        <v/>
      </c>
      <c r="AP523" s="21" t="str">
        <f t="shared" si="396"/>
        <v>roth-black, roth-purple-overdye, roth-moonlight-overdye</v>
      </c>
    </row>
    <row r="524" ht="16.5" customHeight="1">
      <c r="A524" s="32" t="s">
        <v>34</v>
      </c>
      <c r="B524" s="32" t="s">
        <v>361</v>
      </c>
      <c r="C524" s="32" t="s">
        <v>3883</v>
      </c>
      <c r="D524" s="32" t="s">
        <v>3884</v>
      </c>
      <c r="E524" s="32" t="s">
        <v>3885</v>
      </c>
      <c r="F524" s="4" t="s">
        <v>3886</v>
      </c>
      <c r="G524" s="4" t="s">
        <v>3887</v>
      </c>
      <c r="K524" s="18"/>
      <c r="L524" s="33"/>
      <c r="M524" s="20"/>
      <c r="N524" s="20"/>
      <c r="O524" s="20"/>
      <c r="P524" s="20"/>
      <c r="Q524" s="20"/>
      <c r="R524" s="20"/>
      <c r="S524" s="20"/>
      <c r="T524" s="20"/>
      <c r="U524" s="34"/>
      <c r="AF524" s="11" t="str">
        <f t="shared" si="394"/>
        <v/>
      </c>
      <c r="AG524" s="11" t="str">
        <f t="shared" ref="AG524:AO524" si="490">if(not(isblank(M524)),", "&amp;M524,"")</f>
        <v/>
      </c>
      <c r="AH524" s="11" t="str">
        <f t="shared" si="490"/>
        <v/>
      </c>
      <c r="AI524" s="11" t="str">
        <f t="shared" si="490"/>
        <v/>
      </c>
      <c r="AJ524" s="11" t="str">
        <f t="shared" si="490"/>
        <v/>
      </c>
      <c r="AK524" s="11" t="str">
        <f t="shared" si="490"/>
        <v/>
      </c>
      <c r="AL524" s="11" t="str">
        <f t="shared" si="490"/>
        <v/>
      </c>
      <c r="AM524" s="11" t="str">
        <f t="shared" si="490"/>
        <v/>
      </c>
      <c r="AN524" s="11" t="str">
        <f t="shared" si="490"/>
        <v/>
      </c>
      <c r="AO524" s="11" t="str">
        <f t="shared" si="490"/>
        <v/>
      </c>
      <c r="AP524" s="21" t="str">
        <f t="shared" si="396"/>
        <v>dunn-overdye-green, dunn-sand-overdye, dunn-toast-overdye, dunn-dawn, dunn-shadow, dunn-japan-optic, dunn-black-tech, dunn-dove-tech</v>
      </c>
    </row>
    <row r="525" ht="16.5" customHeight="1">
      <c r="A525" s="32" t="s">
        <v>34</v>
      </c>
      <c r="B525" s="32" t="s">
        <v>73</v>
      </c>
      <c r="C525" s="32" t="s">
        <v>3888</v>
      </c>
      <c r="D525" s="32" t="s">
        <v>3889</v>
      </c>
      <c r="E525" s="32" t="s">
        <v>3890</v>
      </c>
      <c r="F525" s="4" t="s">
        <v>3891</v>
      </c>
      <c r="G525" s="4" t="s">
        <v>3892</v>
      </c>
      <c r="H525" s="4" t="s">
        <v>3893</v>
      </c>
      <c r="K525" s="18"/>
      <c r="L525" s="33"/>
      <c r="M525" s="20"/>
      <c r="N525" s="20"/>
      <c r="O525" s="20"/>
      <c r="P525" s="20"/>
      <c r="Q525" s="20"/>
      <c r="R525" s="20"/>
      <c r="S525" s="20"/>
      <c r="T525" s="20"/>
      <c r="U525" s="34"/>
      <c r="AF525" s="11" t="str">
        <f t="shared" si="394"/>
        <v/>
      </c>
      <c r="AG525" s="11" t="str">
        <f t="shared" ref="AG525:AO525" si="491">if(not(isblank(M525)),", "&amp;M525,"")</f>
        <v/>
      </c>
      <c r="AH525" s="11" t="str">
        <f t="shared" si="491"/>
        <v/>
      </c>
      <c r="AI525" s="11" t="str">
        <f t="shared" si="491"/>
        <v/>
      </c>
      <c r="AJ525" s="11" t="str">
        <f t="shared" si="491"/>
        <v/>
      </c>
      <c r="AK525" s="11" t="str">
        <f t="shared" si="491"/>
        <v/>
      </c>
      <c r="AL525" s="11" t="str">
        <f t="shared" si="491"/>
        <v/>
      </c>
      <c r="AM525" s="11" t="str">
        <f t="shared" si="491"/>
        <v/>
      </c>
      <c r="AN525" s="11" t="str">
        <f t="shared" si="491"/>
        <v/>
      </c>
      <c r="AO525" s="11" t="str">
        <f t="shared" si="491"/>
        <v/>
      </c>
      <c r="AP525" s="21" t="str">
        <f t="shared" si="396"/>
        <v>wiley-silver, wiley-navy</v>
      </c>
    </row>
    <row r="526" ht="16.5" customHeight="1">
      <c r="A526" s="32" t="s">
        <v>34</v>
      </c>
      <c r="B526" s="32" t="s">
        <v>257</v>
      </c>
      <c r="C526" s="32" t="s">
        <v>2909</v>
      </c>
      <c r="D526" s="32" t="s">
        <v>3894</v>
      </c>
      <c r="E526" s="32" t="s">
        <v>3895</v>
      </c>
      <c r="F526" s="4" t="s">
        <v>3896</v>
      </c>
      <c r="G526" s="4" t="s">
        <v>3897</v>
      </c>
      <c r="H526" s="4" t="s">
        <v>1701</v>
      </c>
      <c r="K526" s="18"/>
      <c r="L526" s="33"/>
      <c r="M526" s="20"/>
      <c r="N526" s="20"/>
      <c r="O526" s="20"/>
      <c r="P526" s="20"/>
      <c r="Q526" s="20"/>
      <c r="R526" s="20"/>
      <c r="S526" s="20"/>
      <c r="T526" s="20"/>
      <c r="U526" s="34"/>
      <c r="AF526" s="11" t="str">
        <f t="shared" si="394"/>
        <v/>
      </c>
      <c r="AG526" s="11" t="str">
        <f t="shared" ref="AG526:AO526" si="492">if(not(isblank(M526)),", "&amp;M526,"")</f>
        <v/>
      </c>
      <c r="AH526" s="11" t="str">
        <f t="shared" si="492"/>
        <v/>
      </c>
      <c r="AI526" s="11" t="str">
        <f t="shared" si="492"/>
        <v/>
      </c>
      <c r="AJ526" s="11" t="str">
        <f t="shared" si="492"/>
        <v/>
      </c>
      <c r="AK526" s="11" t="str">
        <f t="shared" si="492"/>
        <v/>
      </c>
      <c r="AL526" s="11" t="str">
        <f t="shared" si="492"/>
        <v/>
      </c>
      <c r="AM526" s="11" t="str">
        <f t="shared" si="492"/>
        <v/>
      </c>
      <c r="AN526" s="11" t="str">
        <f t="shared" si="492"/>
        <v/>
      </c>
      <c r="AO526" s="11" t="str">
        <f t="shared" si="492"/>
        <v/>
      </c>
      <c r="AP526" s="21" t="str">
        <f t="shared" si="396"/>
        <v>barnes-japan-dawn, barnes-japan-black, barnes-japan-mole, barnes-japan-putty, barnes-japan-forest-fog, barnes-22-5-oz-japan-heavy-selvage, barnes-japan-rinse-selvage, barnes-japan-milk</v>
      </c>
    </row>
    <row r="527" ht="16.5" customHeight="1">
      <c r="A527" s="32" t="s">
        <v>34</v>
      </c>
      <c r="B527" s="32" t="s">
        <v>257</v>
      </c>
      <c r="C527" s="32" t="s">
        <v>2911</v>
      </c>
      <c r="D527" s="32" t="s">
        <v>3898</v>
      </c>
      <c r="E527" s="32" t="s">
        <v>3899</v>
      </c>
      <c r="F527" s="4" t="s">
        <v>3900</v>
      </c>
      <c r="G527" s="4" t="s">
        <v>3901</v>
      </c>
      <c r="H527" s="4" t="s">
        <v>3902</v>
      </c>
      <c r="K527" s="18"/>
      <c r="L527" s="33"/>
      <c r="M527" s="20"/>
      <c r="N527" s="20"/>
      <c r="O527" s="20"/>
      <c r="P527" s="20"/>
      <c r="Q527" s="20"/>
      <c r="R527" s="20"/>
      <c r="S527" s="20"/>
      <c r="T527" s="20"/>
      <c r="U527" s="34"/>
      <c r="AF527" s="11" t="str">
        <f t="shared" si="394"/>
        <v/>
      </c>
      <c r="AG527" s="11" t="str">
        <f t="shared" ref="AG527:AO527" si="493">if(not(isblank(M527)),", "&amp;M527,"")</f>
        <v/>
      </c>
      <c r="AH527" s="11" t="str">
        <f t="shared" si="493"/>
        <v/>
      </c>
      <c r="AI527" s="11" t="str">
        <f t="shared" si="493"/>
        <v/>
      </c>
      <c r="AJ527" s="11" t="str">
        <f t="shared" si="493"/>
        <v/>
      </c>
      <c r="AK527" s="11" t="str">
        <f t="shared" si="493"/>
        <v/>
      </c>
      <c r="AL527" s="11" t="str">
        <f t="shared" si="493"/>
        <v/>
      </c>
      <c r="AM527" s="11" t="str">
        <f t="shared" si="493"/>
        <v/>
      </c>
      <c r="AN527" s="11" t="str">
        <f t="shared" si="493"/>
        <v/>
      </c>
      <c r="AO527" s="11" t="str">
        <f t="shared" si="493"/>
        <v/>
      </c>
      <c r="AP527" s="21" t="str">
        <f t="shared" si="396"/>
        <v>barnes-japan-dawn, barnes-japan-fade, barnes-japan-black, barnes-japan-mole, barnes-japan-putty, barnes-japan-forest-fog, barnes-22-5-oz-japan-heavy-selvage, barnes-japan-rinse-selvage, barnes-japan-milk</v>
      </c>
    </row>
    <row r="528" ht="16.5" customHeight="1">
      <c r="A528" s="32" t="s">
        <v>34</v>
      </c>
      <c r="B528" s="32" t="s">
        <v>39</v>
      </c>
      <c r="C528" s="32" t="s">
        <v>3776</v>
      </c>
      <c r="D528" s="32" t="s">
        <v>3903</v>
      </c>
      <c r="E528" s="32" t="s">
        <v>3904</v>
      </c>
      <c r="F528" s="4" t="s">
        <v>3905</v>
      </c>
      <c r="G528" s="4" t="s">
        <v>3906</v>
      </c>
      <c r="H528" s="4"/>
      <c r="K528" s="18"/>
      <c r="L528" s="33"/>
      <c r="M528" s="20"/>
      <c r="N528" s="20"/>
      <c r="O528" s="20"/>
      <c r="P528" s="20"/>
      <c r="Q528" s="20"/>
      <c r="R528" s="20"/>
      <c r="S528" s="20"/>
      <c r="T528" s="20"/>
      <c r="U528" s="34"/>
      <c r="AF528" s="11" t="str">
        <f t="shared" si="394"/>
        <v/>
      </c>
      <c r="AG528" s="11" t="str">
        <f t="shared" ref="AG528:AO528" si="494">if(not(isblank(M528)),", "&amp;M528,"")</f>
        <v/>
      </c>
      <c r="AH528" s="11" t="str">
        <f t="shared" si="494"/>
        <v/>
      </c>
      <c r="AI528" s="11" t="str">
        <f t="shared" si="494"/>
        <v/>
      </c>
      <c r="AJ528" s="11" t="str">
        <f t="shared" si="494"/>
        <v/>
      </c>
      <c r="AK528" s="11" t="str">
        <f t="shared" si="494"/>
        <v/>
      </c>
      <c r="AL528" s="11" t="str">
        <f t="shared" si="494"/>
        <v/>
      </c>
      <c r="AM528" s="11" t="str">
        <f t="shared" si="494"/>
        <v/>
      </c>
      <c r="AN528" s="11" t="str">
        <f t="shared" si="494"/>
        <v/>
      </c>
      <c r="AO528" s="11" t="str">
        <f t="shared" si="494"/>
        <v/>
      </c>
      <c r="AP528" s="21" t="str">
        <f t="shared" si="396"/>
        <v>buck-white-oxford-1</v>
      </c>
    </row>
    <row r="529" ht="16.5" customHeight="1">
      <c r="A529" s="32" t="s">
        <v>34</v>
      </c>
      <c r="B529" s="32" t="s">
        <v>47</v>
      </c>
      <c r="C529" s="32" t="s">
        <v>1650</v>
      </c>
      <c r="D529" s="32" t="s">
        <v>1651</v>
      </c>
      <c r="E529" s="32" t="s">
        <v>3907</v>
      </c>
      <c r="F529" s="4" t="s">
        <v>1655</v>
      </c>
      <c r="G529" s="4" t="s">
        <v>1653</v>
      </c>
      <c r="H529" s="4" t="s">
        <v>3908</v>
      </c>
      <c r="K529" s="18"/>
      <c r="L529" s="33"/>
      <c r="M529" s="20"/>
      <c r="N529" s="20"/>
      <c r="O529" s="20"/>
      <c r="P529" s="20"/>
      <c r="Q529" s="20"/>
      <c r="R529" s="20"/>
      <c r="S529" s="20"/>
      <c r="T529" s="20"/>
      <c r="U529" s="34"/>
      <c r="AF529" s="11" t="str">
        <f t="shared" si="394"/>
        <v/>
      </c>
      <c r="AG529" s="11" t="str">
        <f t="shared" ref="AG529:AO529" si="495">if(not(isblank(M529)),", "&amp;M529,"")</f>
        <v/>
      </c>
      <c r="AH529" s="11" t="str">
        <f t="shared" si="495"/>
        <v/>
      </c>
      <c r="AI529" s="11" t="str">
        <f t="shared" si="495"/>
        <v/>
      </c>
      <c r="AJ529" s="11" t="str">
        <f t="shared" si="495"/>
        <v/>
      </c>
      <c r="AK529" s="11" t="str">
        <f t="shared" si="495"/>
        <v/>
      </c>
      <c r="AL529" s="11" t="str">
        <f t="shared" si="495"/>
        <v/>
      </c>
      <c r="AM529" s="11" t="str">
        <f t="shared" si="495"/>
        <v/>
      </c>
      <c r="AN529" s="11" t="str">
        <f t="shared" si="495"/>
        <v/>
      </c>
      <c r="AO529" s="11" t="str">
        <f t="shared" si="495"/>
        <v/>
      </c>
      <c r="AP529" s="21" t="str">
        <f t="shared" si="396"/>
        <v>dal-white</v>
      </c>
    </row>
    <row r="530" ht="16.5" customHeight="1">
      <c r="A530" s="32" t="s">
        <v>34</v>
      </c>
      <c r="B530" s="32" t="s">
        <v>47</v>
      </c>
      <c r="C530" s="32" t="s">
        <v>1653</v>
      </c>
      <c r="D530" s="32" t="s">
        <v>3909</v>
      </c>
      <c r="E530" s="32" t="s">
        <v>3907</v>
      </c>
      <c r="F530" s="4" t="s">
        <v>1655</v>
      </c>
      <c r="G530" s="4" t="s">
        <v>1650</v>
      </c>
      <c r="H530" s="4" t="s">
        <v>3910</v>
      </c>
      <c r="K530" s="18"/>
      <c r="L530" s="33"/>
      <c r="M530" s="20"/>
      <c r="N530" s="20"/>
      <c r="O530" s="20"/>
      <c r="P530" s="20"/>
      <c r="Q530" s="20"/>
      <c r="R530" s="20"/>
      <c r="S530" s="20"/>
      <c r="T530" s="20"/>
      <c r="U530" s="34"/>
      <c r="AF530" s="11" t="str">
        <f t="shared" si="394"/>
        <v/>
      </c>
      <c r="AG530" s="11" t="str">
        <f t="shared" ref="AG530:AO530" si="496">if(not(isblank(M530)),", "&amp;M530,"")</f>
        <v/>
      </c>
      <c r="AH530" s="11" t="str">
        <f t="shared" si="496"/>
        <v/>
      </c>
      <c r="AI530" s="11" t="str">
        <f t="shared" si="496"/>
        <v/>
      </c>
      <c r="AJ530" s="11" t="str">
        <f t="shared" si="496"/>
        <v/>
      </c>
      <c r="AK530" s="11" t="str">
        <f t="shared" si="496"/>
        <v/>
      </c>
      <c r="AL530" s="11" t="str">
        <f t="shared" si="496"/>
        <v/>
      </c>
      <c r="AM530" s="11" t="str">
        <f t="shared" si="496"/>
        <v/>
      </c>
      <c r="AN530" s="11" t="str">
        <f t="shared" si="496"/>
        <v/>
      </c>
      <c r="AO530" s="11" t="str">
        <f t="shared" si="496"/>
        <v/>
      </c>
      <c r="AP530" s="21" t="str">
        <f t="shared" si="396"/>
        <v>dal-black</v>
      </c>
    </row>
    <row r="531" ht="16.5" customHeight="1">
      <c r="A531" s="32" t="s">
        <v>34</v>
      </c>
      <c r="B531" s="32" t="s">
        <v>361</v>
      </c>
      <c r="C531" s="32" t="s">
        <v>3911</v>
      </c>
      <c r="D531" s="32" t="s">
        <v>3912</v>
      </c>
      <c r="E531" s="32" t="s">
        <v>3913</v>
      </c>
      <c r="F531" s="4" t="s">
        <v>3914</v>
      </c>
      <c r="G531" s="4" t="s">
        <v>3915</v>
      </c>
      <c r="H531" s="4" t="s">
        <v>1653</v>
      </c>
      <c r="K531" s="18"/>
      <c r="L531" s="33"/>
      <c r="M531" s="20"/>
      <c r="N531" s="20"/>
      <c r="O531" s="20"/>
      <c r="P531" s="20"/>
      <c r="Q531" s="20"/>
      <c r="R531" s="20"/>
      <c r="S531" s="20"/>
      <c r="T531" s="20"/>
      <c r="U531" s="34"/>
      <c r="AF531" s="11" t="str">
        <f t="shared" si="394"/>
        <v/>
      </c>
      <c r="AG531" s="11" t="str">
        <f t="shared" ref="AG531:AO531" si="497">if(not(isblank(M531)),", "&amp;M531,"")</f>
        <v/>
      </c>
      <c r="AH531" s="11" t="str">
        <f t="shared" si="497"/>
        <v/>
      </c>
      <c r="AI531" s="11" t="str">
        <f t="shared" si="497"/>
        <v/>
      </c>
      <c r="AJ531" s="11" t="str">
        <f t="shared" si="497"/>
        <v/>
      </c>
      <c r="AK531" s="11" t="str">
        <f t="shared" si="497"/>
        <v/>
      </c>
      <c r="AL531" s="11" t="str">
        <f t="shared" si="497"/>
        <v/>
      </c>
      <c r="AM531" s="11" t="str">
        <f t="shared" si="497"/>
        <v/>
      </c>
      <c r="AN531" s="11" t="str">
        <f t="shared" si="497"/>
        <v/>
      </c>
      <c r="AO531" s="11" t="str">
        <f t="shared" si="497"/>
        <v/>
      </c>
      <c r="AP531" s="21" t="str">
        <f t="shared" si="396"/>
        <v>dunn-black-tech, dunn-dove-tech, dunn-dusty-off-white-corduroy, dunn-navy, dunn-overdye-green, dunn-overdye-grisaille-1, dunn-sand-overdye, dunn-toast-overdye, dunn-shadow</v>
      </c>
    </row>
    <row r="532" ht="16.5" customHeight="1">
      <c r="A532" s="32" t="s">
        <v>34</v>
      </c>
      <c r="B532" s="32" t="s">
        <v>361</v>
      </c>
      <c r="C532" s="32" t="s">
        <v>1666</v>
      </c>
      <c r="D532" s="32" t="s">
        <v>1667</v>
      </c>
      <c r="E532" s="32" t="s">
        <v>3916</v>
      </c>
      <c r="F532" s="4" t="s">
        <v>3917</v>
      </c>
      <c r="G532" s="4" t="s">
        <v>3918</v>
      </c>
      <c r="K532" s="18"/>
      <c r="L532" s="33"/>
      <c r="M532" s="20"/>
      <c r="N532" s="20"/>
      <c r="O532" s="20"/>
      <c r="P532" s="20"/>
      <c r="Q532" s="20"/>
      <c r="R532" s="20"/>
      <c r="S532" s="20"/>
      <c r="T532" s="20"/>
      <c r="U532" s="34"/>
      <c r="AF532" s="11" t="str">
        <f t="shared" si="394"/>
        <v/>
      </c>
      <c r="AG532" s="11" t="str">
        <f t="shared" ref="AG532:AO532" si="498">if(not(isblank(M532)),", "&amp;M532,"")</f>
        <v/>
      </c>
      <c r="AH532" s="11" t="str">
        <f t="shared" si="498"/>
        <v/>
      </c>
      <c r="AI532" s="11" t="str">
        <f t="shared" si="498"/>
        <v/>
      </c>
      <c r="AJ532" s="11" t="str">
        <f t="shared" si="498"/>
        <v/>
      </c>
      <c r="AK532" s="11" t="str">
        <f t="shared" si="498"/>
        <v/>
      </c>
      <c r="AL532" s="11" t="str">
        <f t="shared" si="498"/>
        <v/>
      </c>
      <c r="AM532" s="11" t="str">
        <f t="shared" si="498"/>
        <v/>
      </c>
      <c r="AN532" s="11" t="str">
        <f t="shared" si="498"/>
        <v/>
      </c>
      <c r="AO532" s="11" t="str">
        <f t="shared" si="498"/>
        <v/>
      </c>
      <c r="AP532" s="21" t="str">
        <f t="shared" si="396"/>
        <v>dunn-black-tech, dunn-dawn, dunn-dove-tech, dunn-dusty-off-white-corduroy, dunn-navy, dunn-overdye-green, dunn-overdye-grisaille-1, dunn-sand-overdye, dunn-toast-overdye, dunn-shadow</v>
      </c>
    </row>
    <row r="533" ht="16.5" customHeight="1">
      <c r="A533" s="32" t="s">
        <v>34</v>
      </c>
      <c r="B533" s="32" t="s">
        <v>361</v>
      </c>
      <c r="C533" s="32" t="s">
        <v>3919</v>
      </c>
      <c r="D533" s="32" t="s">
        <v>3920</v>
      </c>
      <c r="E533" s="32" t="s">
        <v>3921</v>
      </c>
      <c r="F533" s="4" t="s">
        <v>3922</v>
      </c>
      <c r="G533" s="4" t="s">
        <v>3923</v>
      </c>
      <c r="H533" s="4" t="s">
        <v>1650</v>
      </c>
      <c r="K533" s="18"/>
      <c r="L533" s="33"/>
      <c r="M533" s="20"/>
      <c r="N533" s="20"/>
      <c r="O533" s="20"/>
      <c r="P533" s="20"/>
      <c r="Q533" s="20"/>
      <c r="R533" s="20"/>
      <c r="S533" s="20"/>
      <c r="T533" s="20"/>
      <c r="U533" s="34"/>
      <c r="AF533" s="11" t="str">
        <f t="shared" si="394"/>
        <v/>
      </c>
      <c r="AG533" s="11" t="str">
        <f t="shared" ref="AG533:AO533" si="499">if(not(isblank(M533)),", "&amp;M533,"")</f>
        <v/>
      </c>
      <c r="AH533" s="11" t="str">
        <f t="shared" si="499"/>
        <v/>
      </c>
      <c r="AI533" s="11" t="str">
        <f t="shared" si="499"/>
        <v/>
      </c>
      <c r="AJ533" s="11" t="str">
        <f t="shared" si="499"/>
        <v/>
      </c>
      <c r="AK533" s="11" t="str">
        <f t="shared" si="499"/>
        <v/>
      </c>
      <c r="AL533" s="11" t="str">
        <f t="shared" si="499"/>
        <v/>
      </c>
      <c r="AM533" s="11" t="str">
        <f t="shared" si="499"/>
        <v/>
      </c>
      <c r="AN533" s="11" t="str">
        <f t="shared" si="499"/>
        <v/>
      </c>
      <c r="AO533" s="11" t="str">
        <f t="shared" si="499"/>
        <v/>
      </c>
      <c r="AP533" s="21" t="str">
        <f t="shared" si="396"/>
        <v>dunn-black-tech, dunn-dawn, dunn-dove-tech, dunn-dusty-off-white-corduroy, dunn-navy, dunn-overdye-green, dunn-overdye-grisaille-1, dunn-toast-overdye, dunn-shadow, dunn-japan-optic</v>
      </c>
    </row>
    <row r="534" ht="16.5" customHeight="1">
      <c r="A534" s="32" t="s">
        <v>34</v>
      </c>
      <c r="B534" s="32" t="s">
        <v>361</v>
      </c>
      <c r="C534" s="32" t="s">
        <v>1672</v>
      </c>
      <c r="D534" s="32" t="s">
        <v>1673</v>
      </c>
      <c r="E534" s="32" t="s">
        <v>3924</v>
      </c>
      <c r="F534" s="4" t="s">
        <v>1675</v>
      </c>
      <c r="G534" s="4" t="s">
        <v>3925</v>
      </c>
      <c r="K534" s="18"/>
      <c r="L534" s="33"/>
      <c r="M534" s="20"/>
      <c r="N534" s="20"/>
      <c r="O534" s="20"/>
      <c r="P534" s="20"/>
      <c r="Q534" s="20"/>
      <c r="R534" s="20"/>
      <c r="S534" s="20"/>
      <c r="T534" s="20"/>
      <c r="U534" s="34"/>
      <c r="AF534" s="11" t="str">
        <f t="shared" si="394"/>
        <v/>
      </c>
      <c r="AG534" s="11" t="str">
        <f t="shared" ref="AG534:AO534" si="500">if(not(isblank(M534)),", "&amp;M534,"")</f>
        <v/>
      </c>
      <c r="AH534" s="11" t="str">
        <f t="shared" si="500"/>
        <v/>
      </c>
      <c r="AI534" s="11" t="str">
        <f t="shared" si="500"/>
        <v/>
      </c>
      <c r="AJ534" s="11" t="str">
        <f t="shared" si="500"/>
        <v/>
      </c>
      <c r="AK534" s="11" t="str">
        <f t="shared" si="500"/>
        <v/>
      </c>
      <c r="AL534" s="11" t="str">
        <f t="shared" si="500"/>
        <v/>
      </c>
      <c r="AM534" s="11" t="str">
        <f t="shared" si="500"/>
        <v/>
      </c>
      <c r="AN534" s="11" t="str">
        <f t="shared" si="500"/>
        <v/>
      </c>
      <c r="AO534" s="11" t="str">
        <f t="shared" si="500"/>
        <v/>
      </c>
      <c r="AP534" s="21" t="str">
        <f t="shared" si="396"/>
        <v>dunn-dawn, dunn-japan-optic, dunn-sand-overdye, dunn-toast-overdye, dunn-overdye-green, dunn-overdye-grisaille-1, dunn-black-tech, dunn-dove-tech</v>
      </c>
    </row>
    <row r="535" ht="16.5" customHeight="1">
      <c r="A535" s="32" t="s">
        <v>34</v>
      </c>
      <c r="B535" s="32" t="s">
        <v>330</v>
      </c>
      <c r="C535" s="32" t="s">
        <v>3926</v>
      </c>
      <c r="D535" s="32" t="s">
        <v>3927</v>
      </c>
      <c r="E535" s="32" t="s">
        <v>3928</v>
      </c>
      <c r="F535" s="4" t="s">
        <v>3929</v>
      </c>
      <c r="G535" s="4" t="s">
        <v>3930</v>
      </c>
      <c r="H535" s="4" t="s">
        <v>3931</v>
      </c>
      <c r="K535" s="18"/>
      <c r="L535" s="33"/>
      <c r="M535" s="20"/>
      <c r="N535" s="20"/>
      <c r="O535" s="20"/>
      <c r="P535" s="20"/>
      <c r="Q535" s="20"/>
      <c r="R535" s="20"/>
      <c r="S535" s="20"/>
      <c r="T535" s="20"/>
      <c r="U535" s="34"/>
      <c r="AF535" s="11" t="str">
        <f t="shared" si="394"/>
        <v/>
      </c>
      <c r="AG535" s="11" t="str">
        <f t="shared" ref="AG535:AO535" si="501">if(not(isblank(M535)),", "&amp;M535,"")</f>
        <v/>
      </c>
      <c r="AH535" s="11" t="str">
        <f t="shared" si="501"/>
        <v/>
      </c>
      <c r="AI535" s="11" t="str">
        <f t="shared" si="501"/>
        <v/>
      </c>
      <c r="AJ535" s="11" t="str">
        <f t="shared" si="501"/>
        <v/>
      </c>
      <c r="AK535" s="11" t="str">
        <f t="shared" si="501"/>
        <v/>
      </c>
      <c r="AL535" s="11" t="str">
        <f t="shared" si="501"/>
        <v/>
      </c>
      <c r="AM535" s="11" t="str">
        <f t="shared" si="501"/>
        <v/>
      </c>
      <c r="AN535" s="11" t="str">
        <f t="shared" si="501"/>
        <v/>
      </c>
      <c r="AO535" s="11" t="str">
        <f t="shared" si="501"/>
        <v/>
      </c>
      <c r="AP535" s="21" t="str">
        <f t="shared" si="396"/>
        <v>hilal-grey-rigid-cotton</v>
      </c>
    </row>
    <row r="536" ht="16.5" customHeight="1">
      <c r="A536" s="32" t="s">
        <v>34</v>
      </c>
      <c r="B536" s="32" t="s">
        <v>330</v>
      </c>
      <c r="C536" s="32" t="s">
        <v>3930</v>
      </c>
      <c r="D536" s="32" t="s">
        <v>3932</v>
      </c>
      <c r="E536" s="32" t="s">
        <v>3928</v>
      </c>
      <c r="F536" s="4" t="s">
        <v>3929</v>
      </c>
      <c r="G536" s="4" t="s">
        <v>3926</v>
      </c>
      <c r="H536" s="4" t="s">
        <v>3933</v>
      </c>
      <c r="K536" s="18"/>
      <c r="L536" s="33"/>
      <c r="M536" s="20"/>
      <c r="N536" s="20"/>
      <c r="O536" s="20"/>
      <c r="P536" s="20"/>
      <c r="Q536" s="20"/>
      <c r="R536" s="20"/>
      <c r="S536" s="20"/>
      <c r="T536" s="20"/>
      <c r="U536" s="34"/>
      <c r="AF536" s="11" t="str">
        <f t="shared" si="394"/>
        <v/>
      </c>
      <c r="AG536" s="11" t="str">
        <f t="shared" ref="AG536:AO536" si="502">if(not(isblank(M536)),", "&amp;M536,"")</f>
        <v/>
      </c>
      <c r="AH536" s="11" t="str">
        <f t="shared" si="502"/>
        <v/>
      </c>
      <c r="AI536" s="11" t="str">
        <f t="shared" si="502"/>
        <v/>
      </c>
      <c r="AJ536" s="11" t="str">
        <f t="shared" si="502"/>
        <v/>
      </c>
      <c r="AK536" s="11" t="str">
        <f t="shared" si="502"/>
        <v/>
      </c>
      <c r="AL536" s="11" t="str">
        <f t="shared" si="502"/>
        <v/>
      </c>
      <c r="AM536" s="11" t="str">
        <f t="shared" si="502"/>
        <v/>
      </c>
      <c r="AN536" s="11" t="str">
        <f t="shared" si="502"/>
        <v/>
      </c>
      <c r="AO536" s="11" t="str">
        <f t="shared" si="502"/>
        <v/>
      </c>
      <c r="AP536" s="21" t="str">
        <f t="shared" si="396"/>
        <v>hilal-black</v>
      </c>
    </row>
    <row r="537" ht="16.5" customHeight="1">
      <c r="A537" s="32" t="s">
        <v>34</v>
      </c>
      <c r="B537" s="32" t="s">
        <v>39</v>
      </c>
      <c r="C537" s="32" t="s">
        <v>3934</v>
      </c>
      <c r="D537" s="32" t="s">
        <v>3935</v>
      </c>
      <c r="E537" s="32" t="s">
        <v>3936</v>
      </c>
      <c r="F537" s="4" t="s">
        <v>3937</v>
      </c>
      <c r="G537" s="4" t="s">
        <v>3938</v>
      </c>
      <c r="H537" s="4" t="s">
        <v>3939</v>
      </c>
      <c r="K537" s="18"/>
      <c r="L537" s="33"/>
      <c r="M537" s="20"/>
      <c r="N537" s="20"/>
      <c r="O537" s="20"/>
      <c r="P537" s="20"/>
      <c r="Q537" s="20"/>
      <c r="R537" s="20"/>
      <c r="S537" s="20"/>
      <c r="T537" s="20"/>
      <c r="U537" s="34"/>
      <c r="AF537" s="11" t="str">
        <f t="shared" si="394"/>
        <v/>
      </c>
      <c r="AG537" s="11" t="str">
        <f t="shared" ref="AG537:AO537" si="503">if(not(isblank(M537)),", "&amp;M537,"")</f>
        <v/>
      </c>
      <c r="AH537" s="11" t="str">
        <f t="shared" si="503"/>
        <v/>
      </c>
      <c r="AI537" s="11" t="str">
        <f t="shared" si="503"/>
        <v/>
      </c>
      <c r="AJ537" s="11" t="str">
        <f t="shared" si="503"/>
        <v/>
      </c>
      <c r="AK537" s="11" t="str">
        <f t="shared" si="503"/>
        <v/>
      </c>
      <c r="AL537" s="11" t="str">
        <f t="shared" si="503"/>
        <v/>
      </c>
      <c r="AM537" s="11" t="str">
        <f t="shared" si="503"/>
        <v/>
      </c>
      <c r="AN537" s="11" t="str">
        <f t="shared" si="503"/>
        <v/>
      </c>
      <c r="AO537" s="11" t="str">
        <f t="shared" si="503"/>
        <v/>
      </c>
      <c r="AP537" s="21" t="str">
        <f t="shared" si="396"/>
        <v>huff-charcoal-fluid-merino, huff-charcoal-tech, huff-dove-voile, huff-grey-tech, huff-milk-tech, huff-taupe-fluid-merino, huff-weather-voile</v>
      </c>
    </row>
    <row r="538" ht="16.5" customHeight="1">
      <c r="A538" s="32" t="s">
        <v>34</v>
      </c>
      <c r="B538" s="32" t="s">
        <v>39</v>
      </c>
      <c r="C538" s="32" t="s">
        <v>3940</v>
      </c>
      <c r="D538" s="32" t="s">
        <v>3941</v>
      </c>
      <c r="E538" s="32" t="s">
        <v>3936</v>
      </c>
      <c r="F538" s="4" t="s">
        <v>3937</v>
      </c>
      <c r="G538" s="4" t="s">
        <v>3942</v>
      </c>
      <c r="H538" s="4" t="s">
        <v>2911</v>
      </c>
      <c r="K538" s="18"/>
      <c r="L538" s="33"/>
      <c r="M538" s="20"/>
      <c r="N538" s="20"/>
      <c r="O538" s="20"/>
      <c r="P538" s="20"/>
      <c r="Q538" s="20"/>
      <c r="R538" s="20"/>
      <c r="S538" s="20"/>
      <c r="T538" s="20"/>
      <c r="U538" s="34"/>
      <c r="AF538" s="11" t="str">
        <f t="shared" si="394"/>
        <v/>
      </c>
      <c r="AG538" s="11" t="str">
        <f t="shared" ref="AG538:AO538" si="504">if(not(isblank(M538)),", "&amp;M538,"")</f>
        <v/>
      </c>
      <c r="AH538" s="11" t="str">
        <f t="shared" si="504"/>
        <v/>
      </c>
      <c r="AI538" s="11" t="str">
        <f t="shared" si="504"/>
        <v/>
      </c>
      <c r="AJ538" s="11" t="str">
        <f t="shared" si="504"/>
        <v/>
      </c>
      <c r="AK538" s="11" t="str">
        <f t="shared" si="504"/>
        <v/>
      </c>
      <c r="AL538" s="11" t="str">
        <f t="shared" si="504"/>
        <v/>
      </c>
      <c r="AM538" s="11" t="str">
        <f t="shared" si="504"/>
        <v/>
      </c>
      <c r="AN538" s="11" t="str">
        <f t="shared" si="504"/>
        <v/>
      </c>
      <c r="AO538" s="11" t="str">
        <f t="shared" si="504"/>
        <v/>
      </c>
      <c r="AP538" s="21" t="str">
        <f t="shared" si="396"/>
        <v>huff-black-voile, huff-charcoal-fluid-merino, huff-charcoal-tech, huff-grey-tech, huff-milk-tech, huff-taupe-fluid-merino, huff-weather-voile</v>
      </c>
    </row>
    <row r="539" ht="16.5" customHeight="1">
      <c r="A539" s="32" t="s">
        <v>34</v>
      </c>
      <c r="B539" s="32" t="s">
        <v>39</v>
      </c>
      <c r="C539" s="32" t="s">
        <v>3943</v>
      </c>
      <c r="D539" s="32" t="s">
        <v>3944</v>
      </c>
      <c r="E539" s="32" t="s">
        <v>3936</v>
      </c>
      <c r="F539" s="4" t="s">
        <v>3937</v>
      </c>
      <c r="G539" s="4" t="s">
        <v>3945</v>
      </c>
      <c r="H539" s="4" t="s">
        <v>3946</v>
      </c>
      <c r="K539" s="18"/>
      <c r="L539" s="33"/>
      <c r="M539" s="20"/>
      <c r="N539" s="20"/>
      <c r="O539" s="20"/>
      <c r="P539" s="20"/>
      <c r="Q539" s="20"/>
      <c r="R539" s="20"/>
      <c r="S539" s="20"/>
      <c r="T539" s="20"/>
      <c r="U539" s="34"/>
      <c r="AF539" s="11" t="str">
        <f t="shared" si="394"/>
        <v/>
      </c>
      <c r="AG539" s="11" t="str">
        <f t="shared" ref="AG539:AO539" si="505">if(not(isblank(M539)),", "&amp;M539,"")</f>
        <v/>
      </c>
      <c r="AH539" s="11" t="str">
        <f t="shared" si="505"/>
        <v/>
      </c>
      <c r="AI539" s="11" t="str">
        <f t="shared" si="505"/>
        <v/>
      </c>
      <c r="AJ539" s="11" t="str">
        <f t="shared" si="505"/>
        <v/>
      </c>
      <c r="AK539" s="11" t="str">
        <f t="shared" si="505"/>
        <v/>
      </c>
      <c r="AL539" s="11" t="str">
        <f t="shared" si="505"/>
        <v/>
      </c>
      <c r="AM539" s="11" t="str">
        <f t="shared" si="505"/>
        <v/>
      </c>
      <c r="AN539" s="11" t="str">
        <f t="shared" si="505"/>
        <v/>
      </c>
      <c r="AO539" s="11" t="str">
        <f t="shared" si="505"/>
        <v/>
      </c>
      <c r="AP539" s="21" t="str">
        <f t="shared" si="396"/>
        <v>huff-black-voile, huff-charcoal-fluid-merino, huff-charcoal-tech, huff-dove-voile, huff-grey-tech, huff-milk-tech, huff-taupe-fluid-merino</v>
      </c>
    </row>
    <row r="540" ht="16.5" customHeight="1">
      <c r="A540" s="32" t="s">
        <v>34</v>
      </c>
      <c r="B540" s="32" t="s">
        <v>257</v>
      </c>
      <c r="C540" s="32" t="s">
        <v>1698</v>
      </c>
      <c r="D540" s="32" t="s">
        <v>1699</v>
      </c>
      <c r="E540" s="32" t="s">
        <v>3947</v>
      </c>
      <c r="F540" s="4" t="s">
        <v>1702</v>
      </c>
      <c r="G540" s="4" t="s">
        <v>3948</v>
      </c>
      <c r="H540" s="4" t="s">
        <v>1701</v>
      </c>
      <c r="K540" s="18"/>
      <c r="L540" s="33"/>
      <c r="M540" s="20"/>
      <c r="N540" s="20"/>
      <c r="O540" s="20"/>
      <c r="P540" s="20"/>
      <c r="Q540" s="20"/>
      <c r="R540" s="20"/>
      <c r="S540" s="20"/>
      <c r="T540" s="20"/>
      <c r="U540" s="34"/>
      <c r="AF540" s="11" t="str">
        <f t="shared" si="394"/>
        <v/>
      </c>
      <c r="AG540" s="11" t="str">
        <f t="shared" ref="AG540:AO540" si="506">if(not(isblank(M540)),", "&amp;M540,"")</f>
        <v/>
      </c>
      <c r="AH540" s="11" t="str">
        <f t="shared" si="506"/>
        <v/>
      </c>
      <c r="AI540" s="11" t="str">
        <f t="shared" si="506"/>
        <v/>
      </c>
      <c r="AJ540" s="11" t="str">
        <f t="shared" si="506"/>
        <v/>
      </c>
      <c r="AK540" s="11" t="str">
        <f t="shared" si="506"/>
        <v/>
      </c>
      <c r="AL540" s="11" t="str">
        <f t="shared" si="506"/>
        <v/>
      </c>
      <c r="AM540" s="11" t="str">
        <f t="shared" si="506"/>
        <v/>
      </c>
      <c r="AN540" s="11" t="str">
        <f t="shared" si="506"/>
        <v/>
      </c>
      <c r="AO540" s="11" t="str">
        <f t="shared" si="506"/>
        <v/>
      </c>
      <c r="AP540" s="21" t="str">
        <f t="shared" si="396"/>
        <v>kai-japan-black, kai-japan-dawn, kai-japan-fade</v>
      </c>
    </row>
    <row r="541" ht="16.5" customHeight="1">
      <c r="A541" s="32" t="s">
        <v>34</v>
      </c>
      <c r="B541" s="32" t="s">
        <v>39</v>
      </c>
      <c r="C541" s="32" t="s">
        <v>3949</v>
      </c>
      <c r="D541" s="32" t="s">
        <v>3950</v>
      </c>
      <c r="E541" s="32" t="s">
        <v>3951</v>
      </c>
      <c r="F541" s="4" t="s">
        <v>3952</v>
      </c>
      <c r="G541" s="4" t="s">
        <v>3953</v>
      </c>
      <c r="H541" s="4"/>
      <c r="K541" s="18"/>
      <c r="L541" s="33"/>
      <c r="M541" s="20"/>
      <c r="N541" s="20"/>
      <c r="O541" s="20"/>
      <c r="P541" s="20"/>
      <c r="Q541" s="20"/>
      <c r="R541" s="20"/>
      <c r="S541" s="20"/>
      <c r="T541" s="20"/>
      <c r="U541" s="34"/>
      <c r="AF541" s="11" t="str">
        <f t="shared" si="394"/>
        <v/>
      </c>
      <c r="AG541" s="11" t="str">
        <f t="shared" ref="AG541:AO541" si="507">if(not(isblank(M541)),", "&amp;M541,"")</f>
        <v/>
      </c>
      <c r="AH541" s="11" t="str">
        <f t="shared" si="507"/>
        <v/>
      </c>
      <c r="AI541" s="11" t="str">
        <f t="shared" si="507"/>
        <v/>
      </c>
      <c r="AJ541" s="11" t="str">
        <f t="shared" si="507"/>
        <v/>
      </c>
      <c r="AK541" s="11" t="str">
        <f t="shared" si="507"/>
        <v/>
      </c>
      <c r="AL541" s="11" t="str">
        <f t="shared" si="507"/>
        <v/>
      </c>
      <c r="AM541" s="11" t="str">
        <f t="shared" si="507"/>
        <v/>
      </c>
      <c r="AN541" s="11" t="str">
        <f t="shared" si="507"/>
        <v/>
      </c>
      <c r="AO541" s="11" t="str">
        <f t="shared" si="507"/>
        <v/>
      </c>
      <c r="AP541" s="21" t="str">
        <f t="shared" si="396"/>
        <v>kalum-milk-check</v>
      </c>
    </row>
    <row r="542" ht="16.5" customHeight="1">
      <c r="A542" s="32" t="s">
        <v>34</v>
      </c>
      <c r="B542" s="32" t="s">
        <v>39</v>
      </c>
      <c r="C542" s="32" t="s">
        <v>3953</v>
      </c>
      <c r="D542" s="32" t="s">
        <v>3954</v>
      </c>
      <c r="E542" s="32" t="s">
        <v>3955</v>
      </c>
      <c r="F542" s="4" t="s">
        <v>3956</v>
      </c>
      <c r="G542" s="4" t="s">
        <v>3949</v>
      </c>
      <c r="H542" s="4" t="s">
        <v>2911</v>
      </c>
      <c r="K542" s="18"/>
      <c r="L542" s="33"/>
      <c r="M542" s="20"/>
      <c r="N542" s="20"/>
      <c r="O542" s="20"/>
      <c r="P542" s="20"/>
      <c r="Q542" s="20"/>
      <c r="R542" s="20"/>
      <c r="S542" s="20"/>
      <c r="T542" s="20"/>
      <c r="U542" s="34"/>
      <c r="AF542" s="11" t="str">
        <f t="shared" si="394"/>
        <v/>
      </c>
      <c r="AG542" s="11" t="str">
        <f t="shared" ref="AG542:AO542" si="508">if(not(isblank(M542)),", "&amp;M542,"")</f>
        <v/>
      </c>
      <c r="AH542" s="11" t="str">
        <f t="shared" si="508"/>
        <v/>
      </c>
      <c r="AI542" s="11" t="str">
        <f t="shared" si="508"/>
        <v/>
      </c>
      <c r="AJ542" s="11" t="str">
        <f t="shared" si="508"/>
        <v/>
      </c>
      <c r="AK542" s="11" t="str">
        <f t="shared" si="508"/>
        <v/>
      </c>
      <c r="AL542" s="11" t="str">
        <f t="shared" si="508"/>
        <v/>
      </c>
      <c r="AM542" s="11" t="str">
        <f t="shared" si="508"/>
        <v/>
      </c>
      <c r="AN542" s="11" t="str">
        <f t="shared" si="508"/>
        <v/>
      </c>
      <c r="AO542" s="11" t="str">
        <f t="shared" si="508"/>
        <v/>
      </c>
      <c r="AP542" s="21" t="str">
        <f t="shared" si="396"/>
        <v>kalum-japan-optic-denim</v>
      </c>
    </row>
    <row r="543" ht="16.5" customHeight="1">
      <c r="A543" s="32" t="s">
        <v>34</v>
      </c>
      <c r="B543" s="32" t="s">
        <v>39</v>
      </c>
      <c r="C543" s="32" t="s">
        <v>3957</v>
      </c>
      <c r="D543" s="32" t="s">
        <v>3958</v>
      </c>
      <c r="E543" s="32" t="s">
        <v>3959</v>
      </c>
      <c r="F543" s="4" t="s">
        <v>3960</v>
      </c>
      <c r="G543" s="4" t="s">
        <v>3961</v>
      </c>
      <c r="K543" s="18"/>
      <c r="L543" s="33"/>
      <c r="M543" s="20"/>
      <c r="N543" s="20"/>
      <c r="O543" s="20"/>
      <c r="P543" s="20"/>
      <c r="Q543" s="20"/>
      <c r="R543" s="20"/>
      <c r="S543" s="20"/>
      <c r="T543" s="20"/>
      <c r="U543" s="34"/>
      <c r="AF543" s="11" t="str">
        <f t="shared" si="394"/>
        <v/>
      </c>
      <c r="AG543" s="11" t="str">
        <f t="shared" ref="AG543:AO543" si="509">if(not(isblank(M543)),", "&amp;M543,"")</f>
        <v/>
      </c>
      <c r="AH543" s="11" t="str">
        <f t="shared" si="509"/>
        <v/>
      </c>
      <c r="AI543" s="11" t="str">
        <f t="shared" si="509"/>
        <v/>
      </c>
      <c r="AJ543" s="11" t="str">
        <f t="shared" si="509"/>
        <v/>
      </c>
      <c r="AK543" s="11" t="str">
        <f t="shared" si="509"/>
        <v/>
      </c>
      <c r="AL543" s="11" t="str">
        <f t="shared" si="509"/>
        <v/>
      </c>
      <c r="AM543" s="11" t="str">
        <f t="shared" si="509"/>
        <v/>
      </c>
      <c r="AN543" s="11" t="str">
        <f t="shared" si="509"/>
        <v/>
      </c>
      <c r="AO543" s="11" t="str">
        <f t="shared" si="509"/>
        <v/>
      </c>
      <c r="AP543" s="21" t="str">
        <f t="shared" si="396"/>
        <v>keen-grisaille-noil-silk, shea-japan-black-ikat, keen-raw-japan-black-noil-silk, keen-raw-nut-checked-loose, keen-raw-shadow-check, keen-silver-fox, keen-string-noil-silk</v>
      </c>
    </row>
    <row r="544" ht="16.5" customHeight="1">
      <c r="A544" s="32" t="s">
        <v>34</v>
      </c>
      <c r="B544" s="32" t="s">
        <v>39</v>
      </c>
      <c r="C544" s="32" t="s">
        <v>3962</v>
      </c>
      <c r="D544" s="32" t="s">
        <v>3963</v>
      </c>
      <c r="E544" s="32" t="s">
        <v>3964</v>
      </c>
      <c r="F544" s="4" t="s">
        <v>3965</v>
      </c>
      <c r="G544" s="4" t="s">
        <v>3961</v>
      </c>
      <c r="K544" s="18"/>
      <c r="L544" s="33"/>
      <c r="M544" s="20"/>
      <c r="N544" s="20"/>
      <c r="O544" s="20"/>
      <c r="P544" s="20"/>
      <c r="Q544" s="20"/>
      <c r="R544" s="20"/>
      <c r="S544" s="20"/>
      <c r="T544" s="20"/>
      <c r="U544" s="34"/>
      <c r="AF544" s="11" t="str">
        <f t="shared" si="394"/>
        <v/>
      </c>
      <c r="AG544" s="11" t="str">
        <f t="shared" ref="AG544:AO544" si="510">if(not(isblank(M544)),", "&amp;M544,"")</f>
        <v/>
      </c>
      <c r="AH544" s="11" t="str">
        <f t="shared" si="510"/>
        <v/>
      </c>
      <c r="AI544" s="11" t="str">
        <f t="shared" si="510"/>
        <v/>
      </c>
      <c r="AJ544" s="11" t="str">
        <f t="shared" si="510"/>
        <v/>
      </c>
      <c r="AK544" s="11" t="str">
        <f t="shared" si="510"/>
        <v/>
      </c>
      <c r="AL544" s="11" t="str">
        <f t="shared" si="510"/>
        <v/>
      </c>
      <c r="AM544" s="11" t="str">
        <f t="shared" si="510"/>
        <v/>
      </c>
      <c r="AN544" s="11" t="str">
        <f t="shared" si="510"/>
        <v/>
      </c>
      <c r="AO544" s="11" t="str">
        <f t="shared" si="510"/>
        <v/>
      </c>
      <c r="AP544" s="21" t="str">
        <f t="shared" si="396"/>
        <v>keen-grisaille-noil-silk, shea-japan-black-ikat, keen-raw-japan-black-noil-silk, keen-raw-nut-checked-loose, keen-raw-shadow-check, keen-silver-fox, keen-string-noil-silk</v>
      </c>
    </row>
    <row r="545" ht="16.5" customHeight="1">
      <c r="A545" s="32" t="s">
        <v>34</v>
      </c>
      <c r="B545" s="32" t="s">
        <v>39</v>
      </c>
      <c r="C545" s="32" t="s">
        <v>3966</v>
      </c>
      <c r="D545" s="32" t="s">
        <v>3967</v>
      </c>
      <c r="E545" s="32" t="s">
        <v>3968</v>
      </c>
      <c r="F545" s="4" t="s">
        <v>3969</v>
      </c>
      <c r="G545" s="4" t="s">
        <v>3961</v>
      </c>
      <c r="K545" s="18"/>
      <c r="L545" s="35"/>
      <c r="M545" s="19"/>
      <c r="N545" s="20"/>
      <c r="O545" s="20"/>
      <c r="P545" s="20"/>
      <c r="Q545" s="20"/>
      <c r="R545" s="20"/>
      <c r="S545" s="20"/>
      <c r="T545" s="20"/>
      <c r="U545" s="34"/>
      <c r="AF545" s="11" t="str">
        <f t="shared" si="394"/>
        <v/>
      </c>
      <c r="AG545" s="11" t="str">
        <f t="shared" ref="AG545:AO545" si="511">if(not(isblank(M545)),", "&amp;M545,"")</f>
        <v/>
      </c>
      <c r="AH545" s="11" t="str">
        <f t="shared" si="511"/>
        <v/>
      </c>
      <c r="AI545" s="11" t="str">
        <f t="shared" si="511"/>
        <v/>
      </c>
      <c r="AJ545" s="11" t="str">
        <f t="shared" si="511"/>
        <v/>
      </c>
      <c r="AK545" s="11" t="str">
        <f t="shared" si="511"/>
        <v/>
      </c>
      <c r="AL545" s="11" t="str">
        <f t="shared" si="511"/>
        <v/>
      </c>
      <c r="AM545" s="11" t="str">
        <f t="shared" si="511"/>
        <v/>
      </c>
      <c r="AN545" s="11" t="str">
        <f t="shared" si="511"/>
        <v/>
      </c>
      <c r="AO545" s="11" t="str">
        <f t="shared" si="511"/>
        <v/>
      </c>
      <c r="AP545" s="21" t="str">
        <f t="shared" si="396"/>
        <v>keen-grisaille-noil-silk, shea-japan-black-ikat, keen-raw-japan-black-noil-silk, keen-raw-nut-checked-loose, keen-raw-shadow-check, keen-silver-fox, keen-string-noil-silk</v>
      </c>
    </row>
    <row r="546" ht="16.5" customHeight="1">
      <c r="A546" s="32" t="s">
        <v>34</v>
      </c>
      <c r="B546" s="32" t="s">
        <v>52</v>
      </c>
      <c r="C546" s="32" t="s">
        <v>1730</v>
      </c>
      <c r="D546" s="32" t="s">
        <v>1731</v>
      </c>
      <c r="E546" s="32" t="s">
        <v>3970</v>
      </c>
      <c r="F546" s="4" t="s">
        <v>1734</v>
      </c>
      <c r="G546" s="4" t="s">
        <v>1733</v>
      </c>
      <c r="H546" s="4" t="s">
        <v>3971</v>
      </c>
      <c r="K546" s="18"/>
      <c r="L546" s="33"/>
      <c r="M546" s="20"/>
      <c r="N546" s="20"/>
      <c r="O546" s="20"/>
      <c r="P546" s="20"/>
      <c r="Q546" s="20"/>
      <c r="R546" s="20"/>
      <c r="S546" s="20"/>
      <c r="T546" s="20"/>
      <c r="U546" s="34"/>
      <c r="AF546" s="11" t="str">
        <f t="shared" si="394"/>
        <v/>
      </c>
      <c r="AG546" s="11" t="str">
        <f t="shared" ref="AG546:AO546" si="512">if(not(isblank(M546)),", "&amp;M546,"")</f>
        <v/>
      </c>
      <c r="AH546" s="11" t="str">
        <f t="shared" si="512"/>
        <v/>
      </c>
      <c r="AI546" s="11" t="str">
        <f t="shared" si="512"/>
        <v/>
      </c>
      <c r="AJ546" s="11" t="str">
        <f t="shared" si="512"/>
        <v/>
      </c>
      <c r="AK546" s="11" t="str">
        <f t="shared" si="512"/>
        <v/>
      </c>
      <c r="AL546" s="11" t="str">
        <f t="shared" si="512"/>
        <v/>
      </c>
      <c r="AM546" s="11" t="str">
        <f t="shared" si="512"/>
        <v/>
      </c>
      <c r="AN546" s="11" t="str">
        <f t="shared" si="512"/>
        <v/>
      </c>
      <c r="AO546" s="11" t="str">
        <f t="shared" si="512"/>
        <v/>
      </c>
      <c r="AP546" s="21" t="str">
        <f t="shared" si="396"/>
        <v>les-japan-milk</v>
      </c>
    </row>
    <row r="547" ht="16.5" customHeight="1">
      <c r="A547" s="32" t="s">
        <v>34</v>
      </c>
      <c r="B547" s="32" t="s">
        <v>52</v>
      </c>
      <c r="C547" s="32" t="s">
        <v>1740</v>
      </c>
      <c r="D547" s="32" t="s">
        <v>1741</v>
      </c>
      <c r="E547" s="32" t="s">
        <v>3972</v>
      </c>
      <c r="F547" s="4" t="s">
        <v>1744</v>
      </c>
      <c r="G547" s="4"/>
      <c r="H547" s="4" t="s">
        <v>1743</v>
      </c>
      <c r="K547" s="18"/>
      <c r="L547" s="35" t="s">
        <v>3973</v>
      </c>
      <c r="M547" s="19" t="s">
        <v>3974</v>
      </c>
      <c r="N547" s="20"/>
      <c r="O547" s="20"/>
      <c r="P547" s="20"/>
      <c r="Q547" s="20"/>
      <c r="R547" s="20"/>
      <c r="S547" s="20"/>
      <c r="T547" s="20"/>
      <c r="U547" s="34"/>
      <c r="AF547" s="11" t="str">
        <f t="shared" si="394"/>
        <v>j905-rachel-duck-egg</v>
      </c>
      <c r="AG547" s="11" t="str">
        <f t="shared" ref="AG547:AO547" si="513">if(not(isblank(M547)),", "&amp;M547,"")</f>
        <v>, rachel-black</v>
      </c>
      <c r="AH547" s="11" t="str">
        <f t="shared" si="513"/>
        <v/>
      </c>
      <c r="AI547" s="11" t="str">
        <f t="shared" si="513"/>
        <v/>
      </c>
      <c r="AJ547" s="11" t="str">
        <f t="shared" si="513"/>
        <v/>
      </c>
      <c r="AK547" s="11" t="str">
        <f t="shared" si="513"/>
        <v/>
      </c>
      <c r="AL547" s="11" t="str">
        <f t="shared" si="513"/>
        <v/>
      </c>
      <c r="AM547" s="11" t="str">
        <f t="shared" si="513"/>
        <v/>
      </c>
      <c r="AN547" s="11" t="str">
        <f t="shared" si="513"/>
        <v/>
      </c>
      <c r="AO547" s="11" t="str">
        <f t="shared" si="513"/>
        <v/>
      </c>
      <c r="AP547" s="21" t="str">
        <f t="shared" si="396"/>
        <v>j905-rachel-duck-egg, rachel-black</v>
      </c>
    </row>
    <row r="548" ht="16.5" customHeight="1">
      <c r="A548" s="32" t="s">
        <v>34</v>
      </c>
      <c r="B548" s="32" t="s">
        <v>330</v>
      </c>
      <c r="C548" s="32" t="s">
        <v>3454</v>
      </c>
      <c r="D548" s="32" t="s">
        <v>3975</v>
      </c>
      <c r="E548" s="32" t="s">
        <v>3976</v>
      </c>
      <c r="F548" s="4" t="s">
        <v>3977</v>
      </c>
      <c r="G548" s="4" t="s">
        <v>3978</v>
      </c>
      <c r="H548" s="4" t="s">
        <v>3979</v>
      </c>
      <c r="K548" s="18"/>
      <c r="L548" s="35" t="s">
        <v>3980</v>
      </c>
      <c r="M548" s="19" t="s">
        <v>3974</v>
      </c>
      <c r="N548" s="20"/>
      <c r="O548" s="20"/>
      <c r="P548" s="20"/>
      <c r="Q548" s="20"/>
      <c r="R548" s="20"/>
      <c r="S548" s="20"/>
      <c r="T548" s="20"/>
      <c r="U548" s="34"/>
      <c r="AF548" s="11" t="str">
        <f t="shared" si="394"/>
        <v>j905-rachel-lt-grey</v>
      </c>
      <c r="AG548" s="11" t="str">
        <f t="shared" ref="AG548:AO548" si="514">if(not(isblank(M548)),", "&amp;M548,"")</f>
        <v>, rachel-black</v>
      </c>
      <c r="AH548" s="11" t="str">
        <f t="shared" si="514"/>
        <v/>
      </c>
      <c r="AI548" s="11" t="str">
        <f t="shared" si="514"/>
        <v/>
      </c>
      <c r="AJ548" s="11" t="str">
        <f t="shared" si="514"/>
        <v/>
      </c>
      <c r="AK548" s="11" t="str">
        <f t="shared" si="514"/>
        <v/>
      </c>
      <c r="AL548" s="11" t="str">
        <f t="shared" si="514"/>
        <v/>
      </c>
      <c r="AM548" s="11" t="str">
        <f t="shared" si="514"/>
        <v/>
      </c>
      <c r="AN548" s="11" t="str">
        <f t="shared" si="514"/>
        <v/>
      </c>
      <c r="AO548" s="11" t="str">
        <f t="shared" si="514"/>
        <v/>
      </c>
      <c r="AP548" s="21" t="str">
        <f t="shared" si="396"/>
        <v>j905-rachel-lt-grey, rachel-black</v>
      </c>
    </row>
    <row r="549" ht="16.5" customHeight="1">
      <c r="A549" s="32" t="s">
        <v>34</v>
      </c>
      <c r="B549" s="32" t="s">
        <v>330</v>
      </c>
      <c r="C549" s="32" t="s">
        <v>3456</v>
      </c>
      <c r="D549" s="32" t="s">
        <v>3981</v>
      </c>
      <c r="E549" s="32" t="s">
        <v>3976</v>
      </c>
      <c r="F549" s="4" t="s">
        <v>3982</v>
      </c>
      <c r="G549" s="4" t="s">
        <v>3983</v>
      </c>
      <c r="H549" s="4" t="s">
        <v>3850</v>
      </c>
      <c r="K549" s="18"/>
      <c r="L549" s="35" t="s">
        <v>3980</v>
      </c>
      <c r="M549" s="19" t="s">
        <v>3973</v>
      </c>
      <c r="N549" s="19"/>
      <c r="O549" s="19"/>
      <c r="P549" s="19"/>
      <c r="Q549" s="19"/>
      <c r="R549" s="19"/>
      <c r="S549" s="20"/>
      <c r="T549" s="20"/>
      <c r="U549" s="34"/>
      <c r="AF549" s="11" t="str">
        <f t="shared" si="394"/>
        <v>j905-rachel-lt-grey</v>
      </c>
      <c r="AG549" s="11" t="str">
        <f t="shared" ref="AG549:AO549" si="515">if(not(isblank(M549)),", "&amp;M549,"")</f>
        <v>, j905-rachel-duck-egg</v>
      </c>
      <c r="AH549" s="11" t="str">
        <f t="shared" si="515"/>
        <v/>
      </c>
      <c r="AI549" s="11" t="str">
        <f t="shared" si="515"/>
        <v/>
      </c>
      <c r="AJ549" s="11" t="str">
        <f t="shared" si="515"/>
        <v/>
      </c>
      <c r="AK549" s="11" t="str">
        <f t="shared" si="515"/>
        <v/>
      </c>
      <c r="AL549" s="11" t="str">
        <f t="shared" si="515"/>
        <v/>
      </c>
      <c r="AM549" s="11" t="str">
        <f t="shared" si="515"/>
        <v/>
      </c>
      <c r="AN549" s="11" t="str">
        <f t="shared" si="515"/>
        <v/>
      </c>
      <c r="AO549" s="11" t="str">
        <f t="shared" si="515"/>
        <v/>
      </c>
      <c r="AP549" s="21" t="str">
        <f t="shared" si="396"/>
        <v>j905-rachel-lt-grey, j905-rachel-duck-egg</v>
      </c>
    </row>
    <row r="550" ht="16.5" customHeight="1">
      <c r="A550" s="32" t="s">
        <v>34</v>
      </c>
      <c r="B550" s="32" t="s">
        <v>35</v>
      </c>
      <c r="C550" s="32" t="s">
        <v>3984</v>
      </c>
      <c r="D550" s="32" t="s">
        <v>3985</v>
      </c>
      <c r="E550" s="32" t="s">
        <v>3686</v>
      </c>
      <c r="F550" s="4" t="s">
        <v>3986</v>
      </c>
      <c r="G550" s="4" t="s">
        <v>3987</v>
      </c>
      <c r="K550" s="18"/>
      <c r="L550" s="33"/>
      <c r="M550" s="20"/>
      <c r="N550" s="20"/>
      <c r="O550" s="20"/>
      <c r="P550" s="20"/>
      <c r="Q550" s="20"/>
      <c r="R550" s="20"/>
      <c r="S550" s="20"/>
      <c r="T550" s="20"/>
      <c r="U550" s="34"/>
      <c r="AF550" s="11" t="str">
        <f t="shared" si="394"/>
        <v/>
      </c>
      <c r="AG550" s="11" t="str">
        <f t="shared" ref="AG550:AO550" si="516">if(not(isblank(M550)),", "&amp;M550,"")</f>
        <v/>
      </c>
      <c r="AH550" s="11" t="str">
        <f t="shared" si="516"/>
        <v/>
      </c>
      <c r="AI550" s="11" t="str">
        <f t="shared" si="516"/>
        <v/>
      </c>
      <c r="AJ550" s="11" t="str">
        <f t="shared" si="516"/>
        <v/>
      </c>
      <c r="AK550" s="11" t="str">
        <f t="shared" si="516"/>
        <v/>
      </c>
      <c r="AL550" s="11" t="str">
        <f t="shared" si="516"/>
        <v/>
      </c>
      <c r="AM550" s="11" t="str">
        <f t="shared" si="516"/>
        <v/>
      </c>
      <c r="AN550" s="11" t="str">
        <f t="shared" si="516"/>
        <v/>
      </c>
      <c r="AO550" s="11" t="str">
        <f t="shared" si="516"/>
        <v/>
      </c>
      <c r="AP550" s="21" t="str">
        <f t="shared" si="396"/>
        <v>needle-tee-charcoal, needle-tee-white</v>
      </c>
    </row>
    <row r="551" ht="16.5" customHeight="1">
      <c r="A551" s="32" t="s">
        <v>34</v>
      </c>
      <c r="B551" s="32" t="s">
        <v>35</v>
      </c>
      <c r="C551" s="32" t="s">
        <v>3988</v>
      </c>
      <c r="D551" s="32" t="s">
        <v>3989</v>
      </c>
      <c r="E551" s="32" t="s">
        <v>3990</v>
      </c>
      <c r="F551" s="4" t="s">
        <v>3991</v>
      </c>
      <c r="G551" s="4" t="s">
        <v>3992</v>
      </c>
      <c r="H551" s="4" t="s">
        <v>3661</v>
      </c>
      <c r="K551" s="18"/>
      <c r="L551" s="33"/>
      <c r="M551" s="20"/>
      <c r="N551" s="20"/>
      <c r="O551" s="20"/>
      <c r="P551" s="20"/>
      <c r="Q551" s="20"/>
      <c r="R551" s="20"/>
      <c r="S551" s="20"/>
      <c r="T551" s="20"/>
      <c r="U551" s="34"/>
      <c r="AF551" s="11" t="str">
        <f t="shared" si="394"/>
        <v/>
      </c>
      <c r="AG551" s="11" t="str">
        <f t="shared" ref="AG551:AO551" si="517">if(not(isblank(M551)),", "&amp;M551,"")</f>
        <v/>
      </c>
      <c r="AH551" s="11" t="str">
        <f t="shared" si="517"/>
        <v/>
      </c>
      <c r="AI551" s="11" t="str">
        <f t="shared" si="517"/>
        <v/>
      </c>
      <c r="AJ551" s="11" t="str">
        <f t="shared" si="517"/>
        <v/>
      </c>
      <c r="AK551" s="11" t="str">
        <f t="shared" si="517"/>
        <v/>
      </c>
      <c r="AL551" s="11" t="str">
        <f t="shared" si="517"/>
        <v/>
      </c>
      <c r="AM551" s="11" t="str">
        <f t="shared" si="517"/>
        <v/>
      </c>
      <c r="AN551" s="11" t="str">
        <f t="shared" si="517"/>
        <v/>
      </c>
      <c r="AO551" s="11" t="str">
        <f t="shared" si="517"/>
        <v/>
      </c>
      <c r="AP551" s="21" t="str">
        <f t="shared" si="396"/>
        <v>nelson-black, nelson-bonnet-overdye, nelson-light-grey, nelson-putty-overdye, nelson-raw-indigo-stripe, nelson-spice-overdye, nelson-toasted, nelson-white</v>
      </c>
    </row>
    <row r="552" ht="16.5" customHeight="1">
      <c r="A552" s="32" t="s">
        <v>34</v>
      </c>
      <c r="B552" s="32" t="s">
        <v>35</v>
      </c>
      <c r="C552" s="32" t="s">
        <v>3993</v>
      </c>
      <c r="D552" s="32" t="s">
        <v>3994</v>
      </c>
      <c r="E552" s="32" t="s">
        <v>3995</v>
      </c>
      <c r="F552" s="4" t="s">
        <v>3996</v>
      </c>
      <c r="G552" s="4" t="s">
        <v>3997</v>
      </c>
      <c r="K552" s="18"/>
      <c r="L552" s="33"/>
      <c r="M552" s="20"/>
      <c r="N552" s="20"/>
      <c r="O552" s="20"/>
      <c r="P552" s="20"/>
      <c r="Q552" s="20"/>
      <c r="R552" s="20"/>
      <c r="S552" s="20"/>
      <c r="T552" s="20"/>
      <c r="U552" s="34"/>
      <c r="AF552" s="11" t="str">
        <f t="shared" si="394"/>
        <v/>
      </c>
      <c r="AG552" s="11" t="str">
        <f t="shared" ref="AG552:AO552" si="518">if(not(isblank(M552)),", "&amp;M552,"")</f>
        <v/>
      </c>
      <c r="AH552" s="11" t="str">
        <f t="shared" si="518"/>
        <v/>
      </c>
      <c r="AI552" s="11" t="str">
        <f t="shared" si="518"/>
        <v/>
      </c>
      <c r="AJ552" s="11" t="str">
        <f t="shared" si="518"/>
        <v/>
      </c>
      <c r="AK552" s="11" t="str">
        <f t="shared" si="518"/>
        <v/>
      </c>
      <c r="AL552" s="11" t="str">
        <f t="shared" si="518"/>
        <v/>
      </c>
      <c r="AM552" s="11" t="str">
        <f t="shared" si="518"/>
        <v/>
      </c>
      <c r="AN552" s="11" t="str">
        <f t="shared" si="518"/>
        <v/>
      </c>
      <c r="AO552" s="11" t="str">
        <f t="shared" si="518"/>
        <v/>
      </c>
      <c r="AP552" s="21" t="str">
        <f t="shared" si="396"/>
        <v>nelson-black, nelson-bonnet-overdye, nelson-grisaille-overdye, nelson-light-grey, nelson-putty-overdye, nelson-spice-overdye, nelson-toasted, nelson-white</v>
      </c>
    </row>
    <row r="553" ht="16.5" customHeight="1">
      <c r="A553" s="32" t="s">
        <v>34</v>
      </c>
      <c r="B553" s="32" t="s">
        <v>35</v>
      </c>
      <c r="C553" s="32" t="s">
        <v>3998</v>
      </c>
      <c r="D553" s="32" t="s">
        <v>3999</v>
      </c>
      <c r="E553" s="32" t="s">
        <v>4000</v>
      </c>
      <c r="F553" s="4" t="s">
        <v>4001</v>
      </c>
      <c r="G553" s="4" t="s">
        <v>4002</v>
      </c>
      <c r="H553" s="4" t="s">
        <v>4003</v>
      </c>
      <c r="K553" s="18"/>
      <c r="L553" s="35" t="s">
        <v>4004</v>
      </c>
      <c r="M553" s="20"/>
      <c r="N553" s="20"/>
      <c r="O553" s="20"/>
      <c r="P553" s="20"/>
      <c r="Q553" s="20"/>
      <c r="R553" s="20"/>
      <c r="S553" s="20"/>
      <c r="T553" s="20"/>
      <c r="U553" s="34"/>
      <c r="AF553" s="11" t="str">
        <f t="shared" si="394"/>
        <v>eyre-light-grey-cashmere</v>
      </c>
      <c r="AG553" s="11" t="str">
        <f t="shared" ref="AG553:AO553" si="519">if(not(isblank(M553)),", "&amp;M553,"")</f>
        <v/>
      </c>
      <c r="AH553" s="11" t="str">
        <f t="shared" si="519"/>
        <v/>
      </c>
      <c r="AI553" s="11" t="str">
        <f t="shared" si="519"/>
        <v/>
      </c>
      <c r="AJ553" s="11" t="str">
        <f t="shared" si="519"/>
        <v/>
      </c>
      <c r="AK553" s="11" t="str">
        <f t="shared" si="519"/>
        <v/>
      </c>
      <c r="AL553" s="11" t="str">
        <f t="shared" si="519"/>
        <v/>
      </c>
      <c r="AM553" s="11" t="str">
        <f t="shared" si="519"/>
        <v/>
      </c>
      <c r="AN553" s="11" t="str">
        <f t="shared" si="519"/>
        <v/>
      </c>
      <c r="AO553" s="11" t="str">
        <f t="shared" si="519"/>
        <v/>
      </c>
      <c r="AP553" s="21" t="str">
        <f t="shared" si="396"/>
        <v>eyre-light-grey-cashmere</v>
      </c>
    </row>
    <row r="554" ht="16.5" customHeight="1">
      <c r="A554" s="32" t="s">
        <v>34</v>
      </c>
      <c r="B554" s="32" t="s">
        <v>330</v>
      </c>
      <c r="C554" s="32" t="s">
        <v>4005</v>
      </c>
      <c r="D554" s="32" t="s">
        <v>4006</v>
      </c>
      <c r="E554" s="32" t="s">
        <v>4007</v>
      </c>
      <c r="F554" s="4" t="s">
        <v>4008</v>
      </c>
      <c r="G554" s="4" t="s">
        <v>4009</v>
      </c>
      <c r="H554" s="4" t="s">
        <v>4010</v>
      </c>
      <c r="K554" s="18"/>
      <c r="L554" s="46" t="s">
        <v>4011</v>
      </c>
      <c r="M554" s="47" t="s">
        <v>4012</v>
      </c>
      <c r="N554" s="20"/>
      <c r="O554" s="20"/>
      <c r="P554" s="20"/>
      <c r="Q554" s="20"/>
      <c r="R554" s="20"/>
      <c r="S554" s="20"/>
      <c r="T554" s="20"/>
      <c r="U554" s="34"/>
      <c r="AF554" s="11" t="str">
        <f t="shared" si="394"/>
        <v>stanton-mid-denim-cashmere</v>
      </c>
      <c r="AG554" s="11" t="str">
        <f t="shared" ref="AG554:AO554" si="520">if(not(isblank(M554)),", "&amp;M554,"")</f>
        <v>, stanton-burgundy-cashmere</v>
      </c>
      <c r="AH554" s="11" t="str">
        <f t="shared" si="520"/>
        <v/>
      </c>
      <c r="AI554" s="11" t="str">
        <f t="shared" si="520"/>
        <v/>
      </c>
      <c r="AJ554" s="11" t="str">
        <f t="shared" si="520"/>
        <v/>
      </c>
      <c r="AK554" s="11" t="str">
        <f t="shared" si="520"/>
        <v/>
      </c>
      <c r="AL554" s="11" t="str">
        <f t="shared" si="520"/>
        <v/>
      </c>
      <c r="AM554" s="11" t="str">
        <f t="shared" si="520"/>
        <v/>
      </c>
      <c r="AN554" s="11" t="str">
        <f t="shared" si="520"/>
        <v/>
      </c>
      <c r="AO554" s="11" t="str">
        <f t="shared" si="520"/>
        <v/>
      </c>
      <c r="AP554" s="21" t="str">
        <f t="shared" si="396"/>
        <v>stanton-mid-denim-cashmere, stanton-burgundy-cashmere</v>
      </c>
    </row>
    <row r="555" ht="16.5" customHeight="1">
      <c r="A555" s="32" t="s">
        <v>34</v>
      </c>
      <c r="B555" s="32" t="s">
        <v>39</v>
      </c>
      <c r="C555" s="32" t="s">
        <v>4013</v>
      </c>
      <c r="D555" s="32" t="s">
        <v>4014</v>
      </c>
      <c r="E555" s="32" t="s">
        <v>4015</v>
      </c>
      <c r="F555" s="4" t="s">
        <v>4016</v>
      </c>
      <c r="G555" s="4" t="s">
        <v>4017</v>
      </c>
      <c r="H555" s="4" t="s">
        <v>4018</v>
      </c>
      <c r="K555" s="18"/>
      <c r="L555" s="48" t="s">
        <v>4019</v>
      </c>
      <c r="M555" s="49" t="s">
        <v>4012</v>
      </c>
      <c r="N555" s="20"/>
      <c r="O555" s="20"/>
      <c r="P555" s="20"/>
      <c r="Q555" s="20"/>
      <c r="R555" s="20"/>
      <c r="S555" s="20"/>
      <c r="T555" s="20"/>
      <c r="U555" s="34"/>
      <c r="AF555" s="11" t="str">
        <f t="shared" si="394"/>
        <v>stanton-charcoal-cashmere</v>
      </c>
      <c r="AG555" s="11" t="str">
        <f t="shared" ref="AG555:AO555" si="521">if(not(isblank(M555)),", "&amp;M555,"")</f>
        <v>, stanton-burgundy-cashmere</v>
      </c>
      <c r="AH555" s="11" t="str">
        <f t="shared" si="521"/>
        <v/>
      </c>
      <c r="AI555" s="11" t="str">
        <f t="shared" si="521"/>
        <v/>
      </c>
      <c r="AJ555" s="11" t="str">
        <f t="shared" si="521"/>
        <v/>
      </c>
      <c r="AK555" s="11" t="str">
        <f t="shared" si="521"/>
        <v/>
      </c>
      <c r="AL555" s="11" t="str">
        <f t="shared" si="521"/>
        <v/>
      </c>
      <c r="AM555" s="11" t="str">
        <f t="shared" si="521"/>
        <v/>
      </c>
      <c r="AN555" s="11" t="str">
        <f t="shared" si="521"/>
        <v/>
      </c>
      <c r="AO555" s="11" t="str">
        <f t="shared" si="521"/>
        <v/>
      </c>
      <c r="AP555" s="21" t="str">
        <f t="shared" si="396"/>
        <v>stanton-charcoal-cashmere, stanton-burgundy-cashmere</v>
      </c>
    </row>
    <row r="556" ht="16.5" customHeight="1">
      <c r="A556" s="32" t="s">
        <v>34</v>
      </c>
      <c r="B556" s="32" t="s">
        <v>39</v>
      </c>
      <c r="C556" s="32" t="s">
        <v>4020</v>
      </c>
      <c r="D556" s="32" t="s">
        <v>4021</v>
      </c>
      <c r="E556" s="32" t="s">
        <v>4022</v>
      </c>
      <c r="F556" s="4" t="s">
        <v>4023</v>
      </c>
      <c r="G556" s="4" t="s">
        <v>4024</v>
      </c>
      <c r="H556" s="4" t="s">
        <v>4025</v>
      </c>
      <c r="K556" s="18"/>
      <c r="L556" s="48" t="s">
        <v>4011</v>
      </c>
      <c r="M556" s="47" t="s">
        <v>4019</v>
      </c>
      <c r="N556" s="20"/>
      <c r="O556" s="20"/>
      <c r="P556" s="20"/>
      <c r="Q556" s="20"/>
      <c r="R556" s="20"/>
      <c r="S556" s="20"/>
      <c r="T556" s="20"/>
      <c r="U556" s="34"/>
      <c r="AF556" s="11" t="str">
        <f t="shared" si="394"/>
        <v>stanton-mid-denim-cashmere</v>
      </c>
      <c r="AG556" s="11" t="str">
        <f t="shared" ref="AG556:AO556" si="522">if(not(isblank(M556)),", "&amp;M556,"")</f>
        <v>, stanton-charcoal-cashmere</v>
      </c>
      <c r="AH556" s="11" t="str">
        <f t="shared" si="522"/>
        <v/>
      </c>
      <c r="AI556" s="11" t="str">
        <f t="shared" si="522"/>
        <v/>
      </c>
      <c r="AJ556" s="11" t="str">
        <f t="shared" si="522"/>
        <v/>
      </c>
      <c r="AK556" s="11" t="str">
        <f t="shared" si="522"/>
        <v/>
      </c>
      <c r="AL556" s="11" t="str">
        <f t="shared" si="522"/>
        <v/>
      </c>
      <c r="AM556" s="11" t="str">
        <f t="shared" si="522"/>
        <v/>
      </c>
      <c r="AN556" s="11" t="str">
        <f t="shared" si="522"/>
        <v/>
      </c>
      <c r="AO556" s="11" t="str">
        <f t="shared" si="522"/>
        <v/>
      </c>
      <c r="AP556" s="21" t="str">
        <f t="shared" si="396"/>
        <v>stanton-mid-denim-cashmere, stanton-charcoal-cashmere</v>
      </c>
    </row>
    <row r="557" ht="16.5" customHeight="1">
      <c r="A557" s="32" t="s">
        <v>34</v>
      </c>
      <c r="B557" s="32" t="s">
        <v>39</v>
      </c>
      <c r="C557" s="32" t="s">
        <v>4026</v>
      </c>
      <c r="D557" s="32" t="s">
        <v>4027</v>
      </c>
      <c r="E557" s="32" t="s">
        <v>4022</v>
      </c>
      <c r="F557" s="4" t="s">
        <v>4028</v>
      </c>
      <c r="G557" s="4" t="s">
        <v>4029</v>
      </c>
      <c r="H557" s="4" t="s">
        <v>4030</v>
      </c>
      <c r="K557" s="18"/>
      <c r="L557" s="35" t="s">
        <v>4031</v>
      </c>
      <c r="M557" s="19" t="s">
        <v>4032</v>
      </c>
      <c r="N557" s="20"/>
      <c r="O557" s="20"/>
      <c r="P557" s="20"/>
      <c r="Q557" s="20"/>
      <c r="R557" s="20"/>
      <c r="S557" s="20"/>
      <c r="T557" s="20"/>
      <c r="U557" s="34"/>
      <c r="AF557" s="11" t="str">
        <f t="shared" si="394"/>
        <v>yq1038-robin-cream</v>
      </c>
      <c r="AG557" s="11" t="str">
        <f t="shared" ref="AG557:AO557" si="523">if(not(isblank(M557)),", "&amp;M557,"")</f>
        <v>, yq1038-robin-light-grey</v>
      </c>
      <c r="AH557" s="11" t="str">
        <f t="shared" si="523"/>
        <v/>
      </c>
      <c r="AI557" s="11" t="str">
        <f t="shared" si="523"/>
        <v/>
      </c>
      <c r="AJ557" s="11" t="str">
        <f t="shared" si="523"/>
        <v/>
      </c>
      <c r="AK557" s="11" t="str">
        <f t="shared" si="523"/>
        <v/>
      </c>
      <c r="AL557" s="11" t="str">
        <f t="shared" si="523"/>
        <v/>
      </c>
      <c r="AM557" s="11" t="str">
        <f t="shared" si="523"/>
        <v/>
      </c>
      <c r="AN557" s="11" t="str">
        <f t="shared" si="523"/>
        <v/>
      </c>
      <c r="AO557" s="11" t="str">
        <f t="shared" si="523"/>
        <v/>
      </c>
      <c r="AP557" s="21" t="str">
        <f t="shared" si="396"/>
        <v>yq1038-robin-cream, yq1038-robin-light-grey</v>
      </c>
    </row>
    <row r="558" ht="16.5" customHeight="1">
      <c r="A558" s="32" t="s">
        <v>34</v>
      </c>
      <c r="B558" s="32" t="s">
        <v>257</v>
      </c>
      <c r="C558" s="32" t="s">
        <v>1792</v>
      </c>
      <c r="D558" s="32" t="s">
        <v>1793</v>
      </c>
      <c r="E558" s="32" t="s">
        <v>4033</v>
      </c>
      <c r="F558" s="4" t="s">
        <v>1796</v>
      </c>
      <c r="G558" s="4" t="s">
        <v>4034</v>
      </c>
      <c r="K558" s="18"/>
      <c r="L558" s="33"/>
      <c r="M558" s="20"/>
      <c r="N558" s="20"/>
      <c r="O558" s="20"/>
      <c r="P558" s="20"/>
      <c r="Q558" s="20"/>
      <c r="R558" s="20"/>
      <c r="S558" s="20"/>
      <c r="T558" s="20"/>
      <c r="U558" s="34"/>
      <c r="AF558" s="11" t="str">
        <f t="shared" si="394"/>
        <v/>
      </c>
      <c r="AG558" s="11" t="str">
        <f t="shared" ref="AG558:AO558" si="524">if(not(isblank(M558)),", "&amp;M558,"")</f>
        <v/>
      </c>
      <c r="AH558" s="11" t="str">
        <f t="shared" si="524"/>
        <v/>
      </c>
      <c r="AI558" s="11" t="str">
        <f t="shared" si="524"/>
        <v/>
      </c>
      <c r="AJ558" s="11" t="str">
        <f t="shared" si="524"/>
        <v/>
      </c>
      <c r="AK558" s="11" t="str">
        <f t="shared" si="524"/>
        <v/>
      </c>
      <c r="AL558" s="11" t="str">
        <f t="shared" si="524"/>
        <v/>
      </c>
      <c r="AM558" s="11" t="str">
        <f t="shared" si="524"/>
        <v/>
      </c>
      <c r="AN558" s="11" t="str">
        <f t="shared" si="524"/>
        <v/>
      </c>
      <c r="AO558" s="11" t="str">
        <f t="shared" si="524"/>
        <v/>
      </c>
      <c r="AP558" s="21" t="str">
        <f t="shared" si="396"/>
        <v>barnes-japan-black, barnes-japan-dawn, barnes-japan-fade, barnes-japan-forest-fog, barnes-japan-mole, barnes-japan-putty, barnes-japan-rinse-selvage</v>
      </c>
    </row>
    <row r="559" ht="16.5" customHeight="1">
      <c r="A559" s="32" t="s">
        <v>34</v>
      </c>
      <c r="B559" s="32" t="s">
        <v>39</v>
      </c>
      <c r="C559" s="32" t="s">
        <v>1821</v>
      </c>
      <c r="D559" s="32" t="s">
        <v>1822</v>
      </c>
      <c r="E559" s="32" t="s">
        <v>4035</v>
      </c>
      <c r="F559" s="4" t="s">
        <v>1824</v>
      </c>
      <c r="G559" s="4"/>
      <c r="H559" s="4"/>
      <c r="K559" s="18"/>
      <c r="L559" s="33"/>
      <c r="M559" s="20"/>
      <c r="N559" s="20"/>
      <c r="O559" s="20"/>
      <c r="P559" s="20"/>
      <c r="Q559" s="20"/>
      <c r="R559" s="20"/>
      <c r="S559" s="20"/>
      <c r="T559" s="20"/>
      <c r="U559" s="34"/>
      <c r="AF559" s="11" t="str">
        <f t="shared" si="394"/>
        <v/>
      </c>
      <c r="AG559" s="11" t="str">
        <f t="shared" ref="AG559:AO559" si="525">if(not(isblank(M559)),", "&amp;M559,"")</f>
        <v/>
      </c>
      <c r="AH559" s="11" t="str">
        <f t="shared" si="525"/>
        <v/>
      </c>
      <c r="AI559" s="11" t="str">
        <f t="shared" si="525"/>
        <v/>
      </c>
      <c r="AJ559" s="11" t="str">
        <f t="shared" si="525"/>
        <v/>
      </c>
      <c r="AK559" s="11" t="str">
        <f t="shared" si="525"/>
        <v/>
      </c>
      <c r="AL559" s="11" t="str">
        <f t="shared" si="525"/>
        <v/>
      </c>
      <c r="AM559" s="11" t="str">
        <f t="shared" si="525"/>
        <v/>
      </c>
      <c r="AN559" s="11" t="str">
        <f t="shared" si="525"/>
        <v/>
      </c>
      <c r="AO559" s="11" t="str">
        <f t="shared" si="525"/>
        <v/>
      </c>
      <c r="AP559" s="21" t="str">
        <f t="shared" si="396"/>
        <v/>
      </c>
    </row>
    <row r="560" ht="16.5" customHeight="1">
      <c r="A560" s="32" t="s">
        <v>34</v>
      </c>
      <c r="B560" s="32" t="s">
        <v>257</v>
      </c>
      <c r="C560" s="32" t="s">
        <v>1829</v>
      </c>
      <c r="D560" s="32" t="s">
        <v>1830</v>
      </c>
      <c r="E560" s="32" t="s">
        <v>4036</v>
      </c>
      <c r="F560" s="4" t="s">
        <v>1832</v>
      </c>
      <c r="G560" s="4" t="s">
        <v>1831</v>
      </c>
      <c r="H560" s="4"/>
      <c r="K560" s="18"/>
      <c r="L560" s="33"/>
      <c r="M560" s="20"/>
      <c r="N560" s="20"/>
      <c r="O560" s="20"/>
      <c r="P560" s="20"/>
      <c r="Q560" s="20"/>
      <c r="R560" s="20"/>
      <c r="S560" s="20"/>
      <c r="T560" s="20"/>
      <c r="U560" s="34"/>
      <c r="AF560" s="11" t="str">
        <f t="shared" si="394"/>
        <v/>
      </c>
      <c r="AG560" s="11" t="str">
        <f t="shared" ref="AG560:AO560" si="526">if(not(isblank(M560)),", "&amp;M560,"")</f>
        <v/>
      </c>
      <c r="AH560" s="11" t="str">
        <f t="shared" si="526"/>
        <v/>
      </c>
      <c r="AI560" s="11" t="str">
        <f t="shared" si="526"/>
        <v/>
      </c>
      <c r="AJ560" s="11" t="str">
        <f t="shared" si="526"/>
        <v/>
      </c>
      <c r="AK560" s="11" t="str">
        <f t="shared" si="526"/>
        <v/>
      </c>
      <c r="AL560" s="11" t="str">
        <f t="shared" si="526"/>
        <v/>
      </c>
      <c r="AM560" s="11" t="str">
        <f t="shared" si="526"/>
        <v/>
      </c>
      <c r="AN560" s="11" t="str">
        <f t="shared" si="526"/>
        <v/>
      </c>
      <c r="AO560" s="11" t="str">
        <f t="shared" si="526"/>
        <v/>
      </c>
      <c r="AP560" s="21" t="str">
        <f t="shared" si="396"/>
        <v>dune-japan-shadow</v>
      </c>
    </row>
    <row r="561" ht="16.5" customHeight="1">
      <c r="A561" s="32" t="s">
        <v>34</v>
      </c>
      <c r="B561" s="32" t="s">
        <v>257</v>
      </c>
      <c r="C561" s="32" t="s">
        <v>1831</v>
      </c>
      <c r="D561" s="32" t="s">
        <v>1836</v>
      </c>
      <c r="E561" s="32" t="s">
        <v>4037</v>
      </c>
      <c r="F561" s="4" t="s">
        <v>1832</v>
      </c>
      <c r="G561" s="4" t="s">
        <v>1829</v>
      </c>
      <c r="H561" s="4"/>
      <c r="K561" s="18"/>
      <c r="L561" s="33"/>
      <c r="M561" s="20"/>
      <c r="N561" s="20"/>
      <c r="O561" s="20"/>
      <c r="P561" s="20"/>
      <c r="Q561" s="20"/>
      <c r="R561" s="20"/>
      <c r="S561" s="20"/>
      <c r="T561" s="20"/>
      <c r="U561" s="34"/>
      <c r="AF561" s="11" t="str">
        <f t="shared" si="394"/>
        <v/>
      </c>
      <c r="AG561" s="11" t="str">
        <f t="shared" ref="AG561:AO561" si="527">if(not(isblank(M561)),", "&amp;M561,"")</f>
        <v/>
      </c>
      <c r="AH561" s="11" t="str">
        <f t="shared" si="527"/>
        <v/>
      </c>
      <c r="AI561" s="11" t="str">
        <f t="shared" si="527"/>
        <v/>
      </c>
      <c r="AJ561" s="11" t="str">
        <f t="shared" si="527"/>
        <v/>
      </c>
      <c r="AK561" s="11" t="str">
        <f t="shared" si="527"/>
        <v/>
      </c>
      <c r="AL561" s="11" t="str">
        <f t="shared" si="527"/>
        <v/>
      </c>
      <c r="AM561" s="11" t="str">
        <f t="shared" si="527"/>
        <v/>
      </c>
      <c r="AN561" s="11" t="str">
        <f t="shared" si="527"/>
        <v/>
      </c>
      <c r="AO561" s="11" t="str">
        <f t="shared" si="527"/>
        <v/>
      </c>
      <c r="AP561" s="21" t="str">
        <f t="shared" si="396"/>
        <v>dune-japan-new-blue</v>
      </c>
    </row>
    <row r="562" ht="16.5" customHeight="1">
      <c r="A562" s="32" t="s">
        <v>34</v>
      </c>
      <c r="B562" s="32" t="s">
        <v>44</v>
      </c>
      <c r="C562" s="32" t="s">
        <v>4038</v>
      </c>
      <c r="D562" s="32" t="s">
        <v>4039</v>
      </c>
      <c r="E562" s="32" t="s">
        <v>4040</v>
      </c>
      <c r="F562" s="4" t="s">
        <v>4041</v>
      </c>
      <c r="G562" s="4"/>
      <c r="H562" s="4"/>
      <c r="K562" s="18"/>
      <c r="L562" s="33"/>
      <c r="M562" s="20"/>
      <c r="N562" s="20"/>
      <c r="O562" s="20"/>
      <c r="P562" s="20"/>
      <c r="Q562" s="20"/>
      <c r="R562" s="20"/>
      <c r="S562" s="20"/>
      <c r="T562" s="20"/>
      <c r="U562" s="34"/>
      <c r="AF562" s="11" t="str">
        <f t="shared" si="394"/>
        <v/>
      </c>
      <c r="AG562" s="11" t="str">
        <f t="shared" ref="AG562:AO562" si="528">if(not(isblank(M562)),", "&amp;M562,"")</f>
        <v/>
      </c>
      <c r="AH562" s="11" t="str">
        <f t="shared" si="528"/>
        <v/>
      </c>
      <c r="AI562" s="11" t="str">
        <f t="shared" si="528"/>
        <v/>
      </c>
      <c r="AJ562" s="11" t="str">
        <f t="shared" si="528"/>
        <v/>
      </c>
      <c r="AK562" s="11" t="str">
        <f t="shared" si="528"/>
        <v/>
      </c>
      <c r="AL562" s="11" t="str">
        <f t="shared" si="528"/>
        <v/>
      </c>
      <c r="AM562" s="11" t="str">
        <f t="shared" si="528"/>
        <v/>
      </c>
      <c r="AN562" s="11" t="str">
        <f t="shared" si="528"/>
        <v/>
      </c>
      <c r="AO562" s="11" t="str">
        <f t="shared" si="528"/>
        <v/>
      </c>
      <c r="AP562" s="21" t="str">
        <f t="shared" si="396"/>
        <v/>
      </c>
    </row>
    <row r="563" ht="16.5" customHeight="1">
      <c r="A563" s="32" t="s">
        <v>34</v>
      </c>
      <c r="B563" s="32" t="s">
        <v>691</v>
      </c>
      <c r="C563" s="32" t="s">
        <v>1928</v>
      </c>
      <c r="D563" s="32" t="s">
        <v>4042</v>
      </c>
      <c r="E563" s="32" t="s">
        <v>4043</v>
      </c>
      <c r="F563" s="4" t="s">
        <v>4044</v>
      </c>
      <c r="G563" s="4" t="s">
        <v>4045</v>
      </c>
      <c r="K563" s="18"/>
      <c r="L563" s="33"/>
      <c r="M563" s="20"/>
      <c r="N563" s="20"/>
      <c r="O563" s="20"/>
      <c r="P563" s="20"/>
      <c r="Q563" s="20"/>
      <c r="R563" s="20"/>
      <c r="S563" s="20"/>
      <c r="T563" s="20"/>
      <c r="U563" s="34"/>
      <c r="AF563" s="11" t="str">
        <f t="shared" si="394"/>
        <v/>
      </c>
      <c r="AG563" s="11" t="str">
        <f t="shared" ref="AG563:AO563" si="529">if(not(isblank(M563)),", "&amp;M563,"")</f>
        <v/>
      </c>
      <c r="AH563" s="11" t="str">
        <f t="shared" si="529"/>
        <v/>
      </c>
      <c r="AI563" s="11" t="str">
        <f t="shared" si="529"/>
        <v/>
      </c>
      <c r="AJ563" s="11" t="str">
        <f t="shared" si="529"/>
        <v/>
      </c>
      <c r="AK563" s="11" t="str">
        <f t="shared" si="529"/>
        <v/>
      </c>
      <c r="AL563" s="11" t="str">
        <f t="shared" si="529"/>
        <v/>
      </c>
      <c r="AM563" s="11" t="str">
        <f t="shared" si="529"/>
        <v/>
      </c>
      <c r="AN563" s="11" t="str">
        <f t="shared" si="529"/>
        <v/>
      </c>
      <c r="AO563" s="11" t="str">
        <f t="shared" si="529"/>
        <v/>
      </c>
      <c r="AP563" s="21" t="str">
        <f t="shared" si="396"/>
        <v>hayes-black, hayes-suit-jacket-stripe</v>
      </c>
    </row>
    <row r="564" ht="16.5" customHeight="1">
      <c r="A564" s="32" t="s">
        <v>34</v>
      </c>
      <c r="B564" s="32" t="s">
        <v>691</v>
      </c>
      <c r="C564" s="32" t="s">
        <v>4046</v>
      </c>
      <c r="D564" s="32" t="s">
        <v>4047</v>
      </c>
      <c r="E564" s="32" t="s">
        <v>4048</v>
      </c>
      <c r="F564" s="4" t="s">
        <v>4049</v>
      </c>
      <c r="G564" s="4" t="s">
        <v>4050</v>
      </c>
      <c r="K564" s="18"/>
      <c r="L564" s="33"/>
      <c r="M564" s="20"/>
      <c r="N564" s="20"/>
      <c r="O564" s="20"/>
      <c r="P564" s="20"/>
      <c r="Q564" s="20"/>
      <c r="R564" s="20"/>
      <c r="S564" s="20"/>
      <c r="T564" s="20"/>
      <c r="U564" s="34"/>
      <c r="AF564" s="11" t="str">
        <f t="shared" si="394"/>
        <v/>
      </c>
      <c r="AG564" s="11" t="str">
        <f t="shared" ref="AG564:AO564" si="530">if(not(isblank(M564)),", "&amp;M564,"")</f>
        <v/>
      </c>
      <c r="AH564" s="11" t="str">
        <f t="shared" si="530"/>
        <v/>
      </c>
      <c r="AI564" s="11" t="str">
        <f t="shared" si="530"/>
        <v/>
      </c>
      <c r="AJ564" s="11" t="str">
        <f t="shared" si="530"/>
        <v/>
      </c>
      <c r="AK564" s="11" t="str">
        <f t="shared" si="530"/>
        <v/>
      </c>
      <c r="AL564" s="11" t="str">
        <f t="shared" si="530"/>
        <v/>
      </c>
      <c r="AM564" s="11" t="str">
        <f t="shared" si="530"/>
        <v/>
      </c>
      <c r="AN564" s="11" t="str">
        <f t="shared" si="530"/>
        <v/>
      </c>
      <c r="AO564" s="11" t="str">
        <f t="shared" si="530"/>
        <v/>
      </c>
      <c r="AP564" s="21" t="str">
        <f t="shared" si="396"/>
        <v>hayes-stripe, hayes-suit-jacket-black</v>
      </c>
    </row>
    <row r="565" ht="16.5" customHeight="1">
      <c r="A565" s="32" t="s">
        <v>34</v>
      </c>
      <c r="B565" s="32" t="s">
        <v>39</v>
      </c>
      <c r="C565" s="32" t="s">
        <v>4051</v>
      </c>
      <c r="D565" s="32" t="s">
        <v>4052</v>
      </c>
      <c r="E565" s="32" t="s">
        <v>4053</v>
      </c>
      <c r="F565" s="4" t="s">
        <v>4054</v>
      </c>
      <c r="G565" s="4"/>
      <c r="H565" s="4"/>
      <c r="K565" s="18"/>
      <c r="L565" s="33"/>
      <c r="M565" s="20"/>
      <c r="N565" s="20"/>
      <c r="O565" s="20"/>
      <c r="P565" s="20"/>
      <c r="Q565" s="20"/>
      <c r="R565" s="20"/>
      <c r="S565" s="20"/>
      <c r="T565" s="20"/>
      <c r="U565" s="34"/>
      <c r="AF565" s="11" t="str">
        <f t="shared" si="394"/>
        <v/>
      </c>
      <c r="AG565" s="11" t="str">
        <f t="shared" ref="AG565:AO565" si="531">if(not(isblank(M565)),", "&amp;M565,"")</f>
        <v/>
      </c>
      <c r="AH565" s="11" t="str">
        <f t="shared" si="531"/>
        <v/>
      </c>
      <c r="AI565" s="11" t="str">
        <f t="shared" si="531"/>
        <v/>
      </c>
      <c r="AJ565" s="11" t="str">
        <f t="shared" si="531"/>
        <v/>
      </c>
      <c r="AK565" s="11" t="str">
        <f t="shared" si="531"/>
        <v/>
      </c>
      <c r="AL565" s="11" t="str">
        <f t="shared" si="531"/>
        <v/>
      </c>
      <c r="AM565" s="11" t="str">
        <f t="shared" si="531"/>
        <v/>
      </c>
      <c r="AN565" s="11" t="str">
        <f t="shared" si="531"/>
        <v/>
      </c>
      <c r="AO565" s="11" t="str">
        <f t="shared" si="531"/>
        <v/>
      </c>
      <c r="AP565" s="21" t="str">
        <f t="shared" si="396"/>
        <v/>
      </c>
    </row>
    <row r="566" ht="16.5" customHeight="1">
      <c r="A566" s="32" t="s">
        <v>34</v>
      </c>
      <c r="B566" s="32" t="s">
        <v>39</v>
      </c>
      <c r="C566" s="32" t="s">
        <v>4055</v>
      </c>
      <c r="D566" s="32" t="s">
        <v>4056</v>
      </c>
      <c r="E566" s="32" t="s">
        <v>4057</v>
      </c>
      <c r="F566" s="4" t="s">
        <v>4058</v>
      </c>
      <c r="G566" s="4"/>
      <c r="H566" s="4"/>
      <c r="K566" s="18"/>
      <c r="L566" s="33"/>
      <c r="M566" s="20"/>
      <c r="N566" s="20"/>
      <c r="O566" s="20"/>
      <c r="P566" s="20"/>
      <c r="Q566" s="20"/>
      <c r="R566" s="20"/>
      <c r="S566" s="20"/>
      <c r="T566" s="20"/>
      <c r="U566" s="34"/>
      <c r="AF566" s="11" t="str">
        <f t="shared" si="394"/>
        <v/>
      </c>
      <c r="AG566" s="11" t="str">
        <f t="shared" ref="AG566:AO566" si="532">if(not(isblank(M566)),", "&amp;M566,"")</f>
        <v/>
      </c>
      <c r="AH566" s="11" t="str">
        <f t="shared" si="532"/>
        <v/>
      </c>
      <c r="AI566" s="11" t="str">
        <f t="shared" si="532"/>
        <v/>
      </c>
      <c r="AJ566" s="11" t="str">
        <f t="shared" si="532"/>
        <v/>
      </c>
      <c r="AK566" s="11" t="str">
        <f t="shared" si="532"/>
        <v/>
      </c>
      <c r="AL566" s="11" t="str">
        <f t="shared" si="532"/>
        <v/>
      </c>
      <c r="AM566" s="11" t="str">
        <f t="shared" si="532"/>
        <v/>
      </c>
      <c r="AN566" s="11" t="str">
        <f t="shared" si="532"/>
        <v/>
      </c>
      <c r="AO566" s="11" t="str">
        <f t="shared" si="532"/>
        <v/>
      </c>
      <c r="AP566" s="21" t="str">
        <f t="shared" si="396"/>
        <v/>
      </c>
    </row>
    <row r="567" ht="16.5" customHeight="1">
      <c r="A567" s="32" t="s">
        <v>34</v>
      </c>
      <c r="B567" s="32" t="s">
        <v>39</v>
      </c>
      <c r="C567" s="32" t="s">
        <v>4059</v>
      </c>
      <c r="D567" s="32" t="s">
        <v>4060</v>
      </c>
      <c r="E567" s="32" t="s">
        <v>4053</v>
      </c>
      <c r="F567" s="4" t="s">
        <v>4054</v>
      </c>
      <c r="G567" s="4"/>
      <c r="H567" s="4"/>
      <c r="K567" s="18"/>
      <c r="L567" s="33"/>
      <c r="M567" s="20"/>
      <c r="N567" s="20"/>
      <c r="O567" s="20"/>
      <c r="P567" s="20"/>
      <c r="Q567" s="20"/>
      <c r="R567" s="20"/>
      <c r="S567" s="20"/>
      <c r="T567" s="20"/>
      <c r="U567" s="34"/>
      <c r="AF567" s="11" t="str">
        <f t="shared" si="394"/>
        <v/>
      </c>
      <c r="AG567" s="11" t="str">
        <f t="shared" ref="AG567:AO567" si="533">if(not(isblank(M567)),", "&amp;M567,"")</f>
        <v/>
      </c>
      <c r="AH567" s="11" t="str">
        <f t="shared" si="533"/>
        <v/>
      </c>
      <c r="AI567" s="11" t="str">
        <f t="shared" si="533"/>
        <v/>
      </c>
      <c r="AJ567" s="11" t="str">
        <f t="shared" si="533"/>
        <v/>
      </c>
      <c r="AK567" s="11" t="str">
        <f t="shared" si="533"/>
        <v/>
      </c>
      <c r="AL567" s="11" t="str">
        <f t="shared" si="533"/>
        <v/>
      </c>
      <c r="AM567" s="11" t="str">
        <f t="shared" si="533"/>
        <v/>
      </c>
      <c r="AN567" s="11" t="str">
        <f t="shared" si="533"/>
        <v/>
      </c>
      <c r="AO567" s="11" t="str">
        <f t="shared" si="533"/>
        <v/>
      </c>
      <c r="AP567" s="21" t="str">
        <f t="shared" si="396"/>
        <v/>
      </c>
    </row>
    <row r="568" ht="16.5" customHeight="1">
      <c r="A568" s="32" t="s">
        <v>34</v>
      </c>
      <c r="B568" s="32" t="s">
        <v>39</v>
      </c>
      <c r="C568" s="32" t="s">
        <v>4061</v>
      </c>
      <c r="D568" s="32" t="s">
        <v>4062</v>
      </c>
      <c r="E568" s="32" t="s">
        <v>4063</v>
      </c>
      <c r="F568" s="4" t="s">
        <v>4064</v>
      </c>
      <c r="G568" s="4"/>
      <c r="H568" s="4"/>
      <c r="K568" s="18"/>
      <c r="L568" s="33"/>
      <c r="M568" s="20"/>
      <c r="N568" s="20"/>
      <c r="O568" s="20"/>
      <c r="P568" s="20"/>
      <c r="Q568" s="20"/>
      <c r="R568" s="20"/>
      <c r="S568" s="20"/>
      <c r="T568" s="20"/>
      <c r="U568" s="34"/>
      <c r="AF568" s="11" t="str">
        <f t="shared" si="394"/>
        <v/>
      </c>
      <c r="AG568" s="11" t="str">
        <f t="shared" ref="AG568:AO568" si="534">if(not(isblank(M568)),", "&amp;M568,"")</f>
        <v/>
      </c>
      <c r="AH568" s="11" t="str">
        <f t="shared" si="534"/>
        <v/>
      </c>
      <c r="AI568" s="11" t="str">
        <f t="shared" si="534"/>
        <v/>
      </c>
      <c r="AJ568" s="11" t="str">
        <f t="shared" si="534"/>
        <v/>
      </c>
      <c r="AK568" s="11" t="str">
        <f t="shared" si="534"/>
        <v/>
      </c>
      <c r="AL568" s="11" t="str">
        <f t="shared" si="534"/>
        <v/>
      </c>
      <c r="AM568" s="11" t="str">
        <f t="shared" si="534"/>
        <v/>
      </c>
      <c r="AN568" s="11" t="str">
        <f t="shared" si="534"/>
        <v/>
      </c>
      <c r="AO568" s="11" t="str">
        <f t="shared" si="534"/>
        <v/>
      </c>
      <c r="AP568" s="21" t="str">
        <f t="shared" si="396"/>
        <v/>
      </c>
    </row>
    <row r="569" ht="16.5" customHeight="1">
      <c r="A569" s="32" t="s">
        <v>34</v>
      </c>
      <c r="B569" s="32" t="s">
        <v>39</v>
      </c>
      <c r="C569" s="32" t="s">
        <v>4065</v>
      </c>
      <c r="D569" s="32" t="s">
        <v>4066</v>
      </c>
      <c r="E569" s="32" t="s">
        <v>4067</v>
      </c>
      <c r="F569" s="4" t="s">
        <v>4064</v>
      </c>
      <c r="G569" s="4"/>
      <c r="H569" s="4"/>
      <c r="K569" s="18"/>
      <c r="L569" s="33"/>
      <c r="M569" s="20"/>
      <c r="N569" s="20"/>
      <c r="O569" s="20"/>
      <c r="P569" s="20"/>
      <c r="Q569" s="20"/>
      <c r="R569" s="20"/>
      <c r="S569" s="20"/>
      <c r="T569" s="20"/>
      <c r="U569" s="34"/>
      <c r="AF569" s="11" t="str">
        <f t="shared" si="394"/>
        <v/>
      </c>
      <c r="AG569" s="11" t="str">
        <f t="shared" ref="AG569:AO569" si="535">if(not(isblank(M569)),", "&amp;M569,"")</f>
        <v/>
      </c>
      <c r="AH569" s="11" t="str">
        <f t="shared" si="535"/>
        <v/>
      </c>
      <c r="AI569" s="11" t="str">
        <f t="shared" si="535"/>
        <v/>
      </c>
      <c r="AJ569" s="11" t="str">
        <f t="shared" si="535"/>
        <v/>
      </c>
      <c r="AK569" s="11" t="str">
        <f t="shared" si="535"/>
        <v/>
      </c>
      <c r="AL569" s="11" t="str">
        <f t="shared" si="535"/>
        <v/>
      </c>
      <c r="AM569" s="11" t="str">
        <f t="shared" si="535"/>
        <v/>
      </c>
      <c r="AN569" s="11" t="str">
        <f t="shared" si="535"/>
        <v/>
      </c>
      <c r="AO569" s="11" t="str">
        <f t="shared" si="535"/>
        <v/>
      </c>
      <c r="AP569" s="21" t="str">
        <f t="shared" si="396"/>
        <v/>
      </c>
    </row>
    <row r="570" ht="16.5" customHeight="1">
      <c r="A570" s="32" t="s">
        <v>34</v>
      </c>
      <c r="B570" s="32" t="s">
        <v>44</v>
      </c>
      <c r="C570" s="32" t="s">
        <v>4068</v>
      </c>
      <c r="D570" s="32" t="s">
        <v>4069</v>
      </c>
      <c r="E570" s="32" t="s">
        <v>4070</v>
      </c>
      <c r="F570" s="4" t="s">
        <v>2093</v>
      </c>
      <c r="G570" s="4" t="s">
        <v>4071</v>
      </c>
      <c r="H570" s="4"/>
      <c r="K570" s="18"/>
      <c r="L570" s="33"/>
      <c r="M570" s="20"/>
      <c r="N570" s="20"/>
      <c r="O570" s="20"/>
      <c r="P570" s="20"/>
      <c r="Q570" s="20"/>
      <c r="R570" s="20"/>
      <c r="S570" s="20"/>
      <c r="T570" s="20"/>
      <c r="U570" s="34"/>
      <c r="AF570" s="11" t="str">
        <f t="shared" si="394"/>
        <v/>
      </c>
      <c r="AG570" s="11" t="str">
        <f t="shared" ref="AG570:AO570" si="536">if(not(isblank(M570)),", "&amp;M570,"")</f>
        <v/>
      </c>
      <c r="AH570" s="11" t="str">
        <f t="shared" si="536"/>
        <v/>
      </c>
      <c r="AI570" s="11" t="str">
        <f t="shared" si="536"/>
        <v/>
      </c>
      <c r="AJ570" s="11" t="str">
        <f t="shared" si="536"/>
        <v/>
      </c>
      <c r="AK570" s="11" t="str">
        <f t="shared" si="536"/>
        <v/>
      </c>
      <c r="AL570" s="11" t="str">
        <f t="shared" si="536"/>
        <v/>
      </c>
      <c r="AM570" s="11" t="str">
        <f t="shared" si="536"/>
        <v/>
      </c>
      <c r="AN570" s="11" t="str">
        <f t="shared" si="536"/>
        <v/>
      </c>
      <c r="AO570" s="11" t="str">
        <f t="shared" si="536"/>
        <v/>
      </c>
      <c r="AP570" s="21" t="str">
        <f t="shared" si="396"/>
        <v>keller-red-stripe</v>
      </c>
    </row>
    <row r="571" ht="16.5" customHeight="1">
      <c r="A571" s="32" t="s">
        <v>34</v>
      </c>
      <c r="B571" s="32" t="s">
        <v>44</v>
      </c>
      <c r="C571" s="32" t="s">
        <v>4071</v>
      </c>
      <c r="D571" s="32" t="s">
        <v>4072</v>
      </c>
      <c r="E571" s="32" t="s">
        <v>4073</v>
      </c>
      <c r="F571" s="4" t="s">
        <v>4074</v>
      </c>
      <c r="G571" s="4" t="s">
        <v>4068</v>
      </c>
      <c r="H571" s="4"/>
      <c r="K571" s="18"/>
      <c r="L571" s="33"/>
      <c r="M571" s="20"/>
      <c r="N571" s="20"/>
      <c r="O571" s="20"/>
      <c r="P571" s="20"/>
      <c r="Q571" s="20"/>
      <c r="R571" s="20"/>
      <c r="S571" s="20"/>
      <c r="T571" s="20"/>
      <c r="U571" s="34"/>
      <c r="AF571" s="11" t="str">
        <f t="shared" si="394"/>
        <v/>
      </c>
      <c r="AG571" s="11" t="str">
        <f t="shared" ref="AG571:AO571" si="537">if(not(isblank(M571)),", "&amp;M571,"")</f>
        <v/>
      </c>
      <c r="AH571" s="11" t="str">
        <f t="shared" si="537"/>
        <v/>
      </c>
      <c r="AI571" s="11" t="str">
        <f t="shared" si="537"/>
        <v/>
      </c>
      <c r="AJ571" s="11" t="str">
        <f t="shared" si="537"/>
        <v/>
      </c>
      <c r="AK571" s="11" t="str">
        <f t="shared" si="537"/>
        <v/>
      </c>
      <c r="AL571" s="11" t="str">
        <f t="shared" si="537"/>
        <v/>
      </c>
      <c r="AM571" s="11" t="str">
        <f t="shared" si="537"/>
        <v/>
      </c>
      <c r="AN571" s="11" t="str">
        <f t="shared" si="537"/>
        <v/>
      </c>
      <c r="AO571" s="11" t="str">
        <f t="shared" si="537"/>
        <v/>
      </c>
      <c r="AP571" s="21" t="str">
        <f t="shared" si="396"/>
        <v>keller-chestnut-overdye</v>
      </c>
    </row>
    <row r="572" ht="16.5" customHeight="1">
      <c r="A572" s="32" t="s">
        <v>34</v>
      </c>
      <c r="B572" s="32" t="s">
        <v>39</v>
      </c>
      <c r="C572" s="32" t="s">
        <v>4075</v>
      </c>
      <c r="D572" s="32" t="s">
        <v>4076</v>
      </c>
      <c r="E572" s="32" t="s">
        <v>4077</v>
      </c>
      <c r="F572" s="4" t="s">
        <v>4078</v>
      </c>
      <c r="G572" s="4" t="s">
        <v>4079</v>
      </c>
      <c r="H572" s="4"/>
      <c r="K572" s="18"/>
      <c r="L572" s="33"/>
      <c r="M572" s="20"/>
      <c r="N572" s="20"/>
      <c r="O572" s="20"/>
      <c r="P572" s="20"/>
      <c r="Q572" s="20"/>
      <c r="R572" s="20"/>
      <c r="S572" s="20"/>
      <c r="T572" s="20"/>
      <c r="U572" s="34"/>
      <c r="AF572" s="11" t="str">
        <f t="shared" si="394"/>
        <v/>
      </c>
      <c r="AG572" s="11" t="str">
        <f t="shared" ref="AG572:AO572" si="538">if(not(isblank(M572)),", "&amp;M572,"")</f>
        <v/>
      </c>
      <c r="AH572" s="11" t="str">
        <f t="shared" si="538"/>
        <v/>
      </c>
      <c r="AI572" s="11" t="str">
        <f t="shared" si="538"/>
        <v/>
      </c>
      <c r="AJ572" s="11" t="str">
        <f t="shared" si="538"/>
        <v/>
      </c>
      <c r="AK572" s="11" t="str">
        <f t="shared" si="538"/>
        <v/>
      </c>
      <c r="AL572" s="11" t="str">
        <f t="shared" si="538"/>
        <v/>
      </c>
      <c r="AM572" s="11" t="str">
        <f t="shared" si="538"/>
        <v/>
      </c>
      <c r="AN572" s="11" t="str">
        <f t="shared" si="538"/>
        <v/>
      </c>
      <c r="AO572" s="11" t="str">
        <f t="shared" si="538"/>
        <v/>
      </c>
      <c r="AP572" s="21" t="str">
        <f t="shared" si="396"/>
        <v>lefty-mud-moleskin, lefty-red-check</v>
      </c>
    </row>
    <row r="573" ht="16.5" customHeight="1">
      <c r="A573" s="32" t="s">
        <v>34</v>
      </c>
      <c r="B573" s="32" t="s">
        <v>39</v>
      </c>
      <c r="C573" s="32" t="s">
        <v>3490</v>
      </c>
      <c r="D573" s="32" t="s">
        <v>4080</v>
      </c>
      <c r="E573" s="32" t="s">
        <v>4077</v>
      </c>
      <c r="F573" s="4" t="s">
        <v>4078</v>
      </c>
      <c r="G573" s="4" t="s">
        <v>4081</v>
      </c>
      <c r="H573" s="4"/>
      <c r="K573" s="18"/>
      <c r="L573" s="33"/>
      <c r="M573" s="20"/>
      <c r="N573" s="20"/>
      <c r="O573" s="20"/>
      <c r="P573" s="20"/>
      <c r="Q573" s="20"/>
      <c r="R573" s="20"/>
      <c r="S573" s="20"/>
      <c r="T573" s="20"/>
      <c r="U573" s="34"/>
      <c r="AF573" s="11" t="str">
        <f t="shared" si="394"/>
        <v/>
      </c>
      <c r="AG573" s="11" t="str">
        <f t="shared" ref="AG573:AO573" si="539">if(not(isblank(M573)),", "&amp;M573,"")</f>
        <v/>
      </c>
      <c r="AH573" s="11" t="str">
        <f t="shared" si="539"/>
        <v/>
      </c>
      <c r="AI573" s="11" t="str">
        <f t="shared" si="539"/>
        <v/>
      </c>
      <c r="AJ573" s="11" t="str">
        <f t="shared" si="539"/>
        <v/>
      </c>
      <c r="AK573" s="11" t="str">
        <f t="shared" si="539"/>
        <v/>
      </c>
      <c r="AL573" s="11" t="str">
        <f t="shared" si="539"/>
        <v/>
      </c>
      <c r="AM573" s="11" t="str">
        <f t="shared" si="539"/>
        <v/>
      </c>
      <c r="AN573" s="11" t="str">
        <f t="shared" si="539"/>
        <v/>
      </c>
      <c r="AO573" s="11" t="str">
        <f t="shared" si="539"/>
        <v/>
      </c>
      <c r="AP573" s="21" t="str">
        <f t="shared" si="396"/>
        <v>lefty-forest-moleskin, lefty-red-check</v>
      </c>
    </row>
    <row r="574" ht="16.5" customHeight="1">
      <c r="A574" s="32" t="s">
        <v>34</v>
      </c>
      <c r="B574" s="32" t="s">
        <v>44</v>
      </c>
      <c r="C574" s="32" t="s">
        <v>3459</v>
      </c>
      <c r="D574" s="32" t="s">
        <v>4082</v>
      </c>
      <c r="E574" s="32" t="s">
        <v>4083</v>
      </c>
      <c r="F574" s="4" t="s">
        <v>4084</v>
      </c>
      <c r="G574" s="4" t="s">
        <v>4085</v>
      </c>
      <c r="K574" s="18"/>
      <c r="L574" s="33"/>
      <c r="M574" s="20"/>
      <c r="N574" s="20"/>
      <c r="O574" s="20"/>
      <c r="P574" s="20"/>
      <c r="Q574" s="20"/>
      <c r="R574" s="20"/>
      <c r="S574" s="20"/>
      <c r="T574" s="20"/>
      <c r="U574" s="34"/>
      <c r="AF574" s="11" t="str">
        <f t="shared" si="394"/>
        <v/>
      </c>
      <c r="AG574" s="11" t="str">
        <f t="shared" ref="AG574:AO574" si="540">if(not(isblank(M574)),", "&amp;M574,"")</f>
        <v/>
      </c>
      <c r="AH574" s="11" t="str">
        <f t="shared" si="540"/>
        <v/>
      </c>
      <c r="AI574" s="11" t="str">
        <f t="shared" si="540"/>
        <v/>
      </c>
      <c r="AJ574" s="11" t="str">
        <f t="shared" si="540"/>
        <v/>
      </c>
      <c r="AK574" s="11" t="str">
        <f t="shared" si="540"/>
        <v/>
      </c>
      <c r="AL574" s="11" t="str">
        <f t="shared" si="540"/>
        <v/>
      </c>
      <c r="AM574" s="11" t="str">
        <f t="shared" si="540"/>
        <v/>
      </c>
      <c r="AN574" s="11" t="str">
        <f t="shared" si="540"/>
        <v/>
      </c>
      <c r="AO574" s="11" t="str">
        <f t="shared" si="540"/>
        <v/>
      </c>
      <c r="AP574" s="21" t="str">
        <f t="shared" si="396"/>
        <v>needle-black, needle-reverse-blue-stripe, needle-reverse-forest-doubledye, needle-reverse-nut-stripe, needle-white</v>
      </c>
    </row>
    <row r="575" ht="16.5" customHeight="1">
      <c r="A575" s="32" t="s">
        <v>34</v>
      </c>
      <c r="B575" s="32" t="s">
        <v>44</v>
      </c>
      <c r="C575" s="32" t="s">
        <v>3455</v>
      </c>
      <c r="D575" s="32" t="s">
        <v>4086</v>
      </c>
      <c r="E575" s="32" t="s">
        <v>4087</v>
      </c>
      <c r="F575" s="4" t="s">
        <v>4084</v>
      </c>
      <c r="G575" s="4" t="s">
        <v>4088</v>
      </c>
      <c r="K575" s="18"/>
      <c r="L575" s="35"/>
      <c r="M575" s="19"/>
      <c r="N575" s="20"/>
      <c r="O575" s="20"/>
      <c r="P575" s="20"/>
      <c r="Q575" s="20"/>
      <c r="R575" s="20"/>
      <c r="S575" s="20"/>
      <c r="T575" s="20"/>
      <c r="U575" s="34"/>
      <c r="AF575" s="11" t="str">
        <f t="shared" si="394"/>
        <v/>
      </c>
      <c r="AG575" s="11" t="str">
        <f t="shared" ref="AG575:AO575" si="541">if(not(isblank(M575)),", "&amp;M575,"")</f>
        <v/>
      </c>
      <c r="AH575" s="11" t="str">
        <f t="shared" si="541"/>
        <v/>
      </c>
      <c r="AI575" s="11" t="str">
        <f t="shared" si="541"/>
        <v/>
      </c>
      <c r="AJ575" s="11" t="str">
        <f t="shared" si="541"/>
        <v/>
      </c>
      <c r="AK575" s="11" t="str">
        <f t="shared" si="541"/>
        <v/>
      </c>
      <c r="AL575" s="11" t="str">
        <f t="shared" si="541"/>
        <v/>
      </c>
      <c r="AM575" s="11" t="str">
        <f t="shared" si="541"/>
        <v/>
      </c>
      <c r="AN575" s="11" t="str">
        <f t="shared" si="541"/>
        <v/>
      </c>
      <c r="AO575" s="11" t="str">
        <f t="shared" si="541"/>
        <v/>
      </c>
      <c r="AP575" s="21" t="str">
        <f t="shared" si="396"/>
        <v>needle-black, needle-reverse-blue-stripe, needle-reverse-butter-doubleye, needle-reverse-nut-stripe, needle-white</v>
      </c>
    </row>
    <row r="576" ht="16.5" customHeight="1">
      <c r="A576" s="32" t="s">
        <v>34</v>
      </c>
      <c r="B576" s="32" t="s">
        <v>44</v>
      </c>
      <c r="C576" s="32" t="s">
        <v>4089</v>
      </c>
      <c r="D576" s="32" t="s">
        <v>4090</v>
      </c>
      <c r="E576" s="32" t="s">
        <v>4091</v>
      </c>
      <c r="F576" s="4" t="s">
        <v>4092</v>
      </c>
      <c r="G576" s="4" t="s">
        <v>4093</v>
      </c>
      <c r="K576" s="18"/>
      <c r="L576" s="35"/>
      <c r="M576" s="19"/>
      <c r="N576" s="20"/>
      <c r="O576" s="20"/>
      <c r="P576" s="20"/>
      <c r="Q576" s="20"/>
      <c r="R576" s="20"/>
      <c r="S576" s="20"/>
      <c r="T576" s="20"/>
      <c r="U576" s="34"/>
      <c r="AF576" s="11" t="str">
        <f t="shared" si="394"/>
        <v/>
      </c>
      <c r="AG576" s="11" t="str">
        <f t="shared" ref="AG576:AO576" si="542">if(not(isblank(M576)),", "&amp;M576,"")</f>
        <v/>
      </c>
      <c r="AH576" s="11" t="str">
        <f t="shared" si="542"/>
        <v/>
      </c>
      <c r="AI576" s="11" t="str">
        <f t="shared" si="542"/>
        <v/>
      </c>
      <c r="AJ576" s="11" t="str">
        <f t="shared" si="542"/>
        <v/>
      </c>
      <c r="AK576" s="11" t="str">
        <f t="shared" si="542"/>
        <v/>
      </c>
      <c r="AL576" s="11" t="str">
        <f t="shared" si="542"/>
        <v/>
      </c>
      <c r="AM576" s="11" t="str">
        <f t="shared" si="542"/>
        <v/>
      </c>
      <c r="AN576" s="11" t="str">
        <f t="shared" si="542"/>
        <v/>
      </c>
      <c r="AO576" s="11" t="str">
        <f t="shared" si="542"/>
        <v/>
      </c>
      <c r="AP576" s="21" t="str">
        <f t="shared" si="396"/>
        <v>nelson-black, nelson-grisaille-overdye, nelson-light-grey, nelson-putty-overdye-1, nelson-raw-indigo-stripe, nelson-spice-overdye, nelson-white, nelson-toasted</v>
      </c>
    </row>
    <row r="577" ht="16.5" customHeight="1">
      <c r="A577" s="32" t="s">
        <v>34</v>
      </c>
      <c r="B577" s="32" t="s">
        <v>73</v>
      </c>
      <c r="C577" s="32" t="s">
        <v>4094</v>
      </c>
      <c r="D577" s="32" t="s">
        <v>4095</v>
      </c>
      <c r="E577" s="32" t="s">
        <v>4096</v>
      </c>
      <c r="F577" s="4" t="s">
        <v>4097</v>
      </c>
      <c r="G577" s="4"/>
      <c r="H577" s="4"/>
      <c r="K577" s="18"/>
      <c r="L577" s="35"/>
      <c r="M577" s="19"/>
      <c r="N577" s="20"/>
      <c r="O577" s="20"/>
      <c r="P577" s="20"/>
      <c r="Q577" s="20"/>
      <c r="R577" s="20"/>
      <c r="S577" s="20"/>
      <c r="T577" s="20"/>
      <c r="U577" s="34"/>
      <c r="AF577" s="11" t="str">
        <f t="shared" si="394"/>
        <v/>
      </c>
      <c r="AG577" s="11" t="str">
        <f t="shared" ref="AG577:AO577" si="543">if(not(isblank(M577)),", "&amp;M577,"")</f>
        <v/>
      </c>
      <c r="AH577" s="11" t="str">
        <f t="shared" si="543"/>
        <v/>
      </c>
      <c r="AI577" s="11" t="str">
        <f t="shared" si="543"/>
        <v/>
      </c>
      <c r="AJ577" s="11" t="str">
        <f t="shared" si="543"/>
        <v/>
      </c>
      <c r="AK577" s="11" t="str">
        <f t="shared" si="543"/>
        <v/>
      </c>
      <c r="AL577" s="11" t="str">
        <f t="shared" si="543"/>
        <v/>
      </c>
      <c r="AM577" s="11" t="str">
        <f t="shared" si="543"/>
        <v/>
      </c>
      <c r="AN577" s="11" t="str">
        <f t="shared" si="543"/>
        <v/>
      </c>
      <c r="AO577" s="11" t="str">
        <f t="shared" si="543"/>
        <v/>
      </c>
      <c r="AP577" s="21" t="str">
        <f t="shared" si="396"/>
        <v/>
      </c>
    </row>
    <row r="578" ht="16.5" customHeight="1">
      <c r="A578" s="32" t="s">
        <v>34</v>
      </c>
      <c r="B578" s="32" t="s">
        <v>44</v>
      </c>
      <c r="C578" s="32" t="s">
        <v>4098</v>
      </c>
      <c r="D578" s="32" t="s">
        <v>4099</v>
      </c>
      <c r="E578" s="32" t="s">
        <v>4100</v>
      </c>
      <c r="F578" s="4" t="s">
        <v>1516</v>
      </c>
      <c r="G578" s="4" t="s">
        <v>4101</v>
      </c>
      <c r="H578" s="4"/>
      <c r="K578" s="18"/>
      <c r="L578" s="35"/>
      <c r="M578" s="19"/>
      <c r="N578" s="20"/>
      <c r="O578" s="20"/>
      <c r="P578" s="20"/>
      <c r="Q578" s="20"/>
      <c r="R578" s="20"/>
      <c r="S578" s="20"/>
      <c r="T578" s="20"/>
      <c r="U578" s="34"/>
      <c r="AF578" s="11" t="str">
        <f t="shared" si="394"/>
        <v/>
      </c>
      <c r="AG578" s="11" t="str">
        <f t="shared" ref="AG578:AO578" si="544">if(not(isblank(M578)),", "&amp;M578,"")</f>
        <v/>
      </c>
      <c r="AH578" s="11" t="str">
        <f t="shared" si="544"/>
        <v/>
      </c>
      <c r="AI578" s="11" t="str">
        <f t="shared" si="544"/>
        <v/>
      </c>
      <c r="AJ578" s="11" t="str">
        <f t="shared" si="544"/>
        <v/>
      </c>
      <c r="AK578" s="11" t="str">
        <f t="shared" si="544"/>
        <v/>
      </c>
      <c r="AL578" s="11" t="str">
        <f t="shared" si="544"/>
        <v/>
      </c>
      <c r="AM578" s="11" t="str">
        <f t="shared" si="544"/>
        <v/>
      </c>
      <c r="AN578" s="11" t="str">
        <f t="shared" si="544"/>
        <v/>
      </c>
      <c r="AO578" s="11" t="str">
        <f t="shared" si="544"/>
        <v/>
      </c>
      <c r="AP578" s="21" t="str">
        <f t="shared" si="396"/>
        <v>palmer-grey, palmer-black</v>
      </c>
    </row>
    <row r="579" ht="16.5" customHeight="1">
      <c r="A579" s="32" t="s">
        <v>34</v>
      </c>
      <c r="B579" s="32" t="s">
        <v>73</v>
      </c>
      <c r="C579" s="32" t="s">
        <v>1157</v>
      </c>
      <c r="D579" s="32" t="s">
        <v>4102</v>
      </c>
      <c r="E579" s="32" t="s">
        <v>4103</v>
      </c>
      <c r="F579" s="4" t="s">
        <v>4104</v>
      </c>
      <c r="G579" s="4"/>
      <c r="H579" s="4"/>
      <c r="K579" s="18"/>
      <c r="L579" s="35"/>
      <c r="M579" s="19"/>
      <c r="N579" s="20"/>
      <c r="O579" s="20"/>
      <c r="P579" s="20"/>
      <c r="Q579" s="20"/>
      <c r="R579" s="20"/>
      <c r="S579" s="20"/>
      <c r="T579" s="20"/>
      <c r="U579" s="34"/>
      <c r="AF579" s="11" t="str">
        <f t="shared" si="394"/>
        <v/>
      </c>
      <c r="AG579" s="11" t="str">
        <f t="shared" ref="AG579:AO579" si="545">if(not(isblank(M579)),", "&amp;M579,"")</f>
        <v/>
      </c>
      <c r="AH579" s="11" t="str">
        <f t="shared" si="545"/>
        <v/>
      </c>
      <c r="AI579" s="11" t="str">
        <f t="shared" si="545"/>
        <v/>
      </c>
      <c r="AJ579" s="11" t="str">
        <f t="shared" si="545"/>
        <v/>
      </c>
      <c r="AK579" s="11" t="str">
        <f t="shared" si="545"/>
        <v/>
      </c>
      <c r="AL579" s="11" t="str">
        <f t="shared" si="545"/>
        <v/>
      </c>
      <c r="AM579" s="11" t="str">
        <f t="shared" si="545"/>
        <v/>
      </c>
      <c r="AN579" s="11" t="str">
        <f t="shared" si="545"/>
        <v/>
      </c>
      <c r="AO579" s="11" t="str">
        <f t="shared" si="545"/>
        <v/>
      </c>
      <c r="AP579" s="21" t="str">
        <f t="shared" si="396"/>
        <v/>
      </c>
    </row>
    <row r="580" ht="16.5" customHeight="1">
      <c r="A580" s="32" t="s">
        <v>34</v>
      </c>
      <c r="B580" s="32" t="s">
        <v>691</v>
      </c>
      <c r="C580" s="32" t="s">
        <v>225</v>
      </c>
      <c r="D580" s="32" t="s">
        <v>1926</v>
      </c>
      <c r="E580" s="32" t="s">
        <v>4105</v>
      </c>
      <c r="F580" s="4" t="s">
        <v>1929</v>
      </c>
      <c r="G580" s="4" t="s">
        <v>4106</v>
      </c>
      <c r="K580" s="18"/>
      <c r="L580" s="35"/>
      <c r="M580" s="19"/>
      <c r="N580" s="20"/>
      <c r="O580" s="20"/>
      <c r="P580" s="20"/>
      <c r="Q580" s="20"/>
      <c r="R580" s="20"/>
      <c r="S580" s="20"/>
      <c r="T580" s="20"/>
      <c r="U580" s="34"/>
      <c r="AF580" s="11" t="str">
        <f t="shared" si="394"/>
        <v/>
      </c>
      <c r="AG580" s="11" t="str">
        <f t="shared" ref="AG580:AO580" si="546">if(not(isblank(M580)),", "&amp;M580,"")</f>
        <v/>
      </c>
      <c r="AH580" s="11" t="str">
        <f t="shared" si="546"/>
        <v/>
      </c>
      <c r="AI580" s="11" t="str">
        <f t="shared" si="546"/>
        <v/>
      </c>
      <c r="AJ580" s="11" t="str">
        <f t="shared" si="546"/>
        <v/>
      </c>
      <c r="AK580" s="11" t="str">
        <f t="shared" si="546"/>
        <v/>
      </c>
      <c r="AL580" s="11" t="str">
        <f t="shared" si="546"/>
        <v/>
      </c>
      <c r="AM580" s="11" t="str">
        <f t="shared" si="546"/>
        <v/>
      </c>
      <c r="AN580" s="11" t="str">
        <f t="shared" si="546"/>
        <v/>
      </c>
      <c r="AO580" s="11" t="str">
        <f t="shared" si="546"/>
        <v/>
      </c>
      <c r="AP580" s="21" t="str">
        <f t="shared" si="396"/>
        <v>hayes-suit-jacket-black, hayes-stripe</v>
      </c>
    </row>
    <row r="581" ht="16.5" customHeight="1">
      <c r="A581" s="32" t="s">
        <v>34</v>
      </c>
      <c r="B581" s="32" t="s">
        <v>44</v>
      </c>
      <c r="C581" s="32" t="s">
        <v>1949</v>
      </c>
      <c r="D581" s="32" t="s">
        <v>1950</v>
      </c>
      <c r="E581" s="32" t="s">
        <v>4107</v>
      </c>
      <c r="F581" s="4" t="s">
        <v>1952</v>
      </c>
      <c r="G581" s="4" t="s">
        <v>4108</v>
      </c>
      <c r="K581" s="18"/>
      <c r="L581" s="35"/>
      <c r="M581" s="19"/>
      <c r="N581" s="20"/>
      <c r="O581" s="20"/>
      <c r="P581" s="20"/>
      <c r="Q581" s="20"/>
      <c r="R581" s="20"/>
      <c r="S581" s="20"/>
      <c r="T581" s="20"/>
      <c r="U581" s="34"/>
      <c r="AF581" s="11" t="str">
        <f t="shared" si="394"/>
        <v/>
      </c>
      <c r="AG581" s="11" t="str">
        <f t="shared" ref="AG581:AO581" si="547">if(not(isblank(M581)),", "&amp;M581,"")</f>
        <v/>
      </c>
      <c r="AH581" s="11" t="str">
        <f t="shared" si="547"/>
        <v/>
      </c>
      <c r="AI581" s="11" t="str">
        <f t="shared" si="547"/>
        <v/>
      </c>
      <c r="AJ581" s="11" t="str">
        <f t="shared" si="547"/>
        <v/>
      </c>
      <c r="AK581" s="11" t="str">
        <f t="shared" si="547"/>
        <v/>
      </c>
      <c r="AL581" s="11" t="str">
        <f t="shared" si="547"/>
        <v/>
      </c>
      <c r="AM581" s="11" t="str">
        <f t="shared" si="547"/>
        <v/>
      </c>
      <c r="AN581" s="11" t="str">
        <f t="shared" si="547"/>
        <v/>
      </c>
      <c r="AO581" s="11" t="str">
        <f t="shared" si="547"/>
        <v/>
      </c>
      <c r="AP581" s="21" t="str">
        <f t="shared" si="396"/>
        <v>nelson-black, nelson-grisaille-overdye, nelson-light-grey, nelson-string, nelson-raw-indigo-stripe, nelson-spice-overdye, nelson-white, nelson-toasted</v>
      </c>
    </row>
    <row r="582" ht="16.5" customHeight="1">
      <c r="A582" s="32" t="s">
        <v>34</v>
      </c>
      <c r="B582" s="32" t="s">
        <v>691</v>
      </c>
      <c r="C582" s="32" t="s">
        <v>1823</v>
      </c>
      <c r="D582" s="32" t="s">
        <v>4109</v>
      </c>
      <c r="E582" s="32" t="s">
        <v>4110</v>
      </c>
      <c r="F582" s="4" t="s">
        <v>4111</v>
      </c>
      <c r="G582" s="4" t="s">
        <v>4112</v>
      </c>
      <c r="K582" s="18"/>
      <c r="L582" s="33"/>
      <c r="M582" s="20"/>
      <c r="N582" s="20"/>
      <c r="O582" s="20"/>
      <c r="P582" s="20"/>
      <c r="Q582" s="20"/>
      <c r="R582" s="20"/>
      <c r="S582" s="20"/>
      <c r="T582" s="20"/>
      <c r="U582" s="34"/>
      <c r="AF582" s="11" t="str">
        <f t="shared" si="394"/>
        <v/>
      </c>
      <c r="AG582" s="11" t="str">
        <f t="shared" ref="AG582:AO582" si="548">if(not(isblank(M582)),", "&amp;M582,"")</f>
        <v/>
      </c>
      <c r="AH582" s="11" t="str">
        <f t="shared" si="548"/>
        <v/>
      </c>
      <c r="AI582" s="11" t="str">
        <f t="shared" si="548"/>
        <v/>
      </c>
      <c r="AJ582" s="11" t="str">
        <f t="shared" si="548"/>
        <v/>
      </c>
      <c r="AK582" s="11" t="str">
        <f t="shared" si="548"/>
        <v/>
      </c>
      <c r="AL582" s="11" t="str">
        <f t="shared" si="548"/>
        <v/>
      </c>
      <c r="AM582" s="11" t="str">
        <f t="shared" si="548"/>
        <v/>
      </c>
      <c r="AN582" s="11" t="str">
        <f t="shared" si="548"/>
        <v/>
      </c>
      <c r="AO582" s="11" t="str">
        <f t="shared" si="548"/>
        <v/>
      </c>
      <c r="AP582" s="21" t="str">
        <f t="shared" si="396"/>
        <v>hayes-suit-jacket-stripe, hayes-black</v>
      </c>
    </row>
    <row r="583" ht="16.5" customHeight="1">
      <c r="A583" s="32" t="s">
        <v>34</v>
      </c>
      <c r="B583" s="32" t="s">
        <v>257</v>
      </c>
      <c r="C583" s="32" t="s">
        <v>4113</v>
      </c>
      <c r="D583" s="32" t="s">
        <v>4114</v>
      </c>
      <c r="E583" s="32" t="s">
        <v>4115</v>
      </c>
      <c r="F583" s="4" t="s">
        <v>4116</v>
      </c>
      <c r="G583" s="4"/>
      <c r="H583" s="4"/>
      <c r="K583" s="18"/>
      <c r="L583" s="35" t="s">
        <v>3566</v>
      </c>
      <c r="M583" s="20"/>
      <c r="N583" s="20"/>
      <c r="O583" s="20"/>
      <c r="P583" s="20"/>
      <c r="Q583" s="20"/>
      <c r="R583" s="20"/>
      <c r="S583" s="20"/>
      <c r="T583" s="20"/>
      <c r="U583" s="34"/>
      <c r="AF583" s="11" t="str">
        <f t="shared" si="394"/>
        <v>ebela-black</v>
      </c>
      <c r="AG583" s="11" t="str">
        <f t="shared" ref="AG583:AO583" si="549">if(not(isblank(M583)),", "&amp;M583,"")</f>
        <v/>
      </c>
      <c r="AH583" s="11" t="str">
        <f t="shared" si="549"/>
        <v/>
      </c>
      <c r="AI583" s="11" t="str">
        <f t="shared" si="549"/>
        <v/>
      </c>
      <c r="AJ583" s="11" t="str">
        <f t="shared" si="549"/>
        <v/>
      </c>
      <c r="AK583" s="11" t="str">
        <f t="shared" si="549"/>
        <v/>
      </c>
      <c r="AL583" s="11" t="str">
        <f t="shared" si="549"/>
        <v/>
      </c>
      <c r="AM583" s="11" t="str">
        <f t="shared" si="549"/>
        <v/>
      </c>
      <c r="AN583" s="11" t="str">
        <f t="shared" si="549"/>
        <v/>
      </c>
      <c r="AO583" s="11" t="str">
        <f t="shared" si="549"/>
        <v/>
      </c>
      <c r="AP583" s="21" t="str">
        <f t="shared" si="396"/>
        <v>ebela-black</v>
      </c>
    </row>
    <row r="584" ht="16.5" customHeight="1">
      <c r="A584" s="32" t="s">
        <v>34</v>
      </c>
      <c r="B584" s="32" t="s">
        <v>73</v>
      </c>
      <c r="C584" s="32" t="s">
        <v>4117</v>
      </c>
      <c r="D584" s="32" t="s">
        <v>4118</v>
      </c>
      <c r="E584" s="32" t="s">
        <v>4119</v>
      </c>
      <c r="F584" s="4" t="s">
        <v>1907</v>
      </c>
      <c r="G584" s="4" t="s">
        <v>4120</v>
      </c>
      <c r="H584" s="4"/>
      <c r="K584" s="18"/>
      <c r="L584" s="35" t="s">
        <v>3572</v>
      </c>
      <c r="M584" s="20"/>
      <c r="N584" s="20"/>
      <c r="O584" s="20"/>
      <c r="P584" s="20"/>
      <c r="Q584" s="20"/>
      <c r="R584" s="20"/>
      <c r="S584" s="20"/>
      <c r="T584" s="20"/>
      <c r="U584" s="34"/>
      <c r="AF584" s="11" t="str">
        <f t="shared" si="394"/>
        <v>kerin-taupe</v>
      </c>
      <c r="AG584" s="11" t="str">
        <f t="shared" ref="AG584:AO584" si="550">if(not(isblank(M584)),", "&amp;M584,"")</f>
        <v/>
      </c>
      <c r="AH584" s="11" t="str">
        <f t="shared" si="550"/>
        <v/>
      </c>
      <c r="AI584" s="11" t="str">
        <f t="shared" si="550"/>
        <v/>
      </c>
      <c r="AJ584" s="11" t="str">
        <f t="shared" si="550"/>
        <v/>
      </c>
      <c r="AK584" s="11" t="str">
        <f t="shared" si="550"/>
        <v/>
      </c>
      <c r="AL584" s="11" t="str">
        <f t="shared" si="550"/>
        <v/>
      </c>
      <c r="AM584" s="11" t="str">
        <f t="shared" si="550"/>
        <v/>
      </c>
      <c r="AN584" s="11" t="str">
        <f t="shared" si="550"/>
        <v/>
      </c>
      <c r="AO584" s="11" t="str">
        <f t="shared" si="550"/>
        <v/>
      </c>
      <c r="AP584" s="21" t="str">
        <f t="shared" si="396"/>
        <v>kerin-taupe</v>
      </c>
    </row>
    <row r="585" ht="16.5" customHeight="1">
      <c r="A585" s="32" t="s">
        <v>34</v>
      </c>
      <c r="B585" s="32" t="s">
        <v>257</v>
      </c>
      <c r="C585" s="32" t="s">
        <v>4121</v>
      </c>
      <c r="D585" s="32" t="s">
        <v>4122</v>
      </c>
      <c r="E585" s="32" t="s">
        <v>4123</v>
      </c>
      <c r="F585" s="4" t="s">
        <v>4124</v>
      </c>
      <c r="G585" s="4" t="s">
        <v>4125</v>
      </c>
      <c r="K585" s="18"/>
      <c r="L585" s="35" t="s">
        <v>4071</v>
      </c>
      <c r="M585" s="20"/>
      <c r="N585" s="20"/>
      <c r="O585" s="20"/>
      <c r="P585" s="20"/>
      <c r="Q585" s="20"/>
      <c r="R585" s="20"/>
      <c r="S585" s="20"/>
      <c r="T585" s="20"/>
      <c r="U585" s="34"/>
      <c r="AF585" s="11" t="str">
        <f t="shared" si="394"/>
        <v>keller-red-stripe</v>
      </c>
      <c r="AG585" s="11" t="str">
        <f t="shared" ref="AG585:AO585" si="551">if(not(isblank(M585)),", "&amp;M585,"")</f>
        <v/>
      </c>
      <c r="AH585" s="11" t="str">
        <f t="shared" si="551"/>
        <v/>
      </c>
      <c r="AI585" s="11" t="str">
        <f t="shared" si="551"/>
        <v/>
      </c>
      <c r="AJ585" s="11" t="str">
        <f t="shared" si="551"/>
        <v/>
      </c>
      <c r="AK585" s="11" t="str">
        <f t="shared" si="551"/>
        <v/>
      </c>
      <c r="AL585" s="11" t="str">
        <f t="shared" si="551"/>
        <v/>
      </c>
      <c r="AM585" s="11" t="str">
        <f t="shared" si="551"/>
        <v/>
      </c>
      <c r="AN585" s="11" t="str">
        <f t="shared" si="551"/>
        <v/>
      </c>
      <c r="AO585" s="11" t="str">
        <f t="shared" si="551"/>
        <v/>
      </c>
      <c r="AP585" s="21" t="str">
        <f t="shared" si="396"/>
        <v>keller-red-stripe</v>
      </c>
    </row>
    <row r="586" ht="16.5" customHeight="1">
      <c r="A586" s="32" t="s">
        <v>34</v>
      </c>
      <c r="B586" s="32" t="s">
        <v>4126</v>
      </c>
      <c r="C586" s="32" t="s">
        <v>4127</v>
      </c>
      <c r="D586" s="32" t="s">
        <v>4128</v>
      </c>
      <c r="E586" s="32" t="s">
        <v>4129</v>
      </c>
      <c r="F586" s="4" t="s">
        <v>4130</v>
      </c>
      <c r="G586" s="4" t="s">
        <v>4131</v>
      </c>
      <c r="K586" s="18"/>
      <c r="L586" s="35" t="s">
        <v>1239</v>
      </c>
      <c r="M586" s="19" t="s">
        <v>2434</v>
      </c>
      <c r="N586" s="50" t="s">
        <v>3603</v>
      </c>
      <c r="O586" s="19" t="s">
        <v>4089</v>
      </c>
      <c r="P586" s="19" t="s">
        <v>3993</v>
      </c>
      <c r="Q586" s="19" t="s">
        <v>4132</v>
      </c>
      <c r="R586" s="19" t="s">
        <v>622</v>
      </c>
      <c r="S586" s="19" t="s">
        <v>3998</v>
      </c>
      <c r="T586" s="20"/>
      <c r="U586" s="34"/>
      <c r="AF586" s="11" t="str">
        <f t="shared" si="394"/>
        <v>nelson-black</v>
      </c>
      <c r="AG586" s="11" t="str">
        <f t="shared" ref="AG586:AO586" si="552">if(not(isblank(M586)),", "&amp;M586,"")</f>
        <v>, nelson-grisaille-overdye</v>
      </c>
      <c r="AH586" s="11" t="str">
        <f t="shared" si="552"/>
        <v>, nelson-light-grey</v>
      </c>
      <c r="AI586" s="11" t="str">
        <f t="shared" si="552"/>
        <v>, nelson-string</v>
      </c>
      <c r="AJ586" s="11" t="str">
        <f t="shared" si="552"/>
        <v>, nelson-raw-indigo-stripe</v>
      </c>
      <c r="AK586" s="11" t="str">
        <f t="shared" si="552"/>
        <v>, nelson-spice-overdye</v>
      </c>
      <c r="AL586" s="11" t="str">
        <f t="shared" si="552"/>
        <v>, nelson-white</v>
      </c>
      <c r="AM586" s="11" t="str">
        <f t="shared" si="552"/>
        <v>, nelson-toasted</v>
      </c>
      <c r="AN586" s="11" t="str">
        <f t="shared" si="552"/>
        <v/>
      </c>
      <c r="AO586" s="11" t="str">
        <f t="shared" si="552"/>
        <v/>
      </c>
      <c r="AP586" s="21" t="str">
        <f t="shared" si="396"/>
        <v>nelson-black, nelson-grisaille-overdye, nelson-light-grey, nelson-string, nelson-raw-indigo-stripe, nelson-spice-overdye, nelson-white, nelson-toasted</v>
      </c>
    </row>
    <row r="587" ht="16.5" customHeight="1">
      <c r="A587" s="32" t="s">
        <v>34</v>
      </c>
      <c r="B587" s="32" t="s">
        <v>4126</v>
      </c>
      <c r="C587" s="32" t="s">
        <v>4133</v>
      </c>
      <c r="D587" s="32" t="s">
        <v>4134</v>
      </c>
      <c r="E587" s="32" t="s">
        <v>4135</v>
      </c>
      <c r="F587" s="4" t="s">
        <v>4136</v>
      </c>
      <c r="G587" s="4" t="s">
        <v>4137</v>
      </c>
      <c r="K587" s="18"/>
      <c r="L587" s="35" t="s">
        <v>1239</v>
      </c>
      <c r="M587" s="19" t="s">
        <v>2434</v>
      </c>
      <c r="N587" s="50" t="s">
        <v>3603</v>
      </c>
      <c r="O587" s="19" t="s">
        <v>1949</v>
      </c>
      <c r="P587" s="19" t="s">
        <v>3993</v>
      </c>
      <c r="Q587" s="19" t="s">
        <v>4132</v>
      </c>
      <c r="R587" s="19" t="s">
        <v>622</v>
      </c>
      <c r="S587" s="19" t="s">
        <v>3998</v>
      </c>
      <c r="T587" s="20"/>
      <c r="U587" s="34"/>
      <c r="AF587" s="11" t="str">
        <f t="shared" si="394"/>
        <v>nelson-black</v>
      </c>
      <c r="AG587" s="11" t="str">
        <f t="shared" ref="AG587:AO587" si="553">if(not(isblank(M587)),", "&amp;M587,"")</f>
        <v>, nelson-grisaille-overdye</v>
      </c>
      <c r="AH587" s="11" t="str">
        <f t="shared" si="553"/>
        <v>, nelson-light-grey</v>
      </c>
      <c r="AI587" s="11" t="str">
        <f t="shared" si="553"/>
        <v>, nelson-putty-overdye-1</v>
      </c>
      <c r="AJ587" s="11" t="str">
        <f t="shared" si="553"/>
        <v>, nelson-raw-indigo-stripe</v>
      </c>
      <c r="AK587" s="11" t="str">
        <f t="shared" si="553"/>
        <v>, nelson-spice-overdye</v>
      </c>
      <c r="AL587" s="11" t="str">
        <f t="shared" si="553"/>
        <v>, nelson-white</v>
      </c>
      <c r="AM587" s="11" t="str">
        <f t="shared" si="553"/>
        <v>, nelson-toasted</v>
      </c>
      <c r="AN587" s="11" t="str">
        <f t="shared" si="553"/>
        <v/>
      </c>
      <c r="AO587" s="11" t="str">
        <f t="shared" si="553"/>
        <v/>
      </c>
      <c r="AP587" s="21" t="str">
        <f t="shared" si="396"/>
        <v>nelson-black, nelson-grisaille-overdye, nelson-light-grey, nelson-putty-overdye-1, nelson-raw-indigo-stripe, nelson-spice-overdye, nelson-white, nelson-toasted</v>
      </c>
    </row>
    <row r="588" ht="16.5" customHeight="1">
      <c r="A588" s="32" t="s">
        <v>34</v>
      </c>
      <c r="B588" s="32" t="s">
        <v>4126</v>
      </c>
      <c r="C588" s="32" t="s">
        <v>4138</v>
      </c>
      <c r="D588" s="32" t="s">
        <v>4139</v>
      </c>
      <c r="E588" s="32" t="s">
        <v>4140</v>
      </c>
      <c r="F588" s="4" t="s">
        <v>4141</v>
      </c>
      <c r="G588" s="4" t="s">
        <v>4142</v>
      </c>
      <c r="K588" s="18"/>
      <c r="L588" s="35" t="s">
        <v>3623</v>
      </c>
      <c r="M588" s="19" t="s">
        <v>1513</v>
      </c>
      <c r="N588" s="20"/>
      <c r="O588" s="20"/>
      <c r="P588" s="20"/>
      <c r="Q588" s="20"/>
      <c r="R588" s="20"/>
      <c r="S588" s="20"/>
      <c r="T588" s="20"/>
      <c r="U588" s="34"/>
      <c r="AF588" s="11" t="str">
        <f t="shared" si="394"/>
        <v>palmer-grey</v>
      </c>
      <c r="AG588" s="11" t="str">
        <f t="shared" ref="AG588:AO588" si="554">if(not(isblank(M588)),", "&amp;M588,"")</f>
        <v>, palmer-black</v>
      </c>
      <c r="AH588" s="11" t="str">
        <f t="shared" si="554"/>
        <v/>
      </c>
      <c r="AI588" s="11" t="str">
        <f t="shared" si="554"/>
        <v/>
      </c>
      <c r="AJ588" s="11" t="str">
        <f t="shared" si="554"/>
        <v/>
      </c>
      <c r="AK588" s="11" t="str">
        <f t="shared" si="554"/>
        <v/>
      </c>
      <c r="AL588" s="11" t="str">
        <f t="shared" si="554"/>
        <v/>
      </c>
      <c r="AM588" s="11" t="str">
        <f t="shared" si="554"/>
        <v/>
      </c>
      <c r="AN588" s="11" t="str">
        <f t="shared" si="554"/>
        <v/>
      </c>
      <c r="AO588" s="11" t="str">
        <f t="shared" si="554"/>
        <v/>
      </c>
      <c r="AP588" s="21" t="str">
        <f t="shared" si="396"/>
        <v>palmer-grey, palmer-black</v>
      </c>
    </row>
    <row r="589" ht="16.5" customHeight="1">
      <c r="A589" s="32" t="s">
        <v>34</v>
      </c>
      <c r="B589" s="32" t="s">
        <v>4143</v>
      </c>
      <c r="C589" s="32" t="s">
        <v>4144</v>
      </c>
      <c r="D589" s="32" t="s">
        <v>4145</v>
      </c>
      <c r="E589" s="32" t="s">
        <v>4146</v>
      </c>
      <c r="F589" s="4" t="s">
        <v>4147</v>
      </c>
      <c r="G589" s="4"/>
      <c r="H589" s="4"/>
      <c r="K589" s="18"/>
      <c r="L589" s="33"/>
      <c r="M589" s="20"/>
      <c r="N589" s="20"/>
      <c r="O589" s="20"/>
      <c r="P589" s="20"/>
      <c r="Q589" s="20"/>
      <c r="R589" s="20"/>
      <c r="S589" s="20"/>
      <c r="T589" s="20"/>
      <c r="U589" s="34"/>
      <c r="AF589" s="11" t="str">
        <f t="shared" si="394"/>
        <v/>
      </c>
      <c r="AG589" s="11" t="str">
        <f t="shared" ref="AG589:AO589" si="555">if(not(isblank(M589)),", "&amp;M589,"")</f>
        <v/>
      </c>
      <c r="AH589" s="11" t="str">
        <f t="shared" si="555"/>
        <v/>
      </c>
      <c r="AI589" s="11" t="str">
        <f t="shared" si="555"/>
        <v/>
      </c>
      <c r="AJ589" s="11" t="str">
        <f t="shared" si="555"/>
        <v/>
      </c>
      <c r="AK589" s="11" t="str">
        <f t="shared" si="555"/>
        <v/>
      </c>
      <c r="AL589" s="11" t="str">
        <f t="shared" si="555"/>
        <v/>
      </c>
      <c r="AM589" s="11" t="str">
        <f t="shared" si="555"/>
        <v/>
      </c>
      <c r="AN589" s="11" t="str">
        <f t="shared" si="555"/>
        <v/>
      </c>
      <c r="AO589" s="11" t="str">
        <f t="shared" si="555"/>
        <v/>
      </c>
      <c r="AP589" s="21" t="str">
        <f t="shared" si="396"/>
        <v/>
      </c>
    </row>
    <row r="590" ht="16.5" customHeight="1">
      <c r="A590" s="32" t="s">
        <v>34</v>
      </c>
      <c r="B590" s="32" t="s">
        <v>307</v>
      </c>
      <c r="C590" s="32" t="s">
        <v>4148</v>
      </c>
      <c r="D590" s="32" t="s">
        <v>4149</v>
      </c>
      <c r="E590" s="32" t="s">
        <v>4150</v>
      </c>
      <c r="F590" s="4" t="s">
        <v>4151</v>
      </c>
      <c r="G590" s="4" t="s">
        <v>4152</v>
      </c>
      <c r="K590" s="18"/>
      <c r="L590" s="33"/>
      <c r="M590" s="20"/>
      <c r="N590" s="20"/>
      <c r="O590" s="20"/>
      <c r="P590" s="20"/>
      <c r="Q590" s="20"/>
      <c r="R590" s="20"/>
      <c r="S590" s="20"/>
      <c r="T590" s="20"/>
      <c r="U590" s="34"/>
      <c r="AF590" s="11" t="str">
        <f t="shared" si="394"/>
        <v/>
      </c>
      <c r="AG590" s="11" t="str">
        <f t="shared" ref="AG590:AO590" si="556">if(not(isblank(M590)),", "&amp;M590,"")</f>
        <v/>
      </c>
      <c r="AH590" s="11" t="str">
        <f t="shared" si="556"/>
        <v/>
      </c>
      <c r="AI590" s="11" t="str">
        <f t="shared" si="556"/>
        <v/>
      </c>
      <c r="AJ590" s="11" t="str">
        <f t="shared" si="556"/>
        <v/>
      </c>
      <c r="AK590" s="11" t="str">
        <f t="shared" si="556"/>
        <v/>
      </c>
      <c r="AL590" s="11" t="str">
        <f t="shared" si="556"/>
        <v/>
      </c>
      <c r="AM590" s="11" t="str">
        <f t="shared" si="556"/>
        <v/>
      </c>
      <c r="AN590" s="11" t="str">
        <f t="shared" si="556"/>
        <v/>
      </c>
      <c r="AO590" s="11" t="str">
        <f t="shared" si="556"/>
        <v/>
      </c>
      <c r="AP590" s="21" t="str">
        <f t="shared" si="396"/>
        <v>barnes-japan-dawn, barnes-japan-fade, barnes-japan-black, barnes-japan-mole, barnes-japan-forest-fog, barnes-japan-putty, barnes-japan-rinse-selvage, barnes-22-5-oz-japan-heavy-selvage</v>
      </c>
    </row>
    <row r="591" ht="16.5" customHeight="1">
      <c r="A591" s="32" t="s">
        <v>34</v>
      </c>
      <c r="B591" s="32" t="s">
        <v>39</v>
      </c>
      <c r="C591" s="32" t="s">
        <v>4153</v>
      </c>
      <c r="D591" s="32" t="s">
        <v>1229</v>
      </c>
      <c r="E591" s="32" t="s">
        <v>4154</v>
      </c>
      <c r="F591" s="4" t="s">
        <v>4155</v>
      </c>
      <c r="G591" s="4" t="s">
        <v>4156</v>
      </c>
      <c r="K591" s="18"/>
      <c r="L591" s="33"/>
      <c r="M591" s="20"/>
      <c r="N591" s="20"/>
      <c r="O591" s="20"/>
      <c r="P591" s="20"/>
      <c r="Q591" s="20"/>
      <c r="R591" s="20"/>
      <c r="S591" s="20"/>
      <c r="T591" s="20"/>
      <c r="U591" s="34"/>
      <c r="AF591" s="11" t="str">
        <f t="shared" si="394"/>
        <v/>
      </c>
      <c r="AG591" s="11" t="str">
        <f t="shared" ref="AG591:AO591" si="557">if(not(isblank(M591)),", "&amp;M591,"")</f>
        <v/>
      </c>
      <c r="AH591" s="11" t="str">
        <f t="shared" si="557"/>
        <v/>
      </c>
      <c r="AI591" s="11" t="str">
        <f t="shared" si="557"/>
        <v/>
      </c>
      <c r="AJ591" s="11" t="str">
        <f t="shared" si="557"/>
        <v/>
      </c>
      <c r="AK591" s="11" t="str">
        <f t="shared" si="557"/>
        <v/>
      </c>
      <c r="AL591" s="11" t="str">
        <f t="shared" si="557"/>
        <v/>
      </c>
      <c r="AM591" s="11" t="str">
        <f t="shared" si="557"/>
        <v/>
      </c>
      <c r="AN591" s="11" t="str">
        <f t="shared" si="557"/>
        <v/>
      </c>
      <c r="AO591" s="11" t="str">
        <f t="shared" si="557"/>
        <v/>
      </c>
      <c r="AP591" s="21" t="str">
        <f t="shared" si="396"/>
        <v>henrey-pure-linen-check, henrey-celeste-office-stripe-poplin</v>
      </c>
    </row>
    <row r="592" ht="16.5" customHeight="1">
      <c r="A592" s="32" t="s">
        <v>34</v>
      </c>
      <c r="B592" s="32" t="s">
        <v>277</v>
      </c>
      <c r="C592" s="32" t="s">
        <v>4157</v>
      </c>
      <c r="D592" s="32" t="s">
        <v>4158</v>
      </c>
      <c r="E592" s="32" t="s">
        <v>4159</v>
      </c>
      <c r="F592" s="4" t="s">
        <v>4160</v>
      </c>
      <c r="G592" s="4"/>
      <c r="H592" s="4"/>
      <c r="K592" s="18"/>
      <c r="L592" s="33"/>
      <c r="M592" s="20"/>
      <c r="N592" s="20"/>
      <c r="O592" s="20"/>
      <c r="P592" s="20"/>
      <c r="Q592" s="20"/>
      <c r="R592" s="20"/>
      <c r="S592" s="20"/>
      <c r="T592" s="20"/>
      <c r="U592" s="34"/>
      <c r="AF592" s="11" t="str">
        <f t="shared" si="394"/>
        <v/>
      </c>
      <c r="AG592" s="11" t="str">
        <f t="shared" ref="AG592:AO592" si="558">if(not(isblank(M592)),", "&amp;M592,"")</f>
        <v/>
      </c>
      <c r="AH592" s="11" t="str">
        <f t="shared" si="558"/>
        <v/>
      </c>
      <c r="AI592" s="11" t="str">
        <f t="shared" si="558"/>
        <v/>
      </c>
      <c r="AJ592" s="11" t="str">
        <f t="shared" si="558"/>
        <v/>
      </c>
      <c r="AK592" s="11" t="str">
        <f t="shared" si="558"/>
        <v/>
      </c>
      <c r="AL592" s="11" t="str">
        <f t="shared" si="558"/>
        <v/>
      </c>
      <c r="AM592" s="11" t="str">
        <f t="shared" si="558"/>
        <v/>
      </c>
      <c r="AN592" s="11" t="str">
        <f t="shared" si="558"/>
        <v/>
      </c>
      <c r="AO592" s="11" t="str">
        <f t="shared" si="558"/>
        <v/>
      </c>
      <c r="AP592" s="21" t="str">
        <f t="shared" si="396"/>
        <v/>
      </c>
    </row>
    <row r="593" ht="16.5" customHeight="1">
      <c r="A593" s="32" t="s">
        <v>34</v>
      </c>
      <c r="B593" s="32" t="s">
        <v>39</v>
      </c>
      <c r="C593" s="32" t="s">
        <v>4161</v>
      </c>
      <c r="D593" s="32" t="s">
        <v>3336</v>
      </c>
      <c r="E593" s="32" t="s">
        <v>3337</v>
      </c>
      <c r="F593" s="4" t="s">
        <v>3338</v>
      </c>
      <c r="G593" s="4" t="s">
        <v>4162</v>
      </c>
      <c r="K593" s="18"/>
      <c r="L593" s="35" t="s">
        <v>4075</v>
      </c>
      <c r="M593" s="19" t="s">
        <v>3491</v>
      </c>
      <c r="N593" s="20"/>
      <c r="O593" s="20"/>
      <c r="P593" s="20"/>
      <c r="Q593" s="20"/>
      <c r="R593" s="20"/>
      <c r="S593" s="20"/>
      <c r="T593" s="20"/>
      <c r="U593" s="34"/>
      <c r="AF593" s="11" t="str">
        <f t="shared" si="394"/>
        <v>lefty-forest-moleskin</v>
      </c>
      <c r="AG593" s="11" t="str">
        <f t="shared" ref="AG593:AO593" si="559">if(not(isblank(M593)),", "&amp;M593,"")</f>
        <v>, lefty-red-check</v>
      </c>
      <c r="AH593" s="11" t="str">
        <f t="shared" si="559"/>
        <v/>
      </c>
      <c r="AI593" s="11" t="str">
        <f t="shared" si="559"/>
        <v/>
      </c>
      <c r="AJ593" s="11" t="str">
        <f t="shared" si="559"/>
        <v/>
      </c>
      <c r="AK593" s="11" t="str">
        <f t="shared" si="559"/>
        <v/>
      </c>
      <c r="AL593" s="11" t="str">
        <f t="shared" si="559"/>
        <v/>
      </c>
      <c r="AM593" s="11" t="str">
        <f t="shared" si="559"/>
        <v/>
      </c>
      <c r="AN593" s="11" t="str">
        <f t="shared" si="559"/>
        <v/>
      </c>
      <c r="AO593" s="11" t="str">
        <f t="shared" si="559"/>
        <v/>
      </c>
      <c r="AP593" s="21" t="str">
        <f t="shared" si="396"/>
        <v>lefty-forest-moleskin, lefty-red-check</v>
      </c>
    </row>
    <row r="594" ht="16.5" customHeight="1">
      <c r="A594" s="32" t="s">
        <v>34</v>
      </c>
      <c r="B594" s="32" t="s">
        <v>307</v>
      </c>
      <c r="C594" s="32" t="s">
        <v>4163</v>
      </c>
      <c r="D594" s="32" t="s">
        <v>4164</v>
      </c>
      <c r="E594" s="32" t="s">
        <v>4165</v>
      </c>
      <c r="F594" s="4" t="s">
        <v>4166</v>
      </c>
      <c r="G594" s="4"/>
      <c r="H594" s="4"/>
      <c r="K594" s="18"/>
      <c r="L594" s="35" t="s">
        <v>3490</v>
      </c>
      <c r="M594" s="19" t="s">
        <v>4075</v>
      </c>
      <c r="N594" s="20"/>
      <c r="O594" s="20"/>
      <c r="P594" s="20"/>
      <c r="Q594" s="20"/>
      <c r="R594" s="20"/>
      <c r="S594" s="20"/>
      <c r="T594" s="20"/>
      <c r="U594" s="34"/>
      <c r="AF594" s="11" t="str">
        <f t="shared" si="394"/>
        <v>lefty-mud-moleskin</v>
      </c>
      <c r="AG594" s="11" t="str">
        <f t="shared" ref="AG594:AO594" si="560">if(not(isblank(M594)),", "&amp;M594,"")</f>
        <v>, lefty-forest-moleskin</v>
      </c>
      <c r="AH594" s="11" t="str">
        <f t="shared" si="560"/>
        <v/>
      </c>
      <c r="AI594" s="11" t="str">
        <f t="shared" si="560"/>
        <v/>
      </c>
      <c r="AJ594" s="11" t="str">
        <f t="shared" si="560"/>
        <v/>
      </c>
      <c r="AK594" s="11" t="str">
        <f t="shared" si="560"/>
        <v/>
      </c>
      <c r="AL594" s="11" t="str">
        <f t="shared" si="560"/>
        <v/>
      </c>
      <c r="AM594" s="11" t="str">
        <f t="shared" si="560"/>
        <v/>
      </c>
      <c r="AN594" s="11" t="str">
        <f t="shared" si="560"/>
        <v/>
      </c>
      <c r="AO594" s="11" t="str">
        <f t="shared" si="560"/>
        <v/>
      </c>
      <c r="AP594" s="21" t="str">
        <f t="shared" si="396"/>
        <v>lefty-mud-moleskin, lefty-forest-moleskin</v>
      </c>
    </row>
    <row r="595" ht="16.5" customHeight="1">
      <c r="A595" s="32" t="s">
        <v>34</v>
      </c>
      <c r="B595" s="32" t="s">
        <v>39</v>
      </c>
      <c r="C595" s="32" t="s">
        <v>4167</v>
      </c>
      <c r="D595" s="32" t="s">
        <v>4168</v>
      </c>
      <c r="E595" s="32" t="s">
        <v>4169</v>
      </c>
      <c r="F595" s="4" t="s">
        <v>4170</v>
      </c>
      <c r="G595" s="4" t="s">
        <v>4171</v>
      </c>
      <c r="K595" s="18"/>
      <c r="L595" s="35" t="s">
        <v>1928</v>
      </c>
      <c r="M595" s="19" t="s">
        <v>1823</v>
      </c>
      <c r="N595" s="20"/>
      <c r="O595" s="20"/>
      <c r="P595" s="20"/>
      <c r="Q595" s="20"/>
      <c r="R595" s="20"/>
      <c r="S595" s="20"/>
      <c r="T595" s="20"/>
      <c r="U595" s="34"/>
      <c r="AF595" s="11" t="str">
        <f t="shared" si="394"/>
        <v>hayes-suit-jacket-black</v>
      </c>
      <c r="AG595" s="11" t="str">
        <f t="shared" ref="AG595:AO595" si="561">if(not(isblank(M595)),", "&amp;M595,"")</f>
        <v>, hayes-stripe</v>
      </c>
      <c r="AH595" s="11" t="str">
        <f t="shared" si="561"/>
        <v/>
      </c>
      <c r="AI595" s="11" t="str">
        <f t="shared" si="561"/>
        <v/>
      </c>
      <c r="AJ595" s="11" t="str">
        <f t="shared" si="561"/>
        <v/>
      </c>
      <c r="AK595" s="11" t="str">
        <f t="shared" si="561"/>
        <v/>
      </c>
      <c r="AL595" s="11" t="str">
        <f t="shared" si="561"/>
        <v/>
      </c>
      <c r="AM595" s="11" t="str">
        <f t="shared" si="561"/>
        <v/>
      </c>
      <c r="AN595" s="11" t="str">
        <f t="shared" si="561"/>
        <v/>
      </c>
      <c r="AO595" s="11" t="str">
        <f t="shared" si="561"/>
        <v/>
      </c>
      <c r="AP595" s="21" t="str">
        <f t="shared" si="396"/>
        <v>hayes-suit-jacket-black, hayes-stripe</v>
      </c>
    </row>
    <row r="596" ht="16.5" customHeight="1">
      <c r="A596" s="32" t="s">
        <v>34</v>
      </c>
      <c r="B596" s="32" t="s">
        <v>361</v>
      </c>
      <c r="C596" s="32" t="s">
        <v>4172</v>
      </c>
      <c r="D596" s="32" t="s">
        <v>4173</v>
      </c>
      <c r="E596" s="32" t="s">
        <v>4174</v>
      </c>
      <c r="F596" s="4" t="s">
        <v>4175</v>
      </c>
      <c r="G596" s="4"/>
      <c r="H596" s="4"/>
      <c r="K596" s="18"/>
      <c r="L596" s="35" t="s">
        <v>4046</v>
      </c>
      <c r="M596" s="19" t="s">
        <v>225</v>
      </c>
      <c r="N596" s="19"/>
      <c r="O596" s="19"/>
      <c r="P596" s="19"/>
      <c r="Q596" s="19"/>
      <c r="R596" s="20"/>
      <c r="S596" s="20"/>
      <c r="T596" s="20"/>
      <c r="U596" s="34"/>
      <c r="AF596" s="11" t="str">
        <f t="shared" si="394"/>
        <v>hayes-suit-jacket-stripe</v>
      </c>
      <c r="AG596" s="11" t="str">
        <f t="shared" ref="AG596:AO596" si="562">if(not(isblank(M596)),", "&amp;M596,"")</f>
        <v>, hayes-black</v>
      </c>
      <c r="AH596" s="11" t="str">
        <f t="shared" si="562"/>
        <v/>
      </c>
      <c r="AI596" s="11" t="str">
        <f t="shared" si="562"/>
        <v/>
      </c>
      <c r="AJ596" s="11" t="str">
        <f t="shared" si="562"/>
        <v/>
      </c>
      <c r="AK596" s="11" t="str">
        <f t="shared" si="562"/>
        <v/>
      </c>
      <c r="AL596" s="11" t="str">
        <f t="shared" si="562"/>
        <v/>
      </c>
      <c r="AM596" s="11" t="str">
        <f t="shared" si="562"/>
        <v/>
      </c>
      <c r="AN596" s="11" t="str">
        <f t="shared" si="562"/>
        <v/>
      </c>
      <c r="AO596" s="11" t="str">
        <f t="shared" si="562"/>
        <v/>
      </c>
      <c r="AP596" s="21" t="str">
        <f t="shared" si="396"/>
        <v>hayes-suit-jacket-stripe, hayes-black</v>
      </c>
    </row>
    <row r="597" ht="16.5" customHeight="1">
      <c r="A597" s="32" t="s">
        <v>34</v>
      </c>
      <c r="B597" s="32" t="s">
        <v>361</v>
      </c>
      <c r="C597" s="32" t="s">
        <v>4176</v>
      </c>
      <c r="D597" s="32" t="s">
        <v>1224</v>
      </c>
      <c r="E597" s="36"/>
      <c r="F597" s="4"/>
      <c r="G597" s="4"/>
      <c r="H597" s="4"/>
      <c r="K597" s="18"/>
      <c r="L597" s="35" t="s">
        <v>225</v>
      </c>
      <c r="M597" s="19" t="s">
        <v>4046</v>
      </c>
      <c r="N597" s="20"/>
      <c r="O597" s="20"/>
      <c r="P597" s="20"/>
      <c r="Q597" s="20"/>
      <c r="R597" s="20"/>
      <c r="S597" s="20"/>
      <c r="T597" s="20"/>
      <c r="U597" s="34"/>
      <c r="AF597" s="11" t="str">
        <f t="shared" si="394"/>
        <v>hayes-black</v>
      </c>
      <c r="AG597" s="11" t="str">
        <f t="shared" ref="AG597:AO597" si="563">if(not(isblank(M597)),", "&amp;M597,"")</f>
        <v>, hayes-suit-jacket-stripe</v>
      </c>
      <c r="AH597" s="11" t="str">
        <f t="shared" si="563"/>
        <v/>
      </c>
      <c r="AI597" s="11" t="str">
        <f t="shared" si="563"/>
        <v/>
      </c>
      <c r="AJ597" s="11" t="str">
        <f t="shared" si="563"/>
        <v/>
      </c>
      <c r="AK597" s="11" t="str">
        <f t="shared" si="563"/>
        <v/>
      </c>
      <c r="AL597" s="11" t="str">
        <f t="shared" si="563"/>
        <v/>
      </c>
      <c r="AM597" s="11" t="str">
        <f t="shared" si="563"/>
        <v/>
      </c>
      <c r="AN597" s="11" t="str">
        <f t="shared" si="563"/>
        <v/>
      </c>
      <c r="AO597" s="11" t="str">
        <f t="shared" si="563"/>
        <v/>
      </c>
      <c r="AP597" s="21" t="str">
        <f t="shared" si="396"/>
        <v>hayes-black, hayes-suit-jacket-stripe</v>
      </c>
    </row>
    <row r="598" ht="16.5" customHeight="1">
      <c r="A598" s="32" t="s">
        <v>34</v>
      </c>
      <c r="B598" s="32" t="s">
        <v>52</v>
      </c>
      <c r="C598" s="32" t="s">
        <v>4177</v>
      </c>
      <c r="D598" s="32" t="s">
        <v>4178</v>
      </c>
      <c r="E598" s="32" t="s">
        <v>4179</v>
      </c>
      <c r="F598" s="4" t="s">
        <v>4180</v>
      </c>
      <c r="G598" s="4"/>
      <c r="H598" s="4"/>
      <c r="K598" s="18"/>
      <c r="L598" s="35" t="s">
        <v>1886</v>
      </c>
      <c r="M598" s="20"/>
      <c r="N598" s="20"/>
      <c r="O598" s="20"/>
      <c r="P598" s="20"/>
      <c r="Q598" s="20"/>
      <c r="R598" s="20"/>
      <c r="S598" s="20"/>
      <c r="T598" s="20"/>
      <c r="U598" s="34"/>
      <c r="AF598" s="11" t="str">
        <f t="shared" si="394"/>
        <v>plath-charcoal-merino</v>
      </c>
      <c r="AG598" s="11" t="str">
        <f t="shared" ref="AG598:AO598" si="564">if(not(isblank(M598)),", "&amp;M598,"")</f>
        <v/>
      </c>
      <c r="AH598" s="11" t="str">
        <f t="shared" si="564"/>
        <v/>
      </c>
      <c r="AI598" s="11" t="str">
        <f t="shared" si="564"/>
        <v/>
      </c>
      <c r="AJ598" s="11" t="str">
        <f t="shared" si="564"/>
        <v/>
      </c>
      <c r="AK598" s="11" t="str">
        <f t="shared" si="564"/>
        <v/>
      </c>
      <c r="AL598" s="11" t="str">
        <f t="shared" si="564"/>
        <v/>
      </c>
      <c r="AM598" s="11" t="str">
        <f t="shared" si="564"/>
        <v/>
      </c>
      <c r="AN598" s="11" t="str">
        <f t="shared" si="564"/>
        <v/>
      </c>
      <c r="AO598" s="11" t="str">
        <f t="shared" si="564"/>
        <v/>
      </c>
      <c r="AP598" s="21" t="str">
        <f t="shared" si="396"/>
        <v>plath-charcoal-merino</v>
      </c>
    </row>
    <row r="599" ht="16.5" customHeight="1">
      <c r="A599" s="32" t="s">
        <v>34</v>
      </c>
      <c r="B599" s="32" t="s">
        <v>39</v>
      </c>
      <c r="C599" s="32" t="s">
        <v>4181</v>
      </c>
      <c r="D599" s="32" t="s">
        <v>4182</v>
      </c>
      <c r="E599" s="32" t="s">
        <v>4183</v>
      </c>
      <c r="F599" s="4" t="s">
        <v>4184</v>
      </c>
      <c r="G599" s="4" t="s">
        <v>4185</v>
      </c>
      <c r="K599" s="18"/>
      <c r="L599" s="35" t="s">
        <v>1879</v>
      </c>
      <c r="M599" s="19" t="s">
        <v>1892</v>
      </c>
      <c r="N599" s="19" t="s">
        <v>1896</v>
      </c>
      <c r="O599" s="19" t="s">
        <v>1961</v>
      </c>
      <c r="P599" s="19" t="s">
        <v>1900</v>
      </c>
      <c r="Q599" s="19" t="s">
        <v>1888</v>
      </c>
      <c r="R599" s="19" t="s">
        <v>1886</v>
      </c>
      <c r="S599" s="19"/>
      <c r="T599" s="20"/>
      <c r="U599" s="34"/>
      <c r="AF599" s="11" t="str">
        <f t="shared" si="394"/>
        <v>plath-blue-mohair-mix</v>
      </c>
      <c r="AG599" s="11" t="str">
        <f t="shared" ref="AG599:AO599" si="565">if(not(isblank(M599)),", "&amp;M599,"")</f>
        <v>, plath-grey-mohair-mix</v>
      </c>
      <c r="AH599" s="11" t="str">
        <f t="shared" si="565"/>
        <v>, plath-olive-mohair-mix</v>
      </c>
      <c r="AI599" s="11" t="str">
        <f t="shared" si="565"/>
        <v>, plath-spice-mohair-mix-1</v>
      </c>
      <c r="AJ599" s="11" t="str">
        <f t="shared" si="565"/>
        <v>, plath-taupe-mohair-mix</v>
      </c>
      <c r="AK599" s="11" t="str">
        <f t="shared" si="565"/>
        <v>, plath-black-merino-1</v>
      </c>
      <c r="AL599" s="11" t="str">
        <f t="shared" si="565"/>
        <v>, plath-charcoal-merino</v>
      </c>
      <c r="AM599" s="11" t="str">
        <f t="shared" si="565"/>
        <v/>
      </c>
      <c r="AN599" s="11" t="str">
        <f t="shared" si="565"/>
        <v/>
      </c>
      <c r="AO599" s="11" t="str">
        <f t="shared" si="565"/>
        <v/>
      </c>
      <c r="AP599" s="21" t="str">
        <f t="shared" si="396"/>
        <v>plath-blue-mohair-mix, plath-grey-mohair-mix, plath-olive-mohair-mix, plath-spice-mohair-mix-1, plath-taupe-mohair-mix, plath-black-merino-1, plath-charcoal-merino</v>
      </c>
    </row>
    <row r="600" ht="16.5" customHeight="1">
      <c r="A600" s="32" t="s">
        <v>34</v>
      </c>
      <c r="B600" s="32" t="s">
        <v>39</v>
      </c>
      <c r="C600" s="32" t="s">
        <v>4186</v>
      </c>
      <c r="D600" s="32" t="s">
        <v>4187</v>
      </c>
      <c r="E600" s="32" t="s">
        <v>3719</v>
      </c>
      <c r="F600" s="4" t="s">
        <v>4188</v>
      </c>
      <c r="G600" s="4" t="s">
        <v>4189</v>
      </c>
      <c r="K600" s="18"/>
      <c r="L600" s="35" t="s">
        <v>1879</v>
      </c>
      <c r="M600" s="19" t="s">
        <v>1957</v>
      </c>
      <c r="N600" s="19" t="s">
        <v>1892</v>
      </c>
      <c r="O600" s="19" t="s">
        <v>1961</v>
      </c>
      <c r="P600" s="19" t="s">
        <v>1900</v>
      </c>
      <c r="Q600" s="19" t="s">
        <v>1888</v>
      </c>
      <c r="R600" s="19" t="s">
        <v>1886</v>
      </c>
      <c r="S600" s="19"/>
      <c r="T600" s="20"/>
      <c r="U600" s="34"/>
      <c r="AF600" s="11" t="str">
        <f t="shared" si="394"/>
        <v>plath-blue-mohair-mix</v>
      </c>
      <c r="AG600" s="11" t="str">
        <f t="shared" ref="AG600:AO600" si="566">if(not(isblank(M600)),", "&amp;M600,"")</f>
        <v>, plath-brown-mohair-mix-1</v>
      </c>
      <c r="AH600" s="11" t="str">
        <f t="shared" si="566"/>
        <v>, plath-grey-mohair-mix</v>
      </c>
      <c r="AI600" s="11" t="str">
        <f t="shared" si="566"/>
        <v>, plath-spice-mohair-mix-1</v>
      </c>
      <c r="AJ600" s="11" t="str">
        <f t="shared" si="566"/>
        <v>, plath-taupe-mohair-mix</v>
      </c>
      <c r="AK600" s="11" t="str">
        <f t="shared" si="566"/>
        <v>, plath-black-merino-1</v>
      </c>
      <c r="AL600" s="11" t="str">
        <f t="shared" si="566"/>
        <v>, plath-charcoal-merino</v>
      </c>
      <c r="AM600" s="11" t="str">
        <f t="shared" si="566"/>
        <v/>
      </c>
      <c r="AN600" s="11" t="str">
        <f t="shared" si="566"/>
        <v/>
      </c>
      <c r="AO600" s="11" t="str">
        <f t="shared" si="566"/>
        <v/>
      </c>
      <c r="AP600" s="21" t="str">
        <f t="shared" si="396"/>
        <v>plath-blue-mohair-mix, plath-brown-mohair-mix-1, plath-grey-mohair-mix, plath-spice-mohair-mix-1, plath-taupe-mohair-mix, plath-black-merino-1, plath-charcoal-merino</v>
      </c>
    </row>
    <row r="601" ht="16.5" customHeight="1">
      <c r="A601" s="32" t="s">
        <v>34</v>
      </c>
      <c r="B601" s="32" t="s">
        <v>39</v>
      </c>
      <c r="C601" s="32" t="s">
        <v>4190</v>
      </c>
      <c r="D601" s="32" t="s">
        <v>4191</v>
      </c>
      <c r="E601" s="32" t="s">
        <v>4192</v>
      </c>
      <c r="F601" s="4" t="s">
        <v>4193</v>
      </c>
      <c r="G601" s="4" t="s">
        <v>4194</v>
      </c>
      <c r="H601" s="4" t="s">
        <v>4195</v>
      </c>
      <c r="K601" s="18"/>
      <c r="L601" s="35" t="s">
        <v>1802</v>
      </c>
      <c r="M601" s="20"/>
      <c r="N601" s="20"/>
      <c r="O601" s="20"/>
      <c r="P601" s="20"/>
      <c r="Q601" s="20"/>
      <c r="R601" s="20"/>
      <c r="S601" s="20"/>
      <c r="T601" s="20"/>
      <c r="U601" s="34"/>
      <c r="AF601" s="11" t="str">
        <f t="shared" si="394"/>
        <v>blake-black-1</v>
      </c>
      <c r="AG601" s="11" t="str">
        <f t="shared" ref="AG601:AO601" si="567">if(not(isblank(M601)),", "&amp;M601,"")</f>
        <v/>
      </c>
      <c r="AH601" s="11" t="str">
        <f t="shared" si="567"/>
        <v/>
      </c>
      <c r="AI601" s="11" t="str">
        <f t="shared" si="567"/>
        <v/>
      </c>
      <c r="AJ601" s="11" t="str">
        <f t="shared" si="567"/>
        <v/>
      </c>
      <c r="AK601" s="11" t="str">
        <f t="shared" si="567"/>
        <v/>
      </c>
      <c r="AL601" s="11" t="str">
        <f t="shared" si="567"/>
        <v/>
      </c>
      <c r="AM601" s="11" t="str">
        <f t="shared" si="567"/>
        <v/>
      </c>
      <c r="AN601" s="11" t="str">
        <f t="shared" si="567"/>
        <v/>
      </c>
      <c r="AO601" s="11" t="str">
        <f t="shared" si="567"/>
        <v/>
      </c>
      <c r="AP601" s="21" t="str">
        <f t="shared" si="396"/>
        <v>blake-black-1</v>
      </c>
    </row>
    <row r="602" ht="16.5" customHeight="1">
      <c r="A602" s="32" t="s">
        <v>34</v>
      </c>
      <c r="B602" s="32" t="s">
        <v>39</v>
      </c>
      <c r="C602" s="32" t="s">
        <v>4196</v>
      </c>
      <c r="D602" s="32" t="s">
        <v>4197</v>
      </c>
      <c r="E602" s="32" t="s">
        <v>4198</v>
      </c>
      <c r="F602" s="4" t="s">
        <v>4199</v>
      </c>
      <c r="G602" s="4" t="s">
        <v>4200</v>
      </c>
      <c r="K602" s="18"/>
      <c r="L602" s="35" t="s">
        <v>1942</v>
      </c>
      <c r="M602" s="20"/>
      <c r="N602" s="20"/>
      <c r="O602" s="20"/>
      <c r="P602" s="20"/>
      <c r="Q602" s="20"/>
      <c r="R602" s="20"/>
      <c r="S602" s="20"/>
      <c r="T602" s="20"/>
      <c r="U602" s="34"/>
      <c r="AF602" s="11" t="str">
        <f t="shared" si="394"/>
        <v>nash-taupe</v>
      </c>
      <c r="AG602" s="11" t="str">
        <f t="shared" ref="AG602:AO602" si="568">if(not(isblank(M602)),", "&amp;M602,"")</f>
        <v/>
      </c>
      <c r="AH602" s="11" t="str">
        <f t="shared" si="568"/>
        <v/>
      </c>
      <c r="AI602" s="11" t="str">
        <f t="shared" si="568"/>
        <v/>
      </c>
      <c r="AJ602" s="11" t="str">
        <f t="shared" si="568"/>
        <v/>
      </c>
      <c r="AK602" s="11" t="str">
        <f t="shared" si="568"/>
        <v/>
      </c>
      <c r="AL602" s="11" t="str">
        <f t="shared" si="568"/>
        <v/>
      </c>
      <c r="AM602" s="11" t="str">
        <f t="shared" si="568"/>
        <v/>
      </c>
      <c r="AN602" s="11" t="str">
        <f t="shared" si="568"/>
        <v/>
      </c>
      <c r="AO602" s="11" t="str">
        <f t="shared" si="568"/>
        <v/>
      </c>
      <c r="AP602" s="21" t="str">
        <f t="shared" si="396"/>
        <v>nash-taupe</v>
      </c>
    </row>
    <row r="603" ht="16.5" customHeight="1">
      <c r="A603" s="32" t="s">
        <v>34</v>
      </c>
      <c r="B603" s="32" t="s">
        <v>39</v>
      </c>
      <c r="C603" s="32" t="s">
        <v>4201</v>
      </c>
      <c r="D603" s="32" t="s">
        <v>4202</v>
      </c>
      <c r="E603" s="32" t="s">
        <v>4203</v>
      </c>
      <c r="F603" s="4" t="s">
        <v>4204</v>
      </c>
      <c r="G603" s="4" t="s">
        <v>4205</v>
      </c>
      <c r="K603" s="18"/>
      <c r="L603" s="35" t="s">
        <v>1940</v>
      </c>
      <c r="M603" s="20"/>
      <c r="N603" s="20"/>
      <c r="O603" s="20"/>
      <c r="P603" s="20"/>
      <c r="Q603" s="20"/>
      <c r="R603" s="20"/>
      <c r="S603" s="20"/>
      <c r="T603" s="20"/>
      <c r="U603" s="34"/>
      <c r="AF603" s="11" t="str">
        <f t="shared" si="394"/>
        <v>nash-black-1</v>
      </c>
      <c r="AG603" s="11" t="str">
        <f t="shared" ref="AG603:AO603" si="569">if(not(isblank(M603)),", "&amp;M603,"")</f>
        <v/>
      </c>
      <c r="AH603" s="11" t="str">
        <f t="shared" si="569"/>
        <v/>
      </c>
      <c r="AI603" s="11" t="str">
        <f t="shared" si="569"/>
        <v/>
      </c>
      <c r="AJ603" s="11" t="str">
        <f t="shared" si="569"/>
        <v/>
      </c>
      <c r="AK603" s="11" t="str">
        <f t="shared" si="569"/>
        <v/>
      </c>
      <c r="AL603" s="11" t="str">
        <f t="shared" si="569"/>
        <v/>
      </c>
      <c r="AM603" s="11" t="str">
        <f t="shared" si="569"/>
        <v/>
      </c>
      <c r="AN603" s="11" t="str">
        <f t="shared" si="569"/>
        <v/>
      </c>
      <c r="AO603" s="11" t="str">
        <f t="shared" si="569"/>
        <v/>
      </c>
      <c r="AP603" s="21" t="str">
        <f t="shared" si="396"/>
        <v>nash-black-1</v>
      </c>
    </row>
    <row r="604" ht="16.5" customHeight="1">
      <c r="A604" s="32" t="s">
        <v>34</v>
      </c>
      <c r="B604" s="32" t="s">
        <v>39</v>
      </c>
      <c r="C604" s="32" t="s">
        <v>4206</v>
      </c>
      <c r="D604" s="32" t="s">
        <v>4207</v>
      </c>
      <c r="E604" s="32" t="s">
        <v>4208</v>
      </c>
      <c r="F604" s="4" t="s">
        <v>4209</v>
      </c>
      <c r="G604" s="4"/>
      <c r="H604" s="4"/>
      <c r="K604" s="18"/>
      <c r="L604" s="35" t="s">
        <v>4210</v>
      </c>
      <c r="M604" s="20"/>
      <c r="N604" s="20"/>
      <c r="O604" s="20"/>
      <c r="P604" s="20"/>
      <c r="Q604" s="20"/>
      <c r="R604" s="20"/>
      <c r="S604" s="20"/>
      <c r="T604" s="20"/>
      <c r="U604" s="34"/>
      <c r="AF604" s="11" t="str">
        <f t="shared" si="394"/>
        <v>barkle-beige-check</v>
      </c>
      <c r="AG604" s="11" t="str">
        <f t="shared" ref="AG604:AO604" si="570">if(not(isblank(M604)),", "&amp;M604,"")</f>
        <v/>
      </c>
      <c r="AH604" s="11" t="str">
        <f t="shared" si="570"/>
        <v/>
      </c>
      <c r="AI604" s="11" t="str">
        <f t="shared" si="570"/>
        <v/>
      </c>
      <c r="AJ604" s="11" t="str">
        <f t="shared" si="570"/>
        <v/>
      </c>
      <c r="AK604" s="11" t="str">
        <f t="shared" si="570"/>
        <v/>
      </c>
      <c r="AL604" s="11" t="str">
        <f t="shared" si="570"/>
        <v/>
      </c>
      <c r="AM604" s="11" t="str">
        <f t="shared" si="570"/>
        <v/>
      </c>
      <c r="AN604" s="11" t="str">
        <f t="shared" si="570"/>
        <v/>
      </c>
      <c r="AO604" s="11" t="str">
        <f t="shared" si="570"/>
        <v/>
      </c>
      <c r="AP604" s="21" t="str">
        <f t="shared" si="396"/>
        <v>barkle-beige-check</v>
      </c>
    </row>
    <row r="605" ht="16.5" customHeight="1">
      <c r="A605" s="32" t="s">
        <v>34</v>
      </c>
      <c r="B605" s="32" t="s">
        <v>257</v>
      </c>
      <c r="C605" s="32" t="s">
        <v>4211</v>
      </c>
      <c r="D605" s="32" t="s">
        <v>4212</v>
      </c>
      <c r="E605" s="32" t="s">
        <v>4213</v>
      </c>
      <c r="F605" s="4" t="s">
        <v>4214</v>
      </c>
      <c r="G605" s="4" t="s">
        <v>4215</v>
      </c>
      <c r="K605" s="18"/>
      <c r="L605" s="35"/>
      <c r="M605" s="20"/>
      <c r="N605" s="20"/>
      <c r="O605" s="20"/>
      <c r="P605" s="20"/>
      <c r="Q605" s="20"/>
      <c r="R605" s="20"/>
      <c r="S605" s="20"/>
      <c r="T605" s="20"/>
      <c r="U605" s="34"/>
      <c r="AF605" s="11" t="str">
        <f t="shared" si="394"/>
        <v/>
      </c>
      <c r="AG605" s="11" t="str">
        <f t="shared" ref="AG605:AO605" si="571">if(not(isblank(M605)),", "&amp;M605,"")</f>
        <v/>
      </c>
      <c r="AH605" s="11" t="str">
        <f t="shared" si="571"/>
        <v/>
      </c>
      <c r="AI605" s="11" t="str">
        <f t="shared" si="571"/>
        <v/>
      </c>
      <c r="AJ605" s="11" t="str">
        <f t="shared" si="571"/>
        <v/>
      </c>
      <c r="AK605" s="11" t="str">
        <f t="shared" si="571"/>
        <v/>
      </c>
      <c r="AL605" s="11" t="str">
        <f t="shared" si="571"/>
        <v/>
      </c>
      <c r="AM605" s="11" t="str">
        <f t="shared" si="571"/>
        <v/>
      </c>
      <c r="AN605" s="11" t="str">
        <f t="shared" si="571"/>
        <v/>
      </c>
      <c r="AO605" s="11" t="str">
        <f t="shared" si="571"/>
        <v/>
      </c>
      <c r="AP605" s="21" t="str">
        <f t="shared" si="396"/>
        <v>barnes-japan-dawn, barnes-japan-fade, barnes-japan-black, barnes-japan-mole, barnes-japan-forest-fog, barnes-japan-putty, barnes-japan-rinse-selvage, barnes-japan-milk</v>
      </c>
    </row>
    <row r="606" ht="16.5" customHeight="1">
      <c r="A606" s="32" t="s">
        <v>34</v>
      </c>
      <c r="B606" s="32" t="s">
        <v>52</v>
      </c>
      <c r="C606" s="32" t="s">
        <v>3878</v>
      </c>
      <c r="D606" s="32" t="s">
        <v>4216</v>
      </c>
      <c r="E606" s="32" t="s">
        <v>4217</v>
      </c>
      <c r="F606" s="4" t="s">
        <v>4218</v>
      </c>
      <c r="G606" s="4"/>
      <c r="H606" s="4" t="s">
        <v>4219</v>
      </c>
      <c r="K606" s="18"/>
      <c r="L606" s="33"/>
      <c r="M606" s="20"/>
      <c r="N606" s="20"/>
      <c r="O606" s="20"/>
      <c r="P606" s="20"/>
      <c r="Q606" s="20"/>
      <c r="R606" s="20"/>
      <c r="S606" s="20"/>
      <c r="T606" s="20"/>
      <c r="U606" s="34"/>
      <c r="AP606" s="21"/>
    </row>
    <row r="607" ht="16.5" customHeight="1">
      <c r="A607" s="32" t="s">
        <v>34</v>
      </c>
      <c r="B607" s="32" t="s">
        <v>52</v>
      </c>
      <c r="C607" s="32" t="s">
        <v>4220</v>
      </c>
      <c r="D607" s="32" t="s">
        <v>4221</v>
      </c>
      <c r="E607" s="36"/>
      <c r="F607" s="4"/>
      <c r="G607" s="4"/>
      <c r="H607" s="4"/>
      <c r="K607" s="18"/>
      <c r="L607" s="33"/>
      <c r="M607" s="20"/>
      <c r="N607" s="20"/>
      <c r="O607" s="20"/>
      <c r="P607" s="20"/>
      <c r="Q607" s="20"/>
      <c r="R607" s="20"/>
      <c r="S607" s="20"/>
      <c r="T607" s="20"/>
      <c r="U607" s="34"/>
      <c r="AP607" s="21"/>
    </row>
    <row r="608" ht="16.5" customHeight="1">
      <c r="A608" s="32" t="s">
        <v>34</v>
      </c>
      <c r="B608" s="32" t="s">
        <v>39</v>
      </c>
      <c r="C608" s="32" t="s">
        <v>4222</v>
      </c>
      <c r="D608" s="32" t="s">
        <v>4223</v>
      </c>
      <c r="E608" s="32" t="s">
        <v>3846</v>
      </c>
      <c r="F608" s="4" t="s">
        <v>4224</v>
      </c>
      <c r="G608" s="4" t="s">
        <v>4225</v>
      </c>
      <c r="K608" s="18"/>
      <c r="L608" s="33"/>
      <c r="M608" s="20"/>
      <c r="N608" s="20"/>
      <c r="O608" s="20"/>
      <c r="P608" s="20"/>
      <c r="Q608" s="20"/>
      <c r="R608" s="20"/>
      <c r="S608" s="20"/>
      <c r="T608" s="20"/>
      <c r="U608" s="34"/>
      <c r="AP608" s="21"/>
    </row>
    <row r="609" ht="16.5" customHeight="1">
      <c r="A609" s="32" t="s">
        <v>34</v>
      </c>
      <c r="B609" s="32" t="s">
        <v>35</v>
      </c>
      <c r="C609" s="32" t="s">
        <v>4132</v>
      </c>
      <c r="D609" s="32" t="s">
        <v>4226</v>
      </c>
      <c r="E609" s="32" t="s">
        <v>4227</v>
      </c>
      <c r="F609" s="4" t="s">
        <v>4228</v>
      </c>
      <c r="G609" s="4" t="s">
        <v>4229</v>
      </c>
      <c r="K609" s="18"/>
      <c r="L609" s="33"/>
      <c r="M609" s="20"/>
      <c r="N609" s="20"/>
      <c r="O609" s="20"/>
      <c r="P609" s="20"/>
      <c r="Q609" s="20"/>
      <c r="R609" s="20"/>
      <c r="S609" s="20"/>
      <c r="T609" s="20"/>
      <c r="U609" s="34"/>
      <c r="AP609" s="21"/>
    </row>
    <row r="610" ht="16.5" customHeight="1">
      <c r="A610" s="32" t="s">
        <v>34</v>
      </c>
      <c r="B610" s="32" t="s">
        <v>330</v>
      </c>
      <c r="C610" s="32" t="s">
        <v>2429</v>
      </c>
      <c r="D610" s="32" t="s">
        <v>4230</v>
      </c>
      <c r="E610" s="32" t="s">
        <v>4231</v>
      </c>
      <c r="F610" s="4" t="s">
        <v>4232</v>
      </c>
      <c r="G610" s="4" t="s">
        <v>4233</v>
      </c>
      <c r="H610" s="4" t="s">
        <v>1239</v>
      </c>
      <c r="K610" s="18"/>
      <c r="L610" s="33"/>
      <c r="M610" s="20"/>
      <c r="N610" s="20"/>
      <c r="O610" s="20"/>
      <c r="P610" s="20"/>
      <c r="Q610" s="20"/>
      <c r="R610" s="20"/>
      <c r="S610" s="20"/>
      <c r="T610" s="20"/>
      <c r="U610" s="34"/>
      <c r="AP610" s="21"/>
    </row>
    <row r="611" ht="16.5" customHeight="1">
      <c r="A611" s="32" t="s">
        <v>34</v>
      </c>
      <c r="B611" s="32" t="s">
        <v>73</v>
      </c>
      <c r="C611" s="32" t="s">
        <v>4234</v>
      </c>
      <c r="D611" s="32" t="s">
        <v>4235</v>
      </c>
      <c r="E611" s="32" t="s">
        <v>4236</v>
      </c>
      <c r="F611" s="4" t="s">
        <v>3891</v>
      </c>
      <c r="G611" s="4" t="s">
        <v>4237</v>
      </c>
      <c r="H611" s="4" t="s">
        <v>4238</v>
      </c>
      <c r="K611" s="18"/>
      <c r="L611" s="33"/>
      <c r="M611" s="20"/>
      <c r="N611" s="20"/>
      <c r="O611" s="20"/>
      <c r="P611" s="20"/>
      <c r="Q611" s="20"/>
      <c r="R611" s="20"/>
      <c r="S611" s="20"/>
      <c r="T611" s="20"/>
      <c r="U611" s="34"/>
      <c r="AP611" s="21"/>
    </row>
    <row r="612" ht="16.5" customHeight="1">
      <c r="A612" s="32" t="s">
        <v>34</v>
      </c>
      <c r="B612" s="32" t="s">
        <v>73</v>
      </c>
      <c r="C612" s="32" t="s">
        <v>4239</v>
      </c>
      <c r="D612" s="32" t="s">
        <v>4240</v>
      </c>
      <c r="E612" s="32" t="s">
        <v>3890</v>
      </c>
      <c r="F612" s="4" t="s">
        <v>3891</v>
      </c>
      <c r="G612" s="4" t="s">
        <v>4241</v>
      </c>
      <c r="H612" s="4" t="s">
        <v>4242</v>
      </c>
      <c r="K612" s="18"/>
      <c r="L612" s="33"/>
      <c r="M612" s="20"/>
      <c r="N612" s="20"/>
      <c r="O612" s="20"/>
      <c r="P612" s="20"/>
      <c r="Q612" s="20"/>
      <c r="R612" s="20"/>
      <c r="S612" s="20"/>
      <c r="T612" s="20"/>
      <c r="U612" s="34"/>
      <c r="AP612" s="21"/>
    </row>
    <row r="613" ht="16.5" customHeight="1">
      <c r="A613" s="32" t="s">
        <v>34</v>
      </c>
      <c r="B613" s="32" t="s">
        <v>257</v>
      </c>
      <c r="C613" s="32" t="s">
        <v>4025</v>
      </c>
      <c r="D613" s="32" t="s">
        <v>1237</v>
      </c>
      <c r="E613" s="32" t="s">
        <v>4243</v>
      </c>
      <c r="F613" s="4" t="s">
        <v>4244</v>
      </c>
      <c r="G613" s="4"/>
      <c r="H613" s="4" t="s">
        <v>4245</v>
      </c>
      <c r="K613" s="18"/>
      <c r="L613" s="33"/>
      <c r="M613" s="20"/>
      <c r="N613" s="20"/>
      <c r="O613" s="20"/>
      <c r="P613" s="20"/>
      <c r="Q613" s="20"/>
      <c r="R613" s="20"/>
      <c r="S613" s="20"/>
      <c r="T613" s="20"/>
      <c r="U613" s="34"/>
      <c r="AP613" s="21"/>
    </row>
    <row r="614" ht="16.5" customHeight="1">
      <c r="A614" s="32" t="s">
        <v>34</v>
      </c>
      <c r="B614" s="32" t="s">
        <v>361</v>
      </c>
      <c r="C614" s="32" t="s">
        <v>4246</v>
      </c>
      <c r="D614" s="32" t="s">
        <v>4247</v>
      </c>
      <c r="E614" s="32" t="s">
        <v>4248</v>
      </c>
      <c r="F614" s="4" t="s">
        <v>4249</v>
      </c>
      <c r="G614" s="4" t="s">
        <v>4250</v>
      </c>
      <c r="K614" s="18"/>
      <c r="L614" s="33"/>
      <c r="M614" s="20"/>
      <c r="N614" s="20"/>
      <c r="O614" s="20"/>
      <c r="P614" s="20"/>
      <c r="Q614" s="20"/>
      <c r="R614" s="20"/>
      <c r="S614" s="20"/>
      <c r="T614" s="20"/>
      <c r="U614" s="34"/>
      <c r="AP614" s="21"/>
    </row>
    <row r="615" ht="16.5" customHeight="1">
      <c r="A615" s="32" t="s">
        <v>34</v>
      </c>
      <c r="B615" s="32" t="s">
        <v>52</v>
      </c>
      <c r="C615" s="32" t="s">
        <v>4251</v>
      </c>
      <c r="D615" s="32" t="s">
        <v>4252</v>
      </c>
      <c r="E615" s="36"/>
      <c r="F615" s="4" t="s">
        <v>4253</v>
      </c>
      <c r="G615" s="4"/>
      <c r="H615" s="4"/>
      <c r="K615" s="18"/>
      <c r="L615" s="33"/>
      <c r="M615" s="20"/>
      <c r="N615" s="20"/>
      <c r="O615" s="20"/>
      <c r="P615" s="20"/>
      <c r="Q615" s="20"/>
      <c r="R615" s="20"/>
      <c r="S615" s="20"/>
      <c r="T615" s="20"/>
      <c r="U615" s="34"/>
      <c r="AP615" s="21"/>
    </row>
    <row r="616" ht="16.5" customHeight="1">
      <c r="A616" s="32" t="s">
        <v>34</v>
      </c>
      <c r="B616" s="32" t="s">
        <v>307</v>
      </c>
      <c r="C616" s="32" t="s">
        <v>2030</v>
      </c>
      <c r="D616" s="32" t="s">
        <v>4254</v>
      </c>
      <c r="E616" s="32" t="s">
        <v>4255</v>
      </c>
      <c r="F616" s="4" t="s">
        <v>4256</v>
      </c>
      <c r="G616" s="4"/>
      <c r="H616" s="4"/>
      <c r="K616" s="18"/>
      <c r="L616" s="33"/>
      <c r="M616" s="20"/>
      <c r="N616" s="20"/>
      <c r="O616" s="20"/>
      <c r="P616" s="20"/>
      <c r="Q616" s="20"/>
      <c r="R616" s="20"/>
      <c r="S616" s="20"/>
      <c r="T616" s="20"/>
      <c r="U616" s="34"/>
      <c r="AP616" s="21"/>
    </row>
    <row r="617" ht="16.5" customHeight="1">
      <c r="A617" s="32" t="s">
        <v>34</v>
      </c>
      <c r="B617" s="32" t="s">
        <v>73</v>
      </c>
      <c r="C617" s="32" t="s">
        <v>4257</v>
      </c>
      <c r="D617" s="32" t="s">
        <v>4258</v>
      </c>
      <c r="E617" s="32" t="s">
        <v>4259</v>
      </c>
      <c r="F617" s="4" t="s">
        <v>4260</v>
      </c>
      <c r="G617" s="4"/>
      <c r="H617" s="4"/>
      <c r="K617" s="18"/>
      <c r="L617" s="33"/>
      <c r="M617" s="20"/>
      <c r="N617" s="20"/>
      <c r="O617" s="20"/>
      <c r="P617" s="20"/>
      <c r="Q617" s="20"/>
      <c r="R617" s="20"/>
      <c r="S617" s="20"/>
      <c r="T617" s="20"/>
      <c r="U617" s="34"/>
      <c r="AP617" s="21"/>
    </row>
    <row r="618" ht="16.5" customHeight="1">
      <c r="A618" s="32" t="s">
        <v>34</v>
      </c>
      <c r="B618" s="32" t="s">
        <v>39</v>
      </c>
      <c r="C618" s="32" t="s">
        <v>3491</v>
      </c>
      <c r="D618" s="32" t="s">
        <v>4261</v>
      </c>
      <c r="E618" s="32" t="s">
        <v>4262</v>
      </c>
      <c r="F618" s="4" t="s">
        <v>4078</v>
      </c>
      <c r="G618" s="4" t="s">
        <v>4263</v>
      </c>
      <c r="K618" s="18"/>
      <c r="L618" s="33"/>
      <c r="M618" s="20"/>
      <c r="N618" s="20"/>
      <c r="O618" s="20"/>
      <c r="P618" s="20"/>
      <c r="Q618" s="20"/>
      <c r="R618" s="20"/>
      <c r="S618" s="20"/>
      <c r="T618" s="20"/>
      <c r="U618" s="34"/>
      <c r="AP618" s="21"/>
    </row>
    <row r="619" ht="16.5" customHeight="1">
      <c r="A619" s="32" t="s">
        <v>34</v>
      </c>
      <c r="B619" s="32" t="s">
        <v>73</v>
      </c>
      <c r="C619" s="32" t="s">
        <v>1472</v>
      </c>
      <c r="D619" s="32" t="s">
        <v>1904</v>
      </c>
      <c r="E619" s="32" t="s">
        <v>4119</v>
      </c>
      <c r="F619" s="4" t="s">
        <v>1907</v>
      </c>
      <c r="G619" s="4"/>
      <c r="H619" s="4"/>
      <c r="K619" s="18"/>
      <c r="L619" s="33"/>
      <c r="M619" s="20"/>
      <c r="N619" s="20"/>
      <c r="O619" s="20"/>
      <c r="P619" s="20"/>
      <c r="Q619" s="20"/>
      <c r="R619" s="20"/>
      <c r="S619" s="20"/>
      <c r="T619" s="20"/>
      <c r="U619" s="34"/>
      <c r="AP619" s="21"/>
    </row>
    <row r="620" ht="16.5" customHeight="1">
      <c r="A620" s="32" t="s">
        <v>34</v>
      </c>
      <c r="B620" s="32" t="s">
        <v>73</v>
      </c>
      <c r="C620" s="32" t="s">
        <v>1912</v>
      </c>
      <c r="D620" s="32" t="s">
        <v>1913</v>
      </c>
      <c r="E620" s="32" t="s">
        <v>4119</v>
      </c>
      <c r="F620" s="4" t="s">
        <v>1907</v>
      </c>
      <c r="G620" s="4"/>
      <c r="H620" s="4"/>
      <c r="K620" s="18"/>
      <c r="L620" s="33"/>
      <c r="M620" s="20"/>
      <c r="N620" s="20"/>
      <c r="O620" s="20"/>
      <c r="P620" s="20"/>
      <c r="Q620" s="20"/>
      <c r="R620" s="20"/>
      <c r="S620" s="20"/>
      <c r="T620" s="20"/>
      <c r="U620" s="34"/>
      <c r="AP620" s="21"/>
    </row>
    <row r="621" ht="16.5" customHeight="1">
      <c r="A621" s="32" t="s">
        <v>34</v>
      </c>
      <c r="B621" s="32" t="s">
        <v>73</v>
      </c>
      <c r="C621" s="32" t="s">
        <v>3470</v>
      </c>
      <c r="D621" s="32" t="s">
        <v>4264</v>
      </c>
      <c r="E621" s="32" t="s">
        <v>4119</v>
      </c>
      <c r="F621" s="4" t="s">
        <v>1907</v>
      </c>
      <c r="G621" s="4"/>
      <c r="H621" s="4"/>
      <c r="K621" s="18"/>
      <c r="L621" s="33"/>
      <c r="M621" s="20"/>
      <c r="N621" s="20"/>
      <c r="O621" s="20"/>
      <c r="P621" s="20"/>
      <c r="Q621" s="20"/>
      <c r="R621" s="20"/>
      <c r="S621" s="20"/>
      <c r="T621" s="20"/>
      <c r="U621" s="34"/>
      <c r="AP621" s="21"/>
    </row>
    <row r="622" ht="16.5" customHeight="1">
      <c r="A622" s="32" t="s">
        <v>34</v>
      </c>
      <c r="B622" s="32" t="s">
        <v>73</v>
      </c>
      <c r="C622" s="32" t="s">
        <v>1965</v>
      </c>
      <c r="D622" s="32" t="s">
        <v>1966</v>
      </c>
      <c r="E622" s="32" t="s">
        <v>4119</v>
      </c>
      <c r="F622" s="4" t="s">
        <v>1907</v>
      </c>
      <c r="G622" s="4"/>
      <c r="H622" s="4"/>
      <c r="K622" s="18"/>
      <c r="L622" s="33"/>
      <c r="M622" s="20"/>
      <c r="N622" s="20"/>
      <c r="O622" s="20"/>
      <c r="P622" s="20"/>
      <c r="Q622" s="20"/>
      <c r="R622" s="20"/>
      <c r="S622" s="20"/>
      <c r="T622" s="20"/>
      <c r="U622" s="34"/>
      <c r="AP622" s="21"/>
    </row>
    <row r="623" ht="16.5" customHeight="1">
      <c r="A623" s="32" t="s">
        <v>34</v>
      </c>
      <c r="B623" s="32" t="s">
        <v>73</v>
      </c>
      <c r="C623" s="32" t="s">
        <v>1970</v>
      </c>
      <c r="D623" s="32" t="s">
        <v>1971</v>
      </c>
      <c r="E623" s="32" t="s">
        <v>4265</v>
      </c>
      <c r="F623" s="4" t="s">
        <v>1972</v>
      </c>
      <c r="G623" s="4"/>
      <c r="H623" s="4"/>
      <c r="K623" s="18"/>
      <c r="L623" s="33"/>
      <c r="M623" s="20"/>
      <c r="N623" s="20"/>
      <c r="O623" s="20"/>
      <c r="P623" s="20"/>
      <c r="Q623" s="20"/>
      <c r="R623" s="20"/>
      <c r="S623" s="20"/>
      <c r="T623" s="20"/>
      <c r="U623" s="34"/>
      <c r="AP623" s="21"/>
    </row>
    <row r="624" ht="16.5" customHeight="1">
      <c r="A624" s="32" t="s">
        <v>34</v>
      </c>
      <c r="B624" s="32" t="s">
        <v>44</v>
      </c>
      <c r="C624" s="32" t="s">
        <v>4266</v>
      </c>
      <c r="D624" s="32" t="s">
        <v>4267</v>
      </c>
      <c r="E624" s="32" t="s">
        <v>4070</v>
      </c>
      <c r="F624" s="4" t="s">
        <v>2093</v>
      </c>
      <c r="G624" s="4" t="s">
        <v>4071</v>
      </c>
      <c r="H624" s="4"/>
      <c r="K624" s="18"/>
      <c r="L624" s="33"/>
      <c r="M624" s="20"/>
      <c r="N624" s="20"/>
      <c r="O624" s="20"/>
      <c r="P624" s="20"/>
      <c r="Q624" s="20"/>
      <c r="R624" s="20"/>
      <c r="S624" s="20"/>
      <c r="T624" s="20"/>
      <c r="U624" s="34"/>
      <c r="AP624" s="21"/>
    </row>
    <row r="625" ht="16.5" customHeight="1">
      <c r="A625" s="32" t="s">
        <v>4268</v>
      </c>
      <c r="B625" s="32" t="s">
        <v>4269</v>
      </c>
      <c r="C625" s="32" t="s">
        <v>4270</v>
      </c>
      <c r="D625" s="32" t="s">
        <v>4271</v>
      </c>
      <c r="E625" s="36"/>
      <c r="F625" s="4" t="s">
        <v>4272</v>
      </c>
      <c r="G625" s="4"/>
      <c r="H625" s="4"/>
      <c r="K625" s="18"/>
      <c r="L625" s="33"/>
      <c r="M625" s="20"/>
      <c r="N625" s="20"/>
      <c r="O625" s="20"/>
      <c r="P625" s="20"/>
      <c r="Q625" s="20"/>
      <c r="R625" s="20"/>
      <c r="S625" s="20"/>
      <c r="T625" s="20"/>
      <c r="U625" s="34"/>
      <c r="AF625" s="11" t="str">
        <f t="shared" ref="AF625:AF633" si="573">if(not(isblank(L625)),L625,"")</f>
        <v/>
      </c>
      <c r="AG625" s="11" t="str">
        <f t="shared" ref="AG625:AO625" si="572">if(not(isblank(M625)),", "&amp;M625,"")</f>
        <v/>
      </c>
      <c r="AH625" s="11" t="str">
        <f t="shared" si="572"/>
        <v/>
      </c>
      <c r="AI625" s="11" t="str">
        <f t="shared" si="572"/>
        <v/>
      </c>
      <c r="AJ625" s="11" t="str">
        <f t="shared" si="572"/>
        <v/>
      </c>
      <c r="AK625" s="11" t="str">
        <f t="shared" si="572"/>
        <v/>
      </c>
      <c r="AL625" s="11" t="str">
        <f t="shared" si="572"/>
        <v/>
      </c>
      <c r="AM625" s="11" t="str">
        <f t="shared" si="572"/>
        <v/>
      </c>
      <c r="AN625" s="11" t="str">
        <f t="shared" si="572"/>
        <v/>
      </c>
      <c r="AO625" s="11" t="str">
        <f t="shared" si="572"/>
        <v/>
      </c>
      <c r="AP625" s="21" t="str">
        <f t="shared" ref="AP625:AP633" si="575">if(isblank(L625),G625,AF625&amp;AG625&amp;AH625&amp;AI625&amp;AJ625&amp;AK625&amp;AL625&amp;AM625&amp;AN625&amp;AO625)</f>
        <v/>
      </c>
    </row>
    <row r="626" ht="16.5" customHeight="1">
      <c r="A626" s="32" t="s">
        <v>78</v>
      </c>
      <c r="B626" s="32" t="s">
        <v>39</v>
      </c>
      <c r="C626" s="32" t="s">
        <v>3663</v>
      </c>
      <c r="D626" s="32" t="s">
        <v>4273</v>
      </c>
      <c r="E626" s="32" t="s">
        <v>4274</v>
      </c>
      <c r="F626" s="4" t="s">
        <v>444</v>
      </c>
      <c r="G626" s="4" t="s">
        <v>4275</v>
      </c>
      <c r="K626" s="18"/>
      <c r="L626" s="33"/>
      <c r="M626" s="20"/>
      <c r="N626" s="20"/>
      <c r="O626" s="20"/>
      <c r="P626" s="20"/>
      <c r="Q626" s="20"/>
      <c r="R626" s="20"/>
      <c r="S626" s="20"/>
      <c r="T626" s="20"/>
      <c r="U626" s="34"/>
      <c r="AF626" s="11" t="str">
        <f t="shared" si="573"/>
        <v/>
      </c>
      <c r="AG626" s="11" t="str">
        <f t="shared" ref="AG626:AO626" si="574">if(not(isblank(M626)),", "&amp;M626,"")</f>
        <v/>
      </c>
      <c r="AH626" s="11" t="str">
        <f t="shared" si="574"/>
        <v/>
      </c>
      <c r="AI626" s="11" t="str">
        <f t="shared" si="574"/>
        <v/>
      </c>
      <c r="AJ626" s="11" t="str">
        <f t="shared" si="574"/>
        <v/>
      </c>
      <c r="AK626" s="11" t="str">
        <f t="shared" si="574"/>
        <v/>
      </c>
      <c r="AL626" s="11" t="str">
        <f t="shared" si="574"/>
        <v/>
      </c>
      <c r="AM626" s="11" t="str">
        <f t="shared" si="574"/>
        <v/>
      </c>
      <c r="AN626" s="11" t="str">
        <f t="shared" si="574"/>
        <v/>
      </c>
      <c r="AO626" s="11" t="str">
        <f t="shared" si="574"/>
        <v/>
      </c>
      <c r="AP626" s="21" t="str">
        <f t="shared" si="575"/>
        <v>aiden-white-ox, aiden-blue-check-pop, aiden-brown-stripe-pop, aiden-grey-oxford</v>
      </c>
    </row>
    <row r="627" ht="16.5" customHeight="1">
      <c r="A627" s="32" t="s">
        <v>78</v>
      </c>
      <c r="B627" s="32" t="s">
        <v>39</v>
      </c>
      <c r="C627" s="32" t="s">
        <v>2677</v>
      </c>
      <c r="D627" s="32" t="s">
        <v>4276</v>
      </c>
      <c r="E627" s="32" t="s">
        <v>4277</v>
      </c>
      <c r="F627" s="4" t="s">
        <v>444</v>
      </c>
      <c r="G627" s="4" t="s">
        <v>4278</v>
      </c>
      <c r="K627" s="18"/>
      <c r="L627" s="33"/>
      <c r="M627" s="20"/>
      <c r="N627" s="20"/>
      <c r="O627" s="20"/>
      <c r="P627" s="20"/>
      <c r="Q627" s="20"/>
      <c r="R627" s="20"/>
      <c r="S627" s="20"/>
      <c r="T627" s="20"/>
      <c r="U627" s="34"/>
      <c r="AF627" s="11" t="str">
        <f t="shared" si="573"/>
        <v/>
      </c>
      <c r="AG627" s="11" t="str">
        <f t="shared" ref="AG627:AO627" si="576">if(not(isblank(M627)),", "&amp;M627,"")</f>
        <v/>
      </c>
      <c r="AH627" s="11" t="str">
        <f t="shared" si="576"/>
        <v/>
      </c>
      <c r="AI627" s="11" t="str">
        <f t="shared" si="576"/>
        <v/>
      </c>
      <c r="AJ627" s="11" t="str">
        <f t="shared" si="576"/>
        <v/>
      </c>
      <c r="AK627" s="11" t="str">
        <f t="shared" si="576"/>
        <v/>
      </c>
      <c r="AL627" s="11" t="str">
        <f t="shared" si="576"/>
        <v/>
      </c>
      <c r="AM627" s="11" t="str">
        <f t="shared" si="576"/>
        <v/>
      </c>
      <c r="AN627" s="11" t="str">
        <f t="shared" si="576"/>
        <v/>
      </c>
      <c r="AO627" s="11" t="str">
        <f t="shared" si="576"/>
        <v/>
      </c>
      <c r="AP627" s="21" t="str">
        <f t="shared" si="575"/>
        <v>aiden-brown-stripe-pop, aiden-white-ox, aiden-blue-check-pop, aiden-grey-oxford</v>
      </c>
    </row>
    <row r="628" ht="16.5" customHeight="1">
      <c r="A628" s="32" t="s">
        <v>78</v>
      </c>
      <c r="B628" s="32" t="s">
        <v>39</v>
      </c>
      <c r="C628" s="32" t="s">
        <v>2682</v>
      </c>
      <c r="D628" s="32" t="s">
        <v>4279</v>
      </c>
      <c r="E628" s="32" t="s">
        <v>4280</v>
      </c>
      <c r="F628" s="4" t="s">
        <v>444</v>
      </c>
      <c r="G628" s="4" t="s">
        <v>4281</v>
      </c>
      <c r="K628" s="18"/>
      <c r="L628" s="33"/>
      <c r="M628" s="20"/>
      <c r="N628" s="20"/>
      <c r="O628" s="20"/>
      <c r="P628" s="20"/>
      <c r="Q628" s="20"/>
      <c r="R628" s="20"/>
      <c r="S628" s="20"/>
      <c r="T628" s="20"/>
      <c r="U628" s="34"/>
      <c r="AF628" s="11" t="str">
        <f t="shared" si="573"/>
        <v/>
      </c>
      <c r="AG628" s="11" t="str">
        <f t="shared" ref="AG628:AO628" si="577">if(not(isblank(M628)),", "&amp;M628,"")</f>
        <v/>
      </c>
      <c r="AH628" s="11" t="str">
        <f t="shared" si="577"/>
        <v/>
      </c>
      <c r="AI628" s="11" t="str">
        <f t="shared" si="577"/>
        <v/>
      </c>
      <c r="AJ628" s="11" t="str">
        <f t="shared" si="577"/>
        <v/>
      </c>
      <c r="AK628" s="11" t="str">
        <f t="shared" si="577"/>
        <v/>
      </c>
      <c r="AL628" s="11" t="str">
        <f t="shared" si="577"/>
        <v/>
      </c>
      <c r="AM628" s="11" t="str">
        <f t="shared" si="577"/>
        <v/>
      </c>
      <c r="AN628" s="11" t="str">
        <f t="shared" si="577"/>
        <v/>
      </c>
      <c r="AO628" s="11" t="str">
        <f t="shared" si="577"/>
        <v/>
      </c>
      <c r="AP628" s="21" t="str">
        <f t="shared" si="575"/>
        <v>aiden-blue-check-pop, aiden-white-ox, aiden-blue-check-pop, aiden-grey-oxford</v>
      </c>
    </row>
    <row r="629" ht="16.5" customHeight="1">
      <c r="A629" s="32" t="s">
        <v>78</v>
      </c>
      <c r="B629" s="32" t="s">
        <v>39</v>
      </c>
      <c r="C629" s="32" t="s">
        <v>1782</v>
      </c>
      <c r="D629" s="32" t="s">
        <v>1783</v>
      </c>
      <c r="E629" s="32" t="s">
        <v>4282</v>
      </c>
      <c r="F629" s="4" t="s">
        <v>444</v>
      </c>
      <c r="G629" s="4" t="s">
        <v>4283</v>
      </c>
      <c r="K629" s="18"/>
      <c r="L629" s="33"/>
      <c r="M629" s="20"/>
      <c r="N629" s="20"/>
      <c r="O629" s="20"/>
      <c r="P629" s="20"/>
      <c r="Q629" s="20"/>
      <c r="R629" s="20"/>
      <c r="S629" s="20"/>
      <c r="T629" s="20"/>
      <c r="U629" s="34"/>
      <c r="AF629" s="11" t="str">
        <f t="shared" si="573"/>
        <v/>
      </c>
      <c r="AG629" s="11" t="str">
        <f t="shared" ref="AG629:AO629" si="578">if(not(isblank(M629)),", "&amp;M629,"")</f>
        <v/>
      </c>
      <c r="AH629" s="11" t="str">
        <f t="shared" si="578"/>
        <v/>
      </c>
      <c r="AI629" s="11" t="str">
        <f t="shared" si="578"/>
        <v/>
      </c>
      <c r="AJ629" s="11" t="str">
        <f t="shared" si="578"/>
        <v/>
      </c>
      <c r="AK629" s="11" t="str">
        <f t="shared" si="578"/>
        <v/>
      </c>
      <c r="AL629" s="11" t="str">
        <f t="shared" si="578"/>
        <v/>
      </c>
      <c r="AM629" s="11" t="str">
        <f t="shared" si="578"/>
        <v/>
      </c>
      <c r="AN629" s="11" t="str">
        <f t="shared" si="578"/>
        <v/>
      </c>
      <c r="AO629" s="11" t="str">
        <f t="shared" si="578"/>
        <v/>
      </c>
      <c r="AP629" s="21" t="str">
        <f t="shared" si="575"/>
        <v>aiden-blue-check-pop, aiden-blue-check-pop, aiden-brown-stripe-pop, aiden-grey-oxford</v>
      </c>
    </row>
    <row r="630" ht="16.5" customHeight="1">
      <c r="A630" s="32" t="s">
        <v>78</v>
      </c>
      <c r="B630" s="32" t="s">
        <v>377</v>
      </c>
      <c r="C630" s="32" t="s">
        <v>1800</v>
      </c>
      <c r="D630" s="32" t="s">
        <v>1801</v>
      </c>
      <c r="E630" s="32" t="s">
        <v>4284</v>
      </c>
      <c r="F630" s="4" t="s">
        <v>1803</v>
      </c>
      <c r="G630" s="4" t="s">
        <v>1802</v>
      </c>
      <c r="H630" s="4"/>
      <c r="K630" s="18"/>
      <c r="L630" s="33"/>
      <c r="M630" s="20"/>
      <c r="N630" s="20"/>
      <c r="O630" s="20"/>
      <c r="P630" s="20"/>
      <c r="Q630" s="20"/>
      <c r="R630" s="20"/>
      <c r="S630" s="20"/>
      <c r="T630" s="20"/>
      <c r="U630" s="34"/>
      <c r="AF630" s="11" t="str">
        <f t="shared" si="573"/>
        <v/>
      </c>
      <c r="AG630" s="11" t="str">
        <f t="shared" ref="AG630:AO630" si="579">if(not(isblank(M630)),", "&amp;M630,"")</f>
        <v/>
      </c>
      <c r="AH630" s="11" t="str">
        <f t="shared" si="579"/>
        <v/>
      </c>
      <c r="AI630" s="11" t="str">
        <f t="shared" si="579"/>
        <v/>
      </c>
      <c r="AJ630" s="11" t="str">
        <f t="shared" si="579"/>
        <v/>
      </c>
      <c r="AK630" s="11" t="str">
        <f t="shared" si="579"/>
        <v/>
      </c>
      <c r="AL630" s="11" t="str">
        <f t="shared" si="579"/>
        <v/>
      </c>
      <c r="AM630" s="11" t="str">
        <f t="shared" si="579"/>
        <v/>
      </c>
      <c r="AN630" s="11" t="str">
        <f t="shared" si="579"/>
        <v/>
      </c>
      <c r="AO630" s="11" t="str">
        <f t="shared" si="579"/>
        <v/>
      </c>
      <c r="AP630" s="21" t="str">
        <f t="shared" si="575"/>
        <v>blake-black-1</v>
      </c>
    </row>
    <row r="631" ht="16.5" customHeight="1">
      <c r="A631" s="32" t="s">
        <v>78</v>
      </c>
      <c r="B631" s="32" t="s">
        <v>377</v>
      </c>
      <c r="C631" s="32" t="s">
        <v>1942</v>
      </c>
      <c r="D631" s="32" t="s">
        <v>4285</v>
      </c>
      <c r="E631" s="32" t="s">
        <v>4286</v>
      </c>
      <c r="F631" s="4" t="s">
        <v>1944</v>
      </c>
      <c r="G631" s="4" t="s">
        <v>1940</v>
      </c>
      <c r="H631" s="4"/>
      <c r="K631" s="18"/>
      <c r="L631" s="33"/>
      <c r="M631" s="20"/>
      <c r="N631" s="20"/>
      <c r="O631" s="20"/>
      <c r="P631" s="20"/>
      <c r="Q631" s="20"/>
      <c r="R631" s="20"/>
      <c r="S631" s="20"/>
      <c r="T631" s="20"/>
      <c r="U631" s="34"/>
      <c r="AF631" s="11" t="str">
        <f t="shared" si="573"/>
        <v/>
      </c>
      <c r="AG631" s="11" t="str">
        <f t="shared" ref="AG631:AO631" si="580">if(not(isblank(M631)),", "&amp;M631,"")</f>
        <v/>
      </c>
      <c r="AH631" s="11" t="str">
        <f t="shared" si="580"/>
        <v/>
      </c>
      <c r="AI631" s="11" t="str">
        <f t="shared" si="580"/>
        <v/>
      </c>
      <c r="AJ631" s="11" t="str">
        <f t="shared" si="580"/>
        <v/>
      </c>
      <c r="AK631" s="11" t="str">
        <f t="shared" si="580"/>
        <v/>
      </c>
      <c r="AL631" s="11" t="str">
        <f t="shared" si="580"/>
        <v/>
      </c>
      <c r="AM631" s="11" t="str">
        <f t="shared" si="580"/>
        <v/>
      </c>
      <c r="AN631" s="11" t="str">
        <f t="shared" si="580"/>
        <v/>
      </c>
      <c r="AO631" s="11" t="str">
        <f t="shared" si="580"/>
        <v/>
      </c>
      <c r="AP631" s="21" t="str">
        <f t="shared" si="575"/>
        <v>nash-black-1</v>
      </c>
    </row>
    <row r="632" ht="16.5" customHeight="1">
      <c r="A632" s="32" t="s">
        <v>78</v>
      </c>
      <c r="B632" s="32" t="s">
        <v>257</v>
      </c>
      <c r="C632" s="32" t="s">
        <v>297</v>
      </c>
      <c r="D632" s="32" t="s">
        <v>1976</v>
      </c>
      <c r="E632" s="32" t="s">
        <v>4287</v>
      </c>
      <c r="F632" s="4" t="s">
        <v>1978</v>
      </c>
      <c r="G632" s="4" t="s">
        <v>4288</v>
      </c>
      <c r="K632" s="18"/>
      <c r="L632" s="35"/>
      <c r="M632" s="19"/>
      <c r="N632" s="20"/>
      <c r="O632" s="20"/>
      <c r="P632" s="20"/>
      <c r="Q632" s="20"/>
      <c r="R632" s="20"/>
      <c r="S632" s="20"/>
      <c r="T632" s="20"/>
      <c r="U632" s="34"/>
      <c r="AF632" s="11" t="str">
        <f t="shared" si="573"/>
        <v/>
      </c>
      <c r="AG632" s="11" t="str">
        <f t="shared" ref="AG632:AO632" si="581">if(not(isblank(M632)),", "&amp;M632,"")</f>
        <v/>
      </c>
      <c r="AH632" s="11" t="str">
        <f t="shared" si="581"/>
        <v/>
      </c>
      <c r="AI632" s="11" t="str">
        <f t="shared" si="581"/>
        <v/>
      </c>
      <c r="AJ632" s="11" t="str">
        <f t="shared" si="581"/>
        <v/>
      </c>
      <c r="AK632" s="11" t="str">
        <f t="shared" si="581"/>
        <v/>
      </c>
      <c r="AL632" s="11" t="str">
        <f t="shared" si="581"/>
        <v/>
      </c>
      <c r="AM632" s="11" t="str">
        <f t="shared" si="581"/>
        <v/>
      </c>
      <c r="AN632" s="11" t="str">
        <f t="shared" si="581"/>
        <v/>
      </c>
      <c r="AO632" s="11" t="str">
        <f t="shared" si="581"/>
        <v/>
      </c>
      <c r="AP632" s="21" t="str">
        <f t="shared" si="575"/>
        <v>keri-japan-dawn, keri-japan-black, keri-japan-fog, keri-japan-broken</v>
      </c>
    </row>
    <row r="633" ht="16.5" customHeight="1">
      <c r="A633" s="32" t="s">
        <v>78</v>
      </c>
      <c r="B633" s="32" t="s">
        <v>377</v>
      </c>
      <c r="C633" s="32" t="s">
        <v>3334</v>
      </c>
      <c r="D633" s="32" t="s">
        <v>4289</v>
      </c>
      <c r="E633" s="32" t="s">
        <v>3522</v>
      </c>
      <c r="F633" s="4" t="s">
        <v>4290</v>
      </c>
      <c r="G633" s="4"/>
      <c r="H633" s="4"/>
      <c r="K633" s="18"/>
      <c r="L633" s="20"/>
      <c r="M633" s="20"/>
      <c r="N633" s="20"/>
      <c r="O633" s="20"/>
      <c r="P633" s="20"/>
      <c r="Q633" s="20"/>
      <c r="R633" s="20"/>
      <c r="S633" s="20"/>
      <c r="T633" s="20"/>
      <c r="U633" s="34"/>
      <c r="AF633" s="11" t="str">
        <f t="shared" si="573"/>
        <v/>
      </c>
      <c r="AG633" s="11" t="str">
        <f t="shared" ref="AG633:AO633" si="582">if(not(isblank(M633)),", "&amp;M633,"")</f>
        <v/>
      </c>
      <c r="AH633" s="11" t="str">
        <f t="shared" si="582"/>
        <v/>
      </c>
      <c r="AI633" s="11" t="str">
        <f t="shared" si="582"/>
        <v/>
      </c>
      <c r="AJ633" s="11" t="str">
        <f t="shared" si="582"/>
        <v/>
      </c>
      <c r="AK633" s="11" t="str">
        <f t="shared" si="582"/>
        <v/>
      </c>
      <c r="AL633" s="11" t="str">
        <f t="shared" si="582"/>
        <v/>
      </c>
      <c r="AM633" s="11" t="str">
        <f t="shared" si="582"/>
        <v/>
      </c>
      <c r="AN633" s="11" t="str">
        <f t="shared" si="582"/>
        <v/>
      </c>
      <c r="AO633" s="11" t="str">
        <f t="shared" si="582"/>
        <v/>
      </c>
      <c r="AP633" s="21" t="str">
        <f t="shared" si="575"/>
        <v/>
      </c>
    </row>
    <row r="634" ht="16.5" customHeight="1">
      <c r="A634" s="32" t="s">
        <v>78</v>
      </c>
      <c r="B634" s="32" t="s">
        <v>4291</v>
      </c>
      <c r="C634" s="32" t="s">
        <v>4292</v>
      </c>
      <c r="D634" s="32" t="s">
        <v>4293</v>
      </c>
      <c r="E634" s="32" t="s">
        <v>4294</v>
      </c>
      <c r="F634" s="4" t="s">
        <v>4295</v>
      </c>
      <c r="G634" s="4"/>
      <c r="H634" s="4"/>
      <c r="K634" s="18"/>
      <c r="L634" s="20"/>
      <c r="M634" s="20"/>
      <c r="N634" s="20"/>
      <c r="O634" s="20"/>
      <c r="P634" s="20"/>
      <c r="Q634" s="20"/>
      <c r="R634" s="20"/>
      <c r="S634" s="20"/>
      <c r="T634" s="20"/>
      <c r="U634" s="34"/>
      <c r="AP634" s="21"/>
    </row>
    <row r="635" ht="16.5" customHeight="1">
      <c r="A635" s="32" t="s">
        <v>78</v>
      </c>
      <c r="B635" s="32" t="s">
        <v>52</v>
      </c>
      <c r="C635" s="32" t="s">
        <v>4210</v>
      </c>
      <c r="D635" s="32" t="s">
        <v>4296</v>
      </c>
      <c r="E635" s="32" t="s">
        <v>4297</v>
      </c>
      <c r="F635" s="4" t="s">
        <v>477</v>
      </c>
      <c r="G635" s="4" t="s">
        <v>1841</v>
      </c>
      <c r="H635" s="4"/>
      <c r="K635" s="18"/>
      <c r="L635" s="33"/>
      <c r="M635" s="20"/>
      <c r="N635" s="20"/>
      <c r="O635" s="20"/>
      <c r="P635" s="20"/>
      <c r="Q635" s="20"/>
      <c r="R635" s="20"/>
      <c r="S635" s="20"/>
      <c r="T635" s="20"/>
      <c r="U635" s="34"/>
      <c r="AP635" s="21"/>
    </row>
    <row r="636" ht="16.5" customHeight="1">
      <c r="A636" s="32" t="s">
        <v>78</v>
      </c>
      <c r="B636" s="32" t="s">
        <v>52</v>
      </c>
      <c r="C636" s="32" t="s">
        <v>1841</v>
      </c>
      <c r="D636" s="32" t="s">
        <v>4298</v>
      </c>
      <c r="E636" s="32" t="s">
        <v>4299</v>
      </c>
      <c r="F636" s="4" t="s">
        <v>4300</v>
      </c>
      <c r="G636" s="4" t="s">
        <v>4210</v>
      </c>
      <c r="H636" s="4"/>
      <c r="K636" s="18"/>
      <c r="L636" s="33"/>
      <c r="M636" s="20"/>
      <c r="N636" s="20"/>
      <c r="O636" s="20"/>
      <c r="P636" s="20"/>
      <c r="Q636" s="20"/>
      <c r="R636" s="20"/>
      <c r="S636" s="20"/>
      <c r="T636" s="20"/>
      <c r="U636" s="34"/>
      <c r="AP636" s="21"/>
    </row>
    <row r="637" ht="16.5" customHeight="1">
      <c r="A637" s="32" t="s">
        <v>78</v>
      </c>
      <c r="B637" s="32" t="s">
        <v>1840</v>
      </c>
      <c r="C637" s="32" t="s">
        <v>1838</v>
      </c>
      <c r="D637" s="32" t="s">
        <v>1839</v>
      </c>
      <c r="E637" s="32" t="s">
        <v>4301</v>
      </c>
      <c r="F637" s="4" t="s">
        <v>1843</v>
      </c>
      <c r="G637" s="4"/>
      <c r="H637" s="4"/>
      <c r="K637" s="18"/>
      <c r="L637" s="33"/>
      <c r="M637" s="20"/>
      <c r="N637" s="20"/>
      <c r="O637" s="20"/>
      <c r="P637" s="20"/>
      <c r="Q637" s="20"/>
      <c r="R637" s="20"/>
      <c r="S637" s="20"/>
      <c r="T637" s="20"/>
      <c r="U637" s="34"/>
      <c r="AP637" s="21"/>
    </row>
    <row r="638" ht="16.5" customHeight="1">
      <c r="A638" s="32" t="s">
        <v>78</v>
      </c>
      <c r="B638" s="32" t="s">
        <v>4302</v>
      </c>
      <c r="C638" s="32" t="s">
        <v>1851</v>
      </c>
      <c r="D638" s="32" t="s">
        <v>1852</v>
      </c>
      <c r="E638" s="32" t="s">
        <v>4303</v>
      </c>
      <c r="F638" s="4" t="s">
        <v>1854</v>
      </c>
      <c r="G638" s="4"/>
      <c r="H638" s="4"/>
      <c r="K638" s="18"/>
      <c r="L638" s="33"/>
      <c r="M638" s="20"/>
      <c r="N638" s="20"/>
      <c r="O638" s="20"/>
      <c r="P638" s="20"/>
      <c r="Q638" s="20"/>
      <c r="R638" s="20"/>
      <c r="S638" s="20"/>
      <c r="T638" s="20"/>
      <c r="U638" s="34"/>
      <c r="AP638" s="21"/>
    </row>
    <row r="639" ht="16.5" customHeight="1">
      <c r="A639" s="32" t="s">
        <v>78</v>
      </c>
      <c r="B639" s="32" t="s">
        <v>1881</v>
      </c>
      <c r="C639" s="32" t="s">
        <v>1879</v>
      </c>
      <c r="D639" s="32" t="s">
        <v>1880</v>
      </c>
      <c r="E639" s="32" t="s">
        <v>4304</v>
      </c>
      <c r="F639" s="4" t="s">
        <v>1883</v>
      </c>
      <c r="G639" s="4" t="s">
        <v>1882</v>
      </c>
      <c r="K639" s="18"/>
      <c r="L639" s="33"/>
      <c r="M639" s="20"/>
      <c r="N639" s="20"/>
      <c r="O639" s="20"/>
      <c r="P639" s="20"/>
      <c r="Q639" s="20"/>
      <c r="R639" s="20"/>
      <c r="S639" s="20"/>
      <c r="T639" s="20"/>
      <c r="U639" s="34"/>
      <c r="AP639" s="21"/>
    </row>
    <row r="640" ht="16.5" customHeight="1">
      <c r="A640" s="32" t="s">
        <v>78</v>
      </c>
      <c r="B640" s="32" t="s">
        <v>1881</v>
      </c>
      <c r="C640" s="32" t="s">
        <v>1886</v>
      </c>
      <c r="D640" s="32" t="s">
        <v>1887</v>
      </c>
      <c r="E640" s="32" t="s">
        <v>4305</v>
      </c>
      <c r="F640" s="4" t="s">
        <v>1889</v>
      </c>
      <c r="G640" s="4" t="s">
        <v>1888</v>
      </c>
      <c r="H640" s="4"/>
      <c r="K640" s="18"/>
      <c r="L640" s="33"/>
      <c r="M640" s="20"/>
      <c r="N640" s="20"/>
      <c r="O640" s="20"/>
      <c r="P640" s="20"/>
      <c r="Q640" s="20"/>
      <c r="R640" s="20"/>
      <c r="S640" s="20"/>
      <c r="T640" s="20"/>
      <c r="U640" s="34"/>
      <c r="AP640" s="21"/>
    </row>
    <row r="641" ht="16.5" customHeight="1">
      <c r="A641" s="32" t="s">
        <v>78</v>
      </c>
      <c r="B641" s="32" t="s">
        <v>1881</v>
      </c>
      <c r="C641" s="32" t="s">
        <v>1892</v>
      </c>
      <c r="D641" s="32" t="s">
        <v>1893</v>
      </c>
      <c r="E641" s="32" t="s">
        <v>4304</v>
      </c>
      <c r="F641" s="4" t="s">
        <v>1883</v>
      </c>
      <c r="G641" s="4" t="s">
        <v>1894</v>
      </c>
      <c r="K641" s="18"/>
      <c r="L641" s="33"/>
      <c r="M641" s="20"/>
      <c r="N641" s="20"/>
      <c r="O641" s="20"/>
      <c r="P641" s="20"/>
      <c r="Q641" s="20"/>
      <c r="R641" s="20"/>
      <c r="S641" s="20"/>
      <c r="T641" s="20"/>
      <c r="U641" s="34"/>
      <c r="AP641" s="21"/>
    </row>
    <row r="642" ht="16.5" customHeight="1">
      <c r="A642" s="32" t="s">
        <v>78</v>
      </c>
      <c r="B642" s="32" t="s">
        <v>1881</v>
      </c>
      <c r="C642" s="32" t="s">
        <v>1896</v>
      </c>
      <c r="D642" s="32" t="s">
        <v>1897</v>
      </c>
      <c r="E642" s="32" t="s">
        <v>4304</v>
      </c>
      <c r="F642" s="4" t="s">
        <v>1883</v>
      </c>
      <c r="G642" s="4" t="s">
        <v>1898</v>
      </c>
      <c r="K642" s="18"/>
      <c r="L642" s="33"/>
      <c r="M642" s="20"/>
      <c r="N642" s="20"/>
      <c r="O642" s="20"/>
      <c r="P642" s="20"/>
      <c r="Q642" s="20"/>
      <c r="R642" s="20"/>
      <c r="S642" s="20"/>
      <c r="T642" s="20"/>
      <c r="U642" s="34"/>
      <c r="AP642" s="21"/>
    </row>
    <row r="643" ht="16.5" customHeight="1">
      <c r="A643" s="32" t="s">
        <v>78</v>
      </c>
      <c r="B643" s="32" t="s">
        <v>1881</v>
      </c>
      <c r="C643" s="32" t="s">
        <v>1900</v>
      </c>
      <c r="D643" s="32" t="s">
        <v>1901</v>
      </c>
      <c r="E643" s="32" t="s">
        <v>4304</v>
      </c>
      <c r="F643" s="4" t="s">
        <v>1883</v>
      </c>
      <c r="G643" s="4" t="s">
        <v>1902</v>
      </c>
      <c r="K643" s="18"/>
      <c r="L643" s="33"/>
      <c r="M643" s="20"/>
      <c r="N643" s="20"/>
      <c r="O643" s="20"/>
      <c r="P643" s="20"/>
      <c r="Q643" s="20"/>
      <c r="R643" s="20"/>
      <c r="S643" s="20"/>
      <c r="T643" s="20"/>
      <c r="U643" s="34"/>
      <c r="AP643" s="21"/>
    </row>
    <row r="644" ht="16.5" customHeight="1">
      <c r="A644" s="32" t="s">
        <v>78</v>
      </c>
      <c r="B644" s="32" t="s">
        <v>377</v>
      </c>
      <c r="C644" s="32" t="s">
        <v>1802</v>
      </c>
      <c r="D644" s="32" t="s">
        <v>1934</v>
      </c>
      <c r="E644" s="32" t="s">
        <v>4284</v>
      </c>
      <c r="F644" s="4" t="s">
        <v>1803</v>
      </c>
      <c r="G644" s="4" t="s">
        <v>1800</v>
      </c>
      <c r="H644" s="4"/>
      <c r="K644" s="18"/>
      <c r="L644" s="33"/>
      <c r="M644" s="20"/>
      <c r="N644" s="20"/>
      <c r="O644" s="20"/>
      <c r="P644" s="20"/>
      <c r="Q644" s="20"/>
      <c r="R644" s="20"/>
      <c r="S644" s="20"/>
      <c r="T644" s="20"/>
      <c r="U644" s="34"/>
      <c r="AP644" s="21"/>
    </row>
    <row r="645" ht="16.5" customHeight="1">
      <c r="A645" s="32" t="s">
        <v>78</v>
      </c>
      <c r="B645" s="32" t="s">
        <v>377</v>
      </c>
      <c r="C645" s="32" t="s">
        <v>1940</v>
      </c>
      <c r="D645" s="32" t="s">
        <v>1941</v>
      </c>
      <c r="E645" s="32" t="s">
        <v>4286</v>
      </c>
      <c r="F645" s="4" t="s">
        <v>1944</v>
      </c>
      <c r="G645" s="4" t="s">
        <v>1942</v>
      </c>
      <c r="H645" s="4"/>
      <c r="K645" s="18"/>
      <c r="L645" s="33"/>
      <c r="M645" s="20"/>
      <c r="N645" s="20"/>
      <c r="O645" s="20"/>
      <c r="P645" s="20"/>
      <c r="Q645" s="20"/>
      <c r="R645" s="20"/>
      <c r="S645" s="20"/>
      <c r="T645" s="20"/>
      <c r="U645" s="34"/>
      <c r="AP645" s="21"/>
    </row>
    <row r="646" ht="16.5" customHeight="1">
      <c r="A646" s="32" t="s">
        <v>78</v>
      </c>
      <c r="B646" s="32" t="s">
        <v>1881</v>
      </c>
      <c r="C646" s="32" t="s">
        <v>1888</v>
      </c>
      <c r="D646" s="32" t="s">
        <v>1955</v>
      </c>
      <c r="E646" s="32" t="s">
        <v>4305</v>
      </c>
      <c r="F646" s="4" t="s">
        <v>1889</v>
      </c>
      <c r="G646" s="4" t="s">
        <v>1886</v>
      </c>
      <c r="H646" s="4"/>
      <c r="K646" s="18"/>
      <c r="L646" s="33"/>
      <c r="M646" s="20"/>
      <c r="N646" s="20"/>
      <c r="O646" s="20"/>
      <c r="P646" s="20"/>
      <c r="Q646" s="20"/>
      <c r="R646" s="20"/>
      <c r="S646" s="20"/>
      <c r="T646" s="20"/>
      <c r="U646" s="34"/>
      <c r="AP646" s="21"/>
    </row>
    <row r="647" ht="16.5" customHeight="1">
      <c r="A647" s="32" t="s">
        <v>78</v>
      </c>
      <c r="B647" s="32" t="s">
        <v>1881</v>
      </c>
      <c r="C647" s="32" t="s">
        <v>1957</v>
      </c>
      <c r="D647" s="32" t="s">
        <v>1958</v>
      </c>
      <c r="E647" s="32" t="s">
        <v>4304</v>
      </c>
      <c r="F647" s="4" t="s">
        <v>1883</v>
      </c>
      <c r="G647" s="4" t="s">
        <v>1959</v>
      </c>
      <c r="K647" s="18"/>
      <c r="L647" s="33"/>
      <c r="M647" s="20"/>
      <c r="N647" s="20"/>
      <c r="O647" s="20"/>
      <c r="P647" s="20"/>
      <c r="Q647" s="20"/>
      <c r="R647" s="20"/>
      <c r="S647" s="20"/>
      <c r="T647" s="20"/>
      <c r="U647" s="34"/>
      <c r="AP647" s="21"/>
    </row>
    <row r="648" ht="16.5" customHeight="1">
      <c r="A648" s="32" t="s">
        <v>78</v>
      </c>
      <c r="B648" s="32" t="s">
        <v>1881</v>
      </c>
      <c r="C648" s="32" t="s">
        <v>1961</v>
      </c>
      <c r="D648" s="32" t="s">
        <v>1962</v>
      </c>
      <c r="E648" s="32" t="s">
        <v>4304</v>
      </c>
      <c r="F648" s="4" t="s">
        <v>1883</v>
      </c>
      <c r="G648" s="4" t="s">
        <v>1963</v>
      </c>
      <c r="K648" s="18"/>
      <c r="L648" s="33"/>
      <c r="M648" s="20"/>
      <c r="N648" s="20"/>
      <c r="O648" s="20"/>
      <c r="P648" s="20"/>
      <c r="Q648" s="20"/>
      <c r="R648" s="20"/>
      <c r="S648" s="20"/>
      <c r="T648" s="20"/>
      <c r="U648" s="34"/>
      <c r="AP648" s="21"/>
    </row>
    <row r="649" ht="16.5" customHeight="1">
      <c r="A649" s="32" t="s">
        <v>4306</v>
      </c>
      <c r="B649" s="32" t="s">
        <v>2689</v>
      </c>
      <c r="C649" s="32" t="s">
        <v>4307</v>
      </c>
      <c r="D649" s="32" t="s">
        <v>4308</v>
      </c>
      <c r="E649" s="32" t="s">
        <v>4309</v>
      </c>
      <c r="F649" s="4" t="s">
        <v>4310</v>
      </c>
      <c r="G649" s="4"/>
      <c r="H649" s="4"/>
      <c r="K649" s="18"/>
      <c r="L649" s="33"/>
      <c r="M649" s="20"/>
      <c r="N649" s="20"/>
      <c r="O649" s="20"/>
      <c r="P649" s="20"/>
      <c r="Q649" s="20"/>
      <c r="R649" s="20"/>
      <c r="S649" s="20"/>
      <c r="T649" s="20"/>
      <c r="U649" s="34"/>
      <c r="AF649" s="11" t="str">
        <f t="shared" ref="AF649:AF672" si="584">if(not(isblank(L649)),L649,"")</f>
        <v/>
      </c>
      <c r="AG649" s="11" t="str">
        <f t="shared" ref="AG649:AO649" si="583">if(not(isblank(M649)),", "&amp;M649,"")</f>
        <v/>
      </c>
      <c r="AH649" s="11" t="str">
        <f t="shared" si="583"/>
        <v/>
      </c>
      <c r="AI649" s="11" t="str">
        <f t="shared" si="583"/>
        <v/>
      </c>
      <c r="AJ649" s="11" t="str">
        <f t="shared" si="583"/>
        <v/>
      </c>
      <c r="AK649" s="11" t="str">
        <f t="shared" si="583"/>
        <v/>
      </c>
      <c r="AL649" s="11" t="str">
        <f t="shared" si="583"/>
        <v/>
      </c>
      <c r="AM649" s="11" t="str">
        <f t="shared" si="583"/>
        <v/>
      </c>
      <c r="AN649" s="11" t="str">
        <f t="shared" si="583"/>
        <v/>
      </c>
      <c r="AO649" s="11" t="str">
        <f t="shared" si="583"/>
        <v/>
      </c>
      <c r="AP649" s="21" t="str">
        <f t="shared" ref="AP649:AP672" si="586">if(isblank(L649),G649,AF649&amp;AG649&amp;AH649&amp;AI649&amp;AJ649&amp;AK649&amp;AL649&amp;AM649&amp;AN649&amp;AO649)</f>
        <v/>
      </c>
    </row>
    <row r="650" ht="16.5" customHeight="1">
      <c r="A650" s="32" t="s">
        <v>4306</v>
      </c>
      <c r="B650" s="32" t="s">
        <v>2689</v>
      </c>
      <c r="C650" s="32" t="s">
        <v>4311</v>
      </c>
      <c r="D650" s="32" t="s">
        <v>4312</v>
      </c>
      <c r="E650" s="32" t="s">
        <v>4313</v>
      </c>
      <c r="F650" s="4" t="s">
        <v>4314</v>
      </c>
      <c r="G650" s="4"/>
      <c r="H650" s="4"/>
      <c r="I650" s="11" t="s">
        <v>1713</v>
      </c>
      <c r="J650" s="11" t="s">
        <v>3379</v>
      </c>
      <c r="K650" s="18"/>
      <c r="L650" s="33"/>
      <c r="M650" s="20"/>
      <c r="N650" s="20"/>
      <c r="O650" s="20"/>
      <c r="P650" s="20"/>
      <c r="Q650" s="20"/>
      <c r="R650" s="20"/>
      <c r="S650" s="20"/>
      <c r="T650" s="20"/>
      <c r="U650" s="34"/>
      <c r="AF650" s="11" t="str">
        <f t="shared" si="584"/>
        <v/>
      </c>
      <c r="AG650" s="11" t="str">
        <f t="shared" ref="AG650:AO650" si="585">if(not(isblank(M650)),", "&amp;M650,"")</f>
        <v/>
      </c>
      <c r="AH650" s="11" t="str">
        <f t="shared" si="585"/>
        <v/>
      </c>
      <c r="AI650" s="11" t="str">
        <f t="shared" si="585"/>
        <v/>
      </c>
      <c r="AJ650" s="11" t="str">
        <f t="shared" si="585"/>
        <v/>
      </c>
      <c r="AK650" s="11" t="str">
        <f t="shared" si="585"/>
        <v/>
      </c>
      <c r="AL650" s="11" t="str">
        <f t="shared" si="585"/>
        <v/>
      </c>
      <c r="AM650" s="11" t="str">
        <f t="shared" si="585"/>
        <v/>
      </c>
      <c r="AN650" s="11" t="str">
        <f t="shared" si="585"/>
        <v/>
      </c>
      <c r="AO650" s="11" t="str">
        <f t="shared" si="585"/>
        <v/>
      </c>
      <c r="AP650" s="21" t="str">
        <f t="shared" si="586"/>
        <v/>
      </c>
    </row>
    <row r="651" ht="16.5" customHeight="1">
      <c r="A651" s="32" t="s">
        <v>4306</v>
      </c>
      <c r="B651" s="32" t="s">
        <v>2689</v>
      </c>
      <c r="C651" s="32" t="s">
        <v>4315</v>
      </c>
      <c r="D651" s="32" t="s">
        <v>4316</v>
      </c>
      <c r="E651" s="32" t="s">
        <v>4317</v>
      </c>
      <c r="F651" s="4" t="s">
        <v>4318</v>
      </c>
      <c r="G651" s="4"/>
      <c r="H651" s="4"/>
      <c r="J651" s="11" t="s">
        <v>1680</v>
      </c>
      <c r="K651" s="18"/>
      <c r="L651" s="20"/>
      <c r="M651" s="20"/>
      <c r="N651" s="20"/>
      <c r="O651" s="20"/>
      <c r="P651" s="20"/>
      <c r="Q651" s="20"/>
      <c r="R651" s="20"/>
      <c r="S651" s="20"/>
      <c r="T651" s="20"/>
      <c r="U651" s="34"/>
      <c r="AF651" s="11" t="str">
        <f t="shared" si="584"/>
        <v/>
      </c>
      <c r="AG651" s="11" t="str">
        <f t="shared" ref="AG651:AO651" si="587">if(not(isblank(M651)),", "&amp;M651,"")</f>
        <v/>
      </c>
      <c r="AH651" s="11" t="str">
        <f t="shared" si="587"/>
        <v/>
      </c>
      <c r="AI651" s="11" t="str">
        <f t="shared" si="587"/>
        <v/>
      </c>
      <c r="AJ651" s="11" t="str">
        <f t="shared" si="587"/>
        <v/>
      </c>
      <c r="AK651" s="11" t="str">
        <f t="shared" si="587"/>
        <v/>
      </c>
      <c r="AL651" s="11" t="str">
        <f t="shared" si="587"/>
        <v/>
      </c>
      <c r="AM651" s="11" t="str">
        <f t="shared" si="587"/>
        <v/>
      </c>
      <c r="AN651" s="11" t="str">
        <f t="shared" si="587"/>
        <v/>
      </c>
      <c r="AO651" s="11" t="str">
        <f t="shared" si="587"/>
        <v/>
      </c>
      <c r="AP651" s="21" t="str">
        <f t="shared" si="586"/>
        <v/>
      </c>
    </row>
    <row r="652" ht="16.5" customHeight="1">
      <c r="A652" s="32" t="s">
        <v>4306</v>
      </c>
      <c r="B652" s="32" t="s">
        <v>2689</v>
      </c>
      <c r="C652" s="32" t="s">
        <v>4319</v>
      </c>
      <c r="D652" s="32" t="s">
        <v>4320</v>
      </c>
      <c r="E652" s="32" t="s">
        <v>4321</v>
      </c>
      <c r="F652" s="4" t="s">
        <v>4322</v>
      </c>
      <c r="G652" s="4"/>
      <c r="H652" s="4"/>
      <c r="K652" s="18"/>
      <c r="L652" s="20"/>
      <c r="M652" s="20"/>
      <c r="N652" s="20"/>
      <c r="O652" s="20"/>
      <c r="P652" s="20"/>
      <c r="Q652" s="20"/>
      <c r="R652" s="20"/>
      <c r="S652" s="20"/>
      <c r="T652" s="20"/>
      <c r="U652" s="34"/>
      <c r="AF652" s="11" t="str">
        <f t="shared" si="584"/>
        <v/>
      </c>
      <c r="AG652" s="11" t="str">
        <f t="shared" ref="AG652:AO652" si="588">if(not(isblank(M652)),", "&amp;M652,"")</f>
        <v/>
      </c>
      <c r="AH652" s="11" t="str">
        <f t="shared" si="588"/>
        <v/>
      </c>
      <c r="AI652" s="11" t="str">
        <f t="shared" si="588"/>
        <v/>
      </c>
      <c r="AJ652" s="11" t="str">
        <f t="shared" si="588"/>
        <v/>
      </c>
      <c r="AK652" s="11" t="str">
        <f t="shared" si="588"/>
        <v/>
      </c>
      <c r="AL652" s="11" t="str">
        <f t="shared" si="588"/>
        <v/>
      </c>
      <c r="AM652" s="11" t="str">
        <f t="shared" si="588"/>
        <v/>
      </c>
      <c r="AN652" s="11" t="str">
        <f t="shared" si="588"/>
        <v/>
      </c>
      <c r="AO652" s="11" t="str">
        <f t="shared" si="588"/>
        <v/>
      </c>
      <c r="AP652" s="21" t="str">
        <f t="shared" si="586"/>
        <v/>
      </c>
    </row>
    <row r="653" ht="16.5" customHeight="1">
      <c r="A653" s="32" t="s">
        <v>4306</v>
      </c>
      <c r="B653" s="32" t="s">
        <v>2689</v>
      </c>
      <c r="C653" s="32" t="s">
        <v>4323</v>
      </c>
      <c r="D653" s="32" t="s">
        <v>4324</v>
      </c>
      <c r="E653" s="32" t="s">
        <v>4325</v>
      </c>
      <c r="F653" s="4" t="s">
        <v>4326</v>
      </c>
      <c r="G653" s="4"/>
      <c r="H653" s="4"/>
      <c r="K653" s="18"/>
      <c r="L653" s="20"/>
      <c r="M653" s="20"/>
      <c r="N653" s="20"/>
      <c r="O653" s="20"/>
      <c r="P653" s="20"/>
      <c r="Q653" s="20"/>
      <c r="R653" s="20"/>
      <c r="S653" s="20"/>
      <c r="T653" s="20"/>
      <c r="U653" s="34"/>
      <c r="AF653" s="11" t="str">
        <f t="shared" si="584"/>
        <v/>
      </c>
      <c r="AG653" s="11" t="str">
        <f t="shared" ref="AG653:AO653" si="589">if(not(isblank(M653)),", "&amp;M653,"")</f>
        <v/>
      </c>
      <c r="AH653" s="11" t="str">
        <f t="shared" si="589"/>
        <v/>
      </c>
      <c r="AI653" s="11" t="str">
        <f t="shared" si="589"/>
        <v/>
      </c>
      <c r="AJ653" s="11" t="str">
        <f t="shared" si="589"/>
        <v/>
      </c>
      <c r="AK653" s="11" t="str">
        <f t="shared" si="589"/>
        <v/>
      </c>
      <c r="AL653" s="11" t="str">
        <f t="shared" si="589"/>
        <v/>
      </c>
      <c r="AM653" s="11" t="str">
        <f t="shared" si="589"/>
        <v/>
      </c>
      <c r="AN653" s="11" t="str">
        <f t="shared" si="589"/>
        <v/>
      </c>
      <c r="AO653" s="11" t="str">
        <f t="shared" si="589"/>
        <v/>
      </c>
      <c r="AP653" s="21" t="str">
        <f t="shared" si="586"/>
        <v/>
      </c>
    </row>
    <row r="654" ht="16.5" customHeight="1">
      <c r="A654" s="32" t="s">
        <v>4306</v>
      </c>
      <c r="B654" s="32" t="s">
        <v>2689</v>
      </c>
      <c r="C654" s="32" t="s">
        <v>4327</v>
      </c>
      <c r="D654" s="32" t="s">
        <v>4328</v>
      </c>
      <c r="E654" s="32" t="s">
        <v>4329</v>
      </c>
      <c r="F654" s="4" t="s">
        <v>4330</v>
      </c>
      <c r="G654" s="4"/>
      <c r="H654" s="4"/>
      <c r="K654" s="18"/>
      <c r="L654" s="33"/>
      <c r="M654" s="20"/>
      <c r="N654" s="20"/>
      <c r="O654" s="20"/>
      <c r="P654" s="20"/>
      <c r="Q654" s="20"/>
      <c r="R654" s="20"/>
      <c r="S654" s="20"/>
      <c r="T654" s="20"/>
      <c r="U654" s="34"/>
      <c r="AF654" s="11" t="str">
        <f t="shared" si="584"/>
        <v/>
      </c>
      <c r="AG654" s="11" t="str">
        <f t="shared" ref="AG654:AO654" si="590">if(not(isblank(M654)),", "&amp;M654,"")</f>
        <v/>
      </c>
      <c r="AH654" s="11" t="str">
        <f t="shared" si="590"/>
        <v/>
      </c>
      <c r="AI654" s="11" t="str">
        <f t="shared" si="590"/>
        <v/>
      </c>
      <c r="AJ654" s="11" t="str">
        <f t="shared" si="590"/>
        <v/>
      </c>
      <c r="AK654" s="11" t="str">
        <f t="shared" si="590"/>
        <v/>
      </c>
      <c r="AL654" s="11" t="str">
        <f t="shared" si="590"/>
        <v/>
      </c>
      <c r="AM654" s="11" t="str">
        <f t="shared" si="590"/>
        <v/>
      </c>
      <c r="AN654" s="11" t="str">
        <f t="shared" si="590"/>
        <v/>
      </c>
      <c r="AO654" s="11" t="str">
        <f t="shared" si="590"/>
        <v/>
      </c>
      <c r="AP654" s="21" t="str">
        <f t="shared" si="586"/>
        <v/>
      </c>
    </row>
    <row r="655" ht="16.5" customHeight="1">
      <c r="A655" s="32" t="s">
        <v>4306</v>
      </c>
      <c r="B655" s="32" t="s">
        <v>2689</v>
      </c>
      <c r="C655" s="32" t="s">
        <v>4331</v>
      </c>
      <c r="D655" s="32" t="s">
        <v>4332</v>
      </c>
      <c r="E655" s="32" t="s">
        <v>4329</v>
      </c>
      <c r="F655" s="4" t="s">
        <v>4333</v>
      </c>
      <c r="G655" s="4"/>
      <c r="H655" s="4"/>
      <c r="I655" s="11" t="s">
        <v>1463</v>
      </c>
      <c r="K655" s="18"/>
      <c r="L655" s="33"/>
      <c r="M655" s="20"/>
      <c r="N655" s="20"/>
      <c r="O655" s="20"/>
      <c r="P655" s="20"/>
      <c r="Q655" s="20"/>
      <c r="R655" s="20"/>
      <c r="S655" s="20"/>
      <c r="T655" s="20"/>
      <c r="U655" s="34"/>
      <c r="AF655" s="11" t="str">
        <f t="shared" si="584"/>
        <v/>
      </c>
      <c r="AG655" s="11" t="str">
        <f t="shared" ref="AG655:AO655" si="591">if(not(isblank(M655)),", "&amp;M655,"")</f>
        <v/>
      </c>
      <c r="AH655" s="11" t="str">
        <f t="shared" si="591"/>
        <v/>
      </c>
      <c r="AI655" s="11" t="str">
        <f t="shared" si="591"/>
        <v/>
      </c>
      <c r="AJ655" s="11" t="str">
        <f t="shared" si="591"/>
        <v/>
      </c>
      <c r="AK655" s="11" t="str">
        <f t="shared" si="591"/>
        <v/>
      </c>
      <c r="AL655" s="11" t="str">
        <f t="shared" si="591"/>
        <v/>
      </c>
      <c r="AM655" s="11" t="str">
        <f t="shared" si="591"/>
        <v/>
      </c>
      <c r="AN655" s="11" t="str">
        <f t="shared" si="591"/>
        <v/>
      </c>
      <c r="AO655" s="11" t="str">
        <f t="shared" si="591"/>
        <v/>
      </c>
      <c r="AP655" s="21" t="str">
        <f t="shared" si="586"/>
        <v/>
      </c>
    </row>
    <row r="656" ht="16.5" customHeight="1">
      <c r="A656" s="32" t="s">
        <v>4306</v>
      </c>
      <c r="B656" s="32" t="s">
        <v>2689</v>
      </c>
      <c r="C656" s="32" t="s">
        <v>4334</v>
      </c>
      <c r="D656" s="32" t="s">
        <v>4335</v>
      </c>
      <c r="E656" s="32" t="s">
        <v>4336</v>
      </c>
      <c r="F656" s="4" t="s">
        <v>4337</v>
      </c>
      <c r="G656" s="4"/>
      <c r="H656" s="4"/>
      <c r="K656" s="18"/>
      <c r="L656" s="33"/>
      <c r="M656" s="20"/>
      <c r="N656" s="20"/>
      <c r="O656" s="20"/>
      <c r="P656" s="20"/>
      <c r="Q656" s="20"/>
      <c r="R656" s="20"/>
      <c r="S656" s="20"/>
      <c r="T656" s="20"/>
      <c r="U656" s="34"/>
      <c r="AF656" s="11" t="str">
        <f t="shared" si="584"/>
        <v/>
      </c>
      <c r="AG656" s="11" t="str">
        <f t="shared" ref="AG656:AO656" si="592">if(not(isblank(M656)),", "&amp;M656,"")</f>
        <v/>
      </c>
      <c r="AH656" s="11" t="str">
        <f t="shared" si="592"/>
        <v/>
      </c>
      <c r="AI656" s="11" t="str">
        <f t="shared" si="592"/>
        <v/>
      </c>
      <c r="AJ656" s="11" t="str">
        <f t="shared" si="592"/>
        <v/>
      </c>
      <c r="AK656" s="11" t="str">
        <f t="shared" si="592"/>
        <v/>
      </c>
      <c r="AL656" s="11" t="str">
        <f t="shared" si="592"/>
        <v/>
      </c>
      <c r="AM656" s="11" t="str">
        <f t="shared" si="592"/>
        <v/>
      </c>
      <c r="AN656" s="11" t="str">
        <f t="shared" si="592"/>
        <v/>
      </c>
      <c r="AO656" s="11" t="str">
        <f t="shared" si="592"/>
        <v/>
      </c>
      <c r="AP656" s="21" t="str">
        <f t="shared" si="586"/>
        <v/>
      </c>
    </row>
    <row r="657" ht="16.5" customHeight="1">
      <c r="A657" s="32" t="s">
        <v>4306</v>
      </c>
      <c r="B657" s="32" t="s">
        <v>2689</v>
      </c>
      <c r="C657" s="32" t="s">
        <v>4338</v>
      </c>
      <c r="D657" s="32" t="s">
        <v>4339</v>
      </c>
      <c r="E657" s="32" t="s">
        <v>4340</v>
      </c>
      <c r="F657" s="4" t="s">
        <v>4341</v>
      </c>
      <c r="G657" s="4"/>
      <c r="H657" s="4"/>
      <c r="I657" s="11" t="s">
        <v>225</v>
      </c>
      <c r="K657" s="18"/>
      <c r="L657" s="33"/>
      <c r="M657" s="20"/>
      <c r="N657" s="20"/>
      <c r="O657" s="20"/>
      <c r="P657" s="20"/>
      <c r="Q657" s="20"/>
      <c r="R657" s="20"/>
      <c r="S657" s="20"/>
      <c r="T657" s="20"/>
      <c r="U657" s="34"/>
      <c r="AF657" s="11" t="str">
        <f t="shared" si="584"/>
        <v/>
      </c>
      <c r="AG657" s="11" t="str">
        <f t="shared" ref="AG657:AO657" si="593">if(not(isblank(M657)),", "&amp;M657,"")</f>
        <v/>
      </c>
      <c r="AH657" s="11" t="str">
        <f t="shared" si="593"/>
        <v/>
      </c>
      <c r="AI657" s="11" t="str">
        <f t="shared" si="593"/>
        <v/>
      </c>
      <c r="AJ657" s="11" t="str">
        <f t="shared" si="593"/>
        <v/>
      </c>
      <c r="AK657" s="11" t="str">
        <f t="shared" si="593"/>
        <v/>
      </c>
      <c r="AL657" s="11" t="str">
        <f t="shared" si="593"/>
        <v/>
      </c>
      <c r="AM657" s="11" t="str">
        <f t="shared" si="593"/>
        <v/>
      </c>
      <c r="AN657" s="11" t="str">
        <f t="shared" si="593"/>
        <v/>
      </c>
      <c r="AO657" s="11" t="str">
        <f t="shared" si="593"/>
        <v/>
      </c>
      <c r="AP657" s="21" t="str">
        <f t="shared" si="586"/>
        <v/>
      </c>
    </row>
    <row r="658" ht="16.5" customHeight="1">
      <c r="A658" s="32" t="s">
        <v>4306</v>
      </c>
      <c r="B658" s="32" t="s">
        <v>2689</v>
      </c>
      <c r="C658" s="32" t="s">
        <v>4342</v>
      </c>
      <c r="D658" s="32" t="s">
        <v>4343</v>
      </c>
      <c r="E658" s="32" t="s">
        <v>4340</v>
      </c>
      <c r="F658" s="4" t="s">
        <v>4344</v>
      </c>
      <c r="G658" s="4"/>
      <c r="H658" s="4"/>
      <c r="K658" s="18"/>
      <c r="L658" s="33"/>
      <c r="M658" s="20"/>
      <c r="N658" s="20"/>
      <c r="O658" s="20"/>
      <c r="P658" s="20"/>
      <c r="Q658" s="20"/>
      <c r="R658" s="20"/>
      <c r="S658" s="20"/>
      <c r="T658" s="20"/>
      <c r="U658" s="34"/>
      <c r="AF658" s="11" t="str">
        <f t="shared" si="584"/>
        <v/>
      </c>
      <c r="AG658" s="11" t="str">
        <f t="shared" ref="AG658:AO658" si="594">if(not(isblank(M658)),", "&amp;M658,"")</f>
        <v/>
      </c>
      <c r="AH658" s="11" t="str">
        <f t="shared" si="594"/>
        <v/>
      </c>
      <c r="AI658" s="11" t="str">
        <f t="shared" si="594"/>
        <v/>
      </c>
      <c r="AJ658" s="11" t="str">
        <f t="shared" si="594"/>
        <v/>
      </c>
      <c r="AK658" s="11" t="str">
        <f t="shared" si="594"/>
        <v/>
      </c>
      <c r="AL658" s="11" t="str">
        <f t="shared" si="594"/>
        <v/>
      </c>
      <c r="AM658" s="11" t="str">
        <f t="shared" si="594"/>
        <v/>
      </c>
      <c r="AN658" s="11" t="str">
        <f t="shared" si="594"/>
        <v/>
      </c>
      <c r="AO658" s="11" t="str">
        <f t="shared" si="594"/>
        <v/>
      </c>
      <c r="AP658" s="21" t="str">
        <f t="shared" si="586"/>
        <v/>
      </c>
    </row>
    <row r="659" ht="16.5" customHeight="1">
      <c r="A659" s="32" t="s">
        <v>4345</v>
      </c>
      <c r="B659" s="32" t="s">
        <v>2689</v>
      </c>
      <c r="C659" s="32" t="s">
        <v>4346</v>
      </c>
      <c r="D659" s="32" t="s">
        <v>4347</v>
      </c>
      <c r="E659" s="32" t="s">
        <v>4348</v>
      </c>
      <c r="F659" s="4" t="s">
        <v>4349</v>
      </c>
      <c r="G659" s="4"/>
      <c r="H659" s="4"/>
      <c r="K659" s="18"/>
      <c r="L659" s="33"/>
      <c r="M659" s="20"/>
      <c r="N659" s="20"/>
      <c r="O659" s="20"/>
      <c r="P659" s="20"/>
      <c r="Q659" s="20"/>
      <c r="R659" s="20"/>
      <c r="S659" s="20"/>
      <c r="T659" s="20"/>
      <c r="U659" s="34"/>
      <c r="AF659" s="11" t="str">
        <f t="shared" si="584"/>
        <v/>
      </c>
      <c r="AG659" s="11" t="str">
        <f t="shared" ref="AG659:AO659" si="595">if(not(isblank(M659)),", "&amp;M659,"")</f>
        <v/>
      </c>
      <c r="AH659" s="11" t="str">
        <f t="shared" si="595"/>
        <v/>
      </c>
      <c r="AI659" s="11" t="str">
        <f t="shared" si="595"/>
        <v/>
      </c>
      <c r="AJ659" s="11" t="str">
        <f t="shared" si="595"/>
        <v/>
      </c>
      <c r="AK659" s="11" t="str">
        <f t="shared" si="595"/>
        <v/>
      </c>
      <c r="AL659" s="11" t="str">
        <f t="shared" si="595"/>
        <v/>
      </c>
      <c r="AM659" s="11" t="str">
        <f t="shared" si="595"/>
        <v/>
      </c>
      <c r="AN659" s="11" t="str">
        <f t="shared" si="595"/>
        <v/>
      </c>
      <c r="AO659" s="11" t="str">
        <f t="shared" si="595"/>
        <v/>
      </c>
      <c r="AP659" s="21" t="str">
        <f t="shared" si="586"/>
        <v/>
      </c>
    </row>
    <row r="660" ht="16.5" customHeight="1">
      <c r="A660" s="32" t="s">
        <v>4345</v>
      </c>
      <c r="B660" s="32" t="s">
        <v>2689</v>
      </c>
      <c r="C660" s="32" t="s">
        <v>4350</v>
      </c>
      <c r="D660" s="32" t="s">
        <v>4351</v>
      </c>
      <c r="E660" s="32" t="s">
        <v>4352</v>
      </c>
      <c r="F660" s="4" t="s">
        <v>4353</v>
      </c>
      <c r="G660" s="4" t="s">
        <v>4354</v>
      </c>
      <c r="H660" s="4"/>
      <c r="K660" s="18"/>
      <c r="L660" s="33"/>
      <c r="M660" s="20"/>
      <c r="N660" s="20"/>
      <c r="O660" s="20"/>
      <c r="P660" s="20"/>
      <c r="Q660" s="20"/>
      <c r="R660" s="20"/>
      <c r="S660" s="20"/>
      <c r="T660" s="20"/>
      <c r="U660" s="34"/>
      <c r="AF660" s="11" t="str">
        <f t="shared" si="584"/>
        <v/>
      </c>
      <c r="AG660" s="11" t="str">
        <f t="shared" ref="AG660:AO660" si="596">if(not(isblank(M660)),", "&amp;M660,"")</f>
        <v/>
      </c>
      <c r="AH660" s="11" t="str">
        <f t="shared" si="596"/>
        <v/>
      </c>
      <c r="AI660" s="11" t="str">
        <f t="shared" si="596"/>
        <v/>
      </c>
      <c r="AJ660" s="11" t="str">
        <f t="shared" si="596"/>
        <v/>
      </c>
      <c r="AK660" s="11" t="str">
        <f t="shared" si="596"/>
        <v/>
      </c>
      <c r="AL660" s="11" t="str">
        <f t="shared" si="596"/>
        <v/>
      </c>
      <c r="AM660" s="11" t="str">
        <f t="shared" si="596"/>
        <v/>
      </c>
      <c r="AN660" s="11" t="str">
        <f t="shared" si="596"/>
        <v/>
      </c>
      <c r="AO660" s="11" t="str">
        <f t="shared" si="596"/>
        <v/>
      </c>
      <c r="AP660" s="21" t="str">
        <f t="shared" si="586"/>
        <v>camp-cup-sandstone</v>
      </c>
    </row>
    <row r="661" ht="16.5" customHeight="1">
      <c r="A661" s="32" t="s">
        <v>4345</v>
      </c>
      <c r="B661" s="32" t="s">
        <v>2689</v>
      </c>
      <c r="C661" s="32" t="s">
        <v>4354</v>
      </c>
      <c r="D661" s="32" t="s">
        <v>4355</v>
      </c>
      <c r="E661" s="32" t="s">
        <v>4352</v>
      </c>
      <c r="F661" s="4" t="s">
        <v>4356</v>
      </c>
      <c r="G661" s="4" t="s">
        <v>4350</v>
      </c>
      <c r="H661" s="4"/>
      <c r="K661" s="18"/>
      <c r="L661" s="33"/>
      <c r="M661" s="20"/>
      <c r="N661" s="20"/>
      <c r="O661" s="20"/>
      <c r="P661" s="20"/>
      <c r="Q661" s="20"/>
      <c r="R661" s="20"/>
      <c r="S661" s="20"/>
      <c r="T661" s="20"/>
      <c r="U661" s="34"/>
      <c r="AF661" s="11" t="str">
        <f t="shared" si="584"/>
        <v/>
      </c>
      <c r="AG661" s="11" t="str">
        <f t="shared" ref="AG661:AO661" si="597">if(not(isblank(M661)),", "&amp;M661,"")</f>
        <v/>
      </c>
      <c r="AH661" s="11" t="str">
        <f t="shared" si="597"/>
        <v/>
      </c>
      <c r="AI661" s="11" t="str">
        <f t="shared" si="597"/>
        <v/>
      </c>
      <c r="AJ661" s="11" t="str">
        <f t="shared" si="597"/>
        <v/>
      </c>
      <c r="AK661" s="11" t="str">
        <f t="shared" si="597"/>
        <v/>
      </c>
      <c r="AL661" s="11" t="str">
        <f t="shared" si="597"/>
        <v/>
      </c>
      <c r="AM661" s="11" t="str">
        <f t="shared" si="597"/>
        <v/>
      </c>
      <c r="AN661" s="11" t="str">
        <f t="shared" si="597"/>
        <v/>
      </c>
      <c r="AO661" s="11" t="str">
        <f t="shared" si="597"/>
        <v/>
      </c>
      <c r="AP661" s="21" t="str">
        <f t="shared" si="586"/>
        <v>camp-cup-evergreen</v>
      </c>
    </row>
    <row r="662" ht="16.5" customHeight="1">
      <c r="A662" s="32" t="s">
        <v>4357</v>
      </c>
      <c r="B662" s="32" t="s">
        <v>3083</v>
      </c>
      <c r="C662" s="32" t="s">
        <v>4358</v>
      </c>
      <c r="D662" s="32" t="s">
        <v>4359</v>
      </c>
      <c r="E662" s="32" t="s">
        <v>4360</v>
      </c>
      <c r="F662" s="4" t="s">
        <v>4361</v>
      </c>
      <c r="G662" s="4" t="s">
        <v>4362</v>
      </c>
      <c r="H662" s="4"/>
      <c r="K662" s="18"/>
      <c r="L662" s="33"/>
      <c r="M662" s="20"/>
      <c r="N662" s="20"/>
      <c r="O662" s="20"/>
      <c r="P662" s="20"/>
      <c r="Q662" s="20"/>
      <c r="R662" s="20"/>
      <c r="S662" s="20"/>
      <c r="T662" s="20"/>
      <c r="U662" s="34"/>
      <c r="AF662" s="11" t="str">
        <f t="shared" si="584"/>
        <v/>
      </c>
      <c r="AG662" s="11" t="str">
        <f t="shared" ref="AG662:AO662" si="598">if(not(isblank(M662)),", "&amp;M662,"")</f>
        <v/>
      </c>
      <c r="AH662" s="11" t="str">
        <f t="shared" si="598"/>
        <v/>
      </c>
      <c r="AI662" s="11" t="str">
        <f t="shared" si="598"/>
        <v/>
      </c>
      <c r="AJ662" s="11" t="str">
        <f t="shared" si="598"/>
        <v/>
      </c>
      <c r="AK662" s="11" t="str">
        <f t="shared" si="598"/>
        <v/>
      </c>
      <c r="AL662" s="11" t="str">
        <f t="shared" si="598"/>
        <v/>
      </c>
      <c r="AM662" s="11" t="str">
        <f t="shared" si="598"/>
        <v/>
      </c>
      <c r="AN662" s="11" t="str">
        <f t="shared" si="598"/>
        <v/>
      </c>
      <c r="AO662" s="11" t="str">
        <f t="shared" si="598"/>
        <v/>
      </c>
      <c r="AP662" s="21" t="str">
        <f t="shared" si="586"/>
        <v>001-cinder-m, 001-stealth-black-m</v>
      </c>
    </row>
    <row r="663" ht="16.5" customHeight="1">
      <c r="A663" s="32" t="s">
        <v>4357</v>
      </c>
      <c r="B663" s="32" t="s">
        <v>3083</v>
      </c>
      <c r="C663" s="32" t="s">
        <v>4363</v>
      </c>
      <c r="D663" s="32" t="s">
        <v>4364</v>
      </c>
      <c r="E663" s="32" t="s">
        <v>4365</v>
      </c>
      <c r="F663" s="4" t="s">
        <v>4366</v>
      </c>
      <c r="G663" s="4" t="s">
        <v>4367</v>
      </c>
      <c r="H663" s="4"/>
      <c r="K663" s="18"/>
      <c r="L663" s="33"/>
      <c r="M663" s="20"/>
      <c r="N663" s="20"/>
      <c r="O663" s="20"/>
      <c r="P663" s="20"/>
      <c r="Q663" s="20"/>
      <c r="R663" s="20"/>
      <c r="S663" s="20"/>
      <c r="T663" s="20"/>
      <c r="U663" s="34"/>
      <c r="AF663" s="11" t="str">
        <f t="shared" si="584"/>
        <v/>
      </c>
      <c r="AG663" s="11" t="str">
        <f t="shared" ref="AG663:AO663" si="599">if(not(isblank(M663)),", "&amp;M663,"")</f>
        <v/>
      </c>
      <c r="AH663" s="11" t="str">
        <f t="shared" si="599"/>
        <v/>
      </c>
      <c r="AI663" s="11" t="str">
        <f t="shared" si="599"/>
        <v/>
      </c>
      <c r="AJ663" s="11" t="str">
        <f t="shared" si="599"/>
        <v/>
      </c>
      <c r="AK663" s="11" t="str">
        <f t="shared" si="599"/>
        <v/>
      </c>
      <c r="AL663" s="11" t="str">
        <f t="shared" si="599"/>
        <v/>
      </c>
      <c r="AM663" s="11" t="str">
        <f t="shared" si="599"/>
        <v/>
      </c>
      <c r="AN663" s="11" t="str">
        <f t="shared" si="599"/>
        <v/>
      </c>
      <c r="AO663" s="11" t="str">
        <f t="shared" si="599"/>
        <v/>
      </c>
      <c r="AP663" s="21" t="str">
        <f t="shared" si="586"/>
        <v>001-cinder-m, 001-regolith-m</v>
      </c>
    </row>
    <row r="664" ht="16.5" customHeight="1">
      <c r="A664" s="32" t="s">
        <v>4357</v>
      </c>
      <c r="B664" s="32" t="s">
        <v>3093</v>
      </c>
      <c r="C664" s="32" t="s">
        <v>1695</v>
      </c>
      <c r="D664" s="32" t="s">
        <v>4368</v>
      </c>
      <c r="E664" s="32" t="s">
        <v>4365</v>
      </c>
      <c r="F664" s="4" t="s">
        <v>4369</v>
      </c>
      <c r="G664" s="4"/>
      <c r="H664" s="4"/>
      <c r="K664" s="18"/>
      <c r="L664" s="33"/>
      <c r="M664" s="20"/>
      <c r="N664" s="20"/>
      <c r="O664" s="20"/>
      <c r="P664" s="20"/>
      <c r="Q664" s="20"/>
      <c r="R664" s="20"/>
      <c r="S664" s="20"/>
      <c r="T664" s="20"/>
      <c r="U664" s="34"/>
      <c r="AF664" s="11" t="str">
        <f t="shared" si="584"/>
        <v/>
      </c>
      <c r="AG664" s="11" t="str">
        <f t="shared" ref="AG664:AO664" si="600">if(not(isblank(M664)),", "&amp;M664,"")</f>
        <v/>
      </c>
      <c r="AH664" s="11" t="str">
        <f t="shared" si="600"/>
        <v/>
      </c>
      <c r="AI664" s="11" t="str">
        <f t="shared" si="600"/>
        <v/>
      </c>
      <c r="AJ664" s="11" t="str">
        <f t="shared" si="600"/>
        <v/>
      </c>
      <c r="AK664" s="11" t="str">
        <f t="shared" si="600"/>
        <v/>
      </c>
      <c r="AL664" s="11" t="str">
        <f t="shared" si="600"/>
        <v/>
      </c>
      <c r="AM664" s="11" t="str">
        <f t="shared" si="600"/>
        <v/>
      </c>
      <c r="AN664" s="11" t="str">
        <f t="shared" si="600"/>
        <v/>
      </c>
      <c r="AO664" s="11" t="str">
        <f t="shared" si="600"/>
        <v/>
      </c>
      <c r="AP664" s="21" t="str">
        <f t="shared" si="586"/>
        <v/>
      </c>
    </row>
    <row r="665" ht="16.5" customHeight="1">
      <c r="A665" s="32" t="s">
        <v>4357</v>
      </c>
      <c r="B665" s="32" t="s">
        <v>3093</v>
      </c>
      <c r="C665" s="32" t="s">
        <v>3524</v>
      </c>
      <c r="D665" s="32" t="s">
        <v>4370</v>
      </c>
      <c r="E665" s="32" t="s">
        <v>4371</v>
      </c>
      <c r="F665" s="4" t="s">
        <v>4372</v>
      </c>
      <c r="G665" s="4"/>
      <c r="H665" s="4"/>
      <c r="K665" s="18"/>
      <c r="L665" s="33"/>
      <c r="M665" s="20"/>
      <c r="N665" s="20"/>
      <c r="O665" s="20"/>
      <c r="P665" s="20"/>
      <c r="Q665" s="20"/>
      <c r="R665" s="20"/>
      <c r="S665" s="20"/>
      <c r="T665" s="20"/>
      <c r="U665" s="34"/>
      <c r="AF665" s="11" t="str">
        <f t="shared" si="584"/>
        <v/>
      </c>
      <c r="AG665" s="11" t="str">
        <f t="shared" ref="AG665:AO665" si="601">if(not(isblank(M665)),", "&amp;M665,"")</f>
        <v/>
      </c>
      <c r="AH665" s="11" t="str">
        <f t="shared" si="601"/>
        <v/>
      </c>
      <c r="AI665" s="11" t="str">
        <f t="shared" si="601"/>
        <v/>
      </c>
      <c r="AJ665" s="11" t="str">
        <f t="shared" si="601"/>
        <v/>
      </c>
      <c r="AK665" s="11" t="str">
        <f t="shared" si="601"/>
        <v/>
      </c>
      <c r="AL665" s="11" t="str">
        <f t="shared" si="601"/>
        <v/>
      </c>
      <c r="AM665" s="11" t="str">
        <f t="shared" si="601"/>
        <v/>
      </c>
      <c r="AN665" s="11" t="str">
        <f t="shared" si="601"/>
        <v/>
      </c>
      <c r="AO665" s="11" t="str">
        <f t="shared" si="601"/>
        <v/>
      </c>
      <c r="AP665" s="21" t="str">
        <f t="shared" si="586"/>
        <v/>
      </c>
    </row>
    <row r="666" ht="16.5" customHeight="1">
      <c r="A666" s="32" t="s">
        <v>4357</v>
      </c>
      <c r="B666" s="32" t="s">
        <v>3083</v>
      </c>
      <c r="C666" s="32" t="s">
        <v>4373</v>
      </c>
      <c r="D666" s="32" t="s">
        <v>4374</v>
      </c>
      <c r="E666" s="32" t="s">
        <v>4371</v>
      </c>
      <c r="F666" s="4" t="s">
        <v>4375</v>
      </c>
      <c r="G666" s="4" t="s">
        <v>4376</v>
      </c>
      <c r="H666" s="4"/>
      <c r="K666" s="18"/>
      <c r="L666" s="33"/>
      <c r="M666" s="20"/>
      <c r="N666" s="20"/>
      <c r="O666" s="20"/>
      <c r="P666" s="20"/>
      <c r="Q666" s="20"/>
      <c r="R666" s="20"/>
      <c r="S666" s="20"/>
      <c r="T666" s="20"/>
      <c r="U666" s="34"/>
      <c r="AF666" s="11" t="str">
        <f t="shared" si="584"/>
        <v/>
      </c>
      <c r="AG666" s="11" t="str">
        <f t="shared" ref="AG666:AO666" si="602">if(not(isblank(M666)),", "&amp;M666,"")</f>
        <v/>
      </c>
      <c r="AH666" s="11" t="str">
        <f t="shared" si="602"/>
        <v/>
      </c>
      <c r="AI666" s="11" t="str">
        <f t="shared" si="602"/>
        <v/>
      </c>
      <c r="AJ666" s="11" t="str">
        <f t="shared" si="602"/>
        <v/>
      </c>
      <c r="AK666" s="11" t="str">
        <f t="shared" si="602"/>
        <v/>
      </c>
      <c r="AL666" s="11" t="str">
        <f t="shared" si="602"/>
        <v/>
      </c>
      <c r="AM666" s="11" t="str">
        <f t="shared" si="602"/>
        <v/>
      </c>
      <c r="AN666" s="11" t="str">
        <f t="shared" si="602"/>
        <v/>
      </c>
      <c r="AO666" s="11" t="str">
        <f t="shared" si="602"/>
        <v/>
      </c>
      <c r="AP666" s="21" t="str">
        <f t="shared" si="586"/>
        <v>002-cinder-m</v>
      </c>
    </row>
    <row r="667" ht="16.5" customHeight="1">
      <c r="A667" s="32" t="s">
        <v>4357</v>
      </c>
      <c r="B667" s="32" t="s">
        <v>3083</v>
      </c>
      <c r="C667" s="32" t="s">
        <v>4377</v>
      </c>
      <c r="D667" s="32" t="s">
        <v>4378</v>
      </c>
      <c r="E667" s="32" t="s">
        <v>4365</v>
      </c>
      <c r="F667" s="4" t="s">
        <v>4379</v>
      </c>
      <c r="G667" s="4" t="s">
        <v>4380</v>
      </c>
      <c r="H667" s="4"/>
      <c r="K667" s="18"/>
      <c r="L667" s="35" t="s">
        <v>4381</v>
      </c>
      <c r="M667" s="19" t="s">
        <v>4382</v>
      </c>
      <c r="N667" s="20"/>
      <c r="O667" s="20"/>
      <c r="P667" s="20"/>
      <c r="Q667" s="20"/>
      <c r="R667" s="20"/>
      <c r="S667" s="20"/>
      <c r="T667" s="20"/>
      <c r="U667" s="34"/>
      <c r="AF667" s="11" t="str">
        <f t="shared" si="584"/>
        <v>ys1026-fellcroft-navy-fleck</v>
      </c>
      <c r="AG667" s="11" t="str">
        <f t="shared" ref="AG667:AO667" si="603">if(not(isblank(M667)),", "&amp;M667,"")</f>
        <v>, ys1026-fellcroft-maroon-fleck</v>
      </c>
      <c r="AH667" s="11" t="str">
        <f t="shared" si="603"/>
        <v/>
      </c>
      <c r="AI667" s="11" t="str">
        <f t="shared" si="603"/>
        <v/>
      </c>
      <c r="AJ667" s="11" t="str">
        <f t="shared" si="603"/>
        <v/>
      </c>
      <c r="AK667" s="11" t="str">
        <f t="shared" si="603"/>
        <v/>
      </c>
      <c r="AL667" s="11" t="str">
        <f t="shared" si="603"/>
        <v/>
      </c>
      <c r="AM667" s="11" t="str">
        <f t="shared" si="603"/>
        <v/>
      </c>
      <c r="AN667" s="11" t="str">
        <f t="shared" si="603"/>
        <v/>
      </c>
      <c r="AO667" s="11" t="str">
        <f t="shared" si="603"/>
        <v/>
      </c>
      <c r="AP667" s="21" t="str">
        <f t="shared" si="586"/>
        <v>ys1026-fellcroft-navy-fleck, ys1026-fellcroft-maroon-fleck</v>
      </c>
    </row>
    <row r="668" ht="16.5" customHeight="1">
      <c r="A668" s="32" t="s">
        <v>4357</v>
      </c>
      <c r="B668" s="32" t="s">
        <v>3083</v>
      </c>
      <c r="C668" s="32" t="s">
        <v>4376</v>
      </c>
      <c r="D668" s="32" t="s">
        <v>4383</v>
      </c>
      <c r="E668" s="32" t="s">
        <v>4371</v>
      </c>
      <c r="F668" s="4" t="s">
        <v>4384</v>
      </c>
      <c r="G668" s="4" t="s">
        <v>4373</v>
      </c>
      <c r="H668" s="4"/>
      <c r="K668" s="18"/>
      <c r="L668" s="35" t="s">
        <v>4385</v>
      </c>
      <c r="M668" s="19" t="s">
        <v>4381</v>
      </c>
      <c r="N668" s="20"/>
      <c r="O668" s="20"/>
      <c r="P668" s="20"/>
      <c r="Q668" s="20"/>
      <c r="R668" s="20"/>
      <c r="S668" s="20"/>
      <c r="T668" s="20"/>
      <c r="U668" s="34"/>
      <c r="AF668" s="11" t="str">
        <f t="shared" si="584"/>
        <v>ys1026-fellcroft-charcoal-fleck</v>
      </c>
      <c r="AG668" s="11" t="str">
        <f t="shared" ref="AG668:AO668" si="604">if(not(isblank(M668)),", "&amp;M668,"")</f>
        <v>, ys1026-fellcroft-navy-fleck</v>
      </c>
      <c r="AH668" s="11" t="str">
        <f t="shared" si="604"/>
        <v/>
      </c>
      <c r="AI668" s="11" t="str">
        <f t="shared" si="604"/>
        <v/>
      </c>
      <c r="AJ668" s="11" t="str">
        <f t="shared" si="604"/>
        <v/>
      </c>
      <c r="AK668" s="11" t="str">
        <f t="shared" si="604"/>
        <v/>
      </c>
      <c r="AL668" s="11" t="str">
        <f t="shared" si="604"/>
        <v/>
      </c>
      <c r="AM668" s="11" t="str">
        <f t="shared" si="604"/>
        <v/>
      </c>
      <c r="AN668" s="11" t="str">
        <f t="shared" si="604"/>
        <v/>
      </c>
      <c r="AO668" s="11" t="str">
        <f t="shared" si="604"/>
        <v/>
      </c>
      <c r="AP668" s="21" t="str">
        <f t="shared" si="586"/>
        <v>ys1026-fellcroft-charcoal-fleck, ys1026-fellcroft-navy-fleck</v>
      </c>
    </row>
    <row r="669" ht="16.5" customHeight="1">
      <c r="A669" s="32" t="s">
        <v>4357</v>
      </c>
      <c r="B669" s="32" t="s">
        <v>3083</v>
      </c>
      <c r="C669" s="32" t="s">
        <v>4386</v>
      </c>
      <c r="D669" s="32" t="s">
        <v>4387</v>
      </c>
      <c r="E669" s="32" t="s">
        <v>4388</v>
      </c>
      <c r="F669" s="4" t="s">
        <v>4389</v>
      </c>
      <c r="G669" s="4" t="s">
        <v>4390</v>
      </c>
      <c r="H669" s="4"/>
      <c r="K669" s="18"/>
      <c r="L669" s="35" t="s">
        <v>4385</v>
      </c>
      <c r="M669" s="19" t="s">
        <v>4382</v>
      </c>
      <c r="N669" s="20"/>
      <c r="O669" s="20"/>
      <c r="P669" s="20"/>
      <c r="Q669" s="20"/>
      <c r="R669" s="20"/>
      <c r="S669" s="20"/>
      <c r="T669" s="20"/>
      <c r="U669" s="34"/>
      <c r="AF669" s="11" t="str">
        <f t="shared" si="584"/>
        <v>ys1026-fellcroft-charcoal-fleck</v>
      </c>
      <c r="AG669" s="11" t="str">
        <f t="shared" ref="AG669:AO669" si="605">if(not(isblank(M669)),", "&amp;M669,"")</f>
        <v>, ys1026-fellcroft-maroon-fleck</v>
      </c>
      <c r="AH669" s="11" t="str">
        <f t="shared" si="605"/>
        <v/>
      </c>
      <c r="AI669" s="11" t="str">
        <f t="shared" si="605"/>
        <v/>
      </c>
      <c r="AJ669" s="11" t="str">
        <f t="shared" si="605"/>
        <v/>
      </c>
      <c r="AK669" s="11" t="str">
        <f t="shared" si="605"/>
        <v/>
      </c>
      <c r="AL669" s="11" t="str">
        <f t="shared" si="605"/>
        <v/>
      </c>
      <c r="AM669" s="11" t="str">
        <f t="shared" si="605"/>
        <v/>
      </c>
      <c r="AN669" s="11" t="str">
        <f t="shared" si="605"/>
        <v/>
      </c>
      <c r="AO669" s="11" t="str">
        <f t="shared" si="605"/>
        <v/>
      </c>
      <c r="AP669" s="21" t="str">
        <f t="shared" si="586"/>
        <v>ys1026-fellcroft-charcoal-fleck, ys1026-fellcroft-maroon-fleck</v>
      </c>
    </row>
    <row r="670" ht="16.5" customHeight="1">
      <c r="A670" s="32" t="s">
        <v>4357</v>
      </c>
      <c r="B670" s="32" t="s">
        <v>3083</v>
      </c>
      <c r="C670" s="32" t="s">
        <v>4390</v>
      </c>
      <c r="D670" s="32" t="s">
        <v>4391</v>
      </c>
      <c r="E670" s="32" t="s">
        <v>4388</v>
      </c>
      <c r="F670" s="4" t="s">
        <v>4392</v>
      </c>
      <c r="G670" s="4" t="s">
        <v>4386</v>
      </c>
      <c r="H670" s="4"/>
      <c r="K670" s="18"/>
      <c r="L670" s="35" t="s">
        <v>4393</v>
      </c>
      <c r="M670" s="19" t="s">
        <v>4394</v>
      </c>
      <c r="N670" s="20"/>
      <c r="O670" s="20"/>
      <c r="P670" s="20"/>
      <c r="Q670" s="20"/>
      <c r="R670" s="20"/>
      <c r="S670" s="20"/>
      <c r="T670" s="20"/>
      <c r="U670" s="34"/>
      <c r="AF670" s="11" t="str">
        <f t="shared" si="584"/>
        <v>ys1038-robin-navy</v>
      </c>
      <c r="AG670" s="11" t="str">
        <f t="shared" ref="AG670:AO670" si="606">if(not(isblank(M670)),", "&amp;M670,"")</f>
        <v>, ys1038-robin-charcoal</v>
      </c>
      <c r="AH670" s="11" t="str">
        <f t="shared" si="606"/>
        <v/>
      </c>
      <c r="AI670" s="11" t="str">
        <f t="shared" si="606"/>
        <v/>
      </c>
      <c r="AJ670" s="11" t="str">
        <f t="shared" si="606"/>
        <v/>
      </c>
      <c r="AK670" s="11" t="str">
        <f t="shared" si="606"/>
        <v/>
      </c>
      <c r="AL670" s="11" t="str">
        <f t="shared" si="606"/>
        <v/>
      </c>
      <c r="AM670" s="11" t="str">
        <f t="shared" si="606"/>
        <v/>
      </c>
      <c r="AN670" s="11" t="str">
        <f t="shared" si="606"/>
        <v/>
      </c>
      <c r="AO670" s="11" t="str">
        <f t="shared" si="606"/>
        <v/>
      </c>
      <c r="AP670" s="21" t="str">
        <f t="shared" si="586"/>
        <v>ys1038-robin-navy, ys1038-robin-charcoal</v>
      </c>
    </row>
    <row r="671" ht="16.5" customHeight="1">
      <c r="A671" s="32" t="s">
        <v>4357</v>
      </c>
      <c r="B671" s="32" t="s">
        <v>3083</v>
      </c>
      <c r="C671" s="32" t="s">
        <v>4395</v>
      </c>
      <c r="D671" s="32" t="s">
        <v>4396</v>
      </c>
      <c r="E671" s="32" t="s">
        <v>4365</v>
      </c>
      <c r="F671" s="4" t="s">
        <v>4397</v>
      </c>
      <c r="G671" s="4" t="s">
        <v>4398</v>
      </c>
      <c r="K671" s="18"/>
      <c r="L671" s="33"/>
      <c r="M671" s="20"/>
      <c r="N671" s="20"/>
      <c r="O671" s="20"/>
      <c r="P671" s="20"/>
      <c r="Q671" s="20"/>
      <c r="R671" s="20"/>
      <c r="S671" s="20"/>
      <c r="T671" s="20"/>
      <c r="U671" s="34"/>
      <c r="AF671" s="11" t="str">
        <f t="shared" si="584"/>
        <v/>
      </c>
      <c r="AG671" s="11" t="str">
        <f t="shared" ref="AG671:AO671" si="607">if(not(isblank(M671)),", "&amp;M671,"")</f>
        <v/>
      </c>
      <c r="AH671" s="11" t="str">
        <f t="shared" si="607"/>
        <v/>
      </c>
      <c r="AI671" s="11" t="str">
        <f t="shared" si="607"/>
        <v/>
      </c>
      <c r="AJ671" s="11" t="str">
        <f t="shared" si="607"/>
        <v/>
      </c>
      <c r="AK671" s="11" t="str">
        <f t="shared" si="607"/>
        <v/>
      </c>
      <c r="AL671" s="11" t="str">
        <f t="shared" si="607"/>
        <v/>
      </c>
      <c r="AM671" s="11" t="str">
        <f t="shared" si="607"/>
        <v/>
      </c>
      <c r="AN671" s="11" t="str">
        <f t="shared" si="607"/>
        <v/>
      </c>
      <c r="AO671" s="11" t="str">
        <f t="shared" si="607"/>
        <v/>
      </c>
      <c r="AP671" s="21" t="str">
        <f t="shared" si="586"/>
        <v>001-cinder-m, 001-stealth-black-m, 001-regolith-m</v>
      </c>
    </row>
    <row r="672" ht="16.5" customHeight="1">
      <c r="A672" s="32" t="s">
        <v>4357</v>
      </c>
      <c r="B672" s="32" t="s">
        <v>3083</v>
      </c>
      <c r="C672" s="32" t="s">
        <v>4399</v>
      </c>
      <c r="D672" s="32" t="s">
        <v>4400</v>
      </c>
      <c r="E672" s="32" t="s">
        <v>4371</v>
      </c>
      <c r="F672" s="4" t="s">
        <v>4401</v>
      </c>
      <c r="G672" s="4" t="s">
        <v>4402</v>
      </c>
      <c r="H672" s="4"/>
      <c r="K672" s="18"/>
      <c r="L672" s="35" t="s">
        <v>3264</v>
      </c>
      <c r="M672" s="19" t="s">
        <v>3327</v>
      </c>
      <c r="N672" s="19" t="s">
        <v>3410</v>
      </c>
      <c r="O672" s="19" t="s">
        <v>1639</v>
      </c>
      <c r="P672" s="19" t="s">
        <v>3550</v>
      </c>
      <c r="Q672" s="19" t="s">
        <v>3439</v>
      </c>
      <c r="R672" s="20"/>
      <c r="S672" s="20"/>
      <c r="T672" s="20"/>
      <c r="U672" s="34"/>
      <c r="AF672" s="11" t="str">
        <f t="shared" si="584"/>
        <v>mila-black</v>
      </c>
      <c r="AG672" s="11" t="str">
        <f t="shared" ref="AG672:AO672" si="608">if(not(isblank(M672)),", "&amp;M672,"")</f>
        <v>, mila-black-1</v>
      </c>
      <c r="AH672" s="11" t="str">
        <f t="shared" si="608"/>
        <v>, mila-brown-stripe</v>
      </c>
      <c r="AI672" s="11" t="str">
        <f t="shared" si="608"/>
        <v>, mila-grey-melange</v>
      </c>
      <c r="AJ672" s="11" t="str">
        <f t="shared" si="608"/>
        <v>, mila-indigo-stripe</v>
      </c>
      <c r="AK672" s="11" t="str">
        <f t="shared" si="608"/>
        <v>, mila-mud</v>
      </c>
      <c r="AL672" s="11" t="str">
        <f t="shared" si="608"/>
        <v/>
      </c>
      <c r="AM672" s="11" t="str">
        <f t="shared" si="608"/>
        <v/>
      </c>
      <c r="AN672" s="11" t="str">
        <f t="shared" si="608"/>
        <v/>
      </c>
      <c r="AO672" s="11" t="str">
        <f t="shared" si="608"/>
        <v/>
      </c>
      <c r="AP672" s="21" t="str">
        <f t="shared" si="586"/>
        <v>mila-black, mila-black-1, mila-brown-stripe, mila-grey-melange, mila-indigo-stripe, mila-mud</v>
      </c>
    </row>
    <row r="673" ht="16.5" customHeight="1">
      <c r="A673" s="32" t="s">
        <v>4357</v>
      </c>
      <c r="B673" s="32" t="s">
        <v>3093</v>
      </c>
      <c r="C673" s="32" t="s">
        <v>4403</v>
      </c>
      <c r="D673" s="32" t="s">
        <v>4404</v>
      </c>
      <c r="E673" s="32" t="s">
        <v>4365</v>
      </c>
      <c r="F673" s="4" t="s">
        <v>4397</v>
      </c>
      <c r="G673" s="4" t="s">
        <v>4405</v>
      </c>
      <c r="K673" s="18"/>
      <c r="L673" s="33"/>
      <c r="M673" s="20"/>
      <c r="N673" s="20"/>
      <c r="O673" s="20"/>
      <c r="P673" s="20"/>
      <c r="Q673" s="20"/>
      <c r="R673" s="20"/>
      <c r="S673" s="20"/>
      <c r="T673" s="20"/>
      <c r="U673" s="34"/>
      <c r="AP673" s="21"/>
    </row>
    <row r="674" ht="16.5" customHeight="1">
      <c r="A674" s="32" t="s">
        <v>4357</v>
      </c>
      <c r="B674" s="32" t="s">
        <v>3093</v>
      </c>
      <c r="C674" s="32" t="s">
        <v>4406</v>
      </c>
      <c r="D674" s="32" t="s">
        <v>4407</v>
      </c>
      <c r="E674" s="36"/>
      <c r="F674" s="4"/>
      <c r="G674" s="4"/>
      <c r="H674" s="4"/>
      <c r="K674" s="18"/>
      <c r="L674" s="33"/>
      <c r="M674" s="20"/>
      <c r="N674" s="20"/>
      <c r="O674" s="20"/>
      <c r="P674" s="20"/>
      <c r="Q674" s="20"/>
      <c r="R674" s="20"/>
      <c r="S674" s="20"/>
      <c r="T674" s="20"/>
      <c r="U674" s="34"/>
      <c r="AP674" s="21"/>
    </row>
    <row r="675" ht="16.5" customHeight="1">
      <c r="A675" s="32" t="s">
        <v>4408</v>
      </c>
      <c r="B675" s="32" t="s">
        <v>4409</v>
      </c>
      <c r="C675" s="32" t="s">
        <v>4410</v>
      </c>
      <c r="D675" s="32" t="s">
        <v>4411</v>
      </c>
      <c r="E675" s="32" t="s">
        <v>4412</v>
      </c>
      <c r="F675" s="4" t="s">
        <v>4413</v>
      </c>
      <c r="G675" s="4"/>
      <c r="H675" s="4"/>
      <c r="K675" s="18"/>
      <c r="L675" s="33"/>
      <c r="M675" s="20"/>
      <c r="N675" s="20"/>
      <c r="O675" s="20"/>
      <c r="P675" s="20"/>
      <c r="Q675" s="20"/>
      <c r="R675" s="20"/>
      <c r="S675" s="20"/>
      <c r="T675" s="20"/>
      <c r="U675" s="34"/>
      <c r="AF675" s="11" t="str">
        <f t="shared" ref="AF675:AF755" si="610">if(not(isblank(L675)),L675,"")</f>
        <v/>
      </c>
      <c r="AG675" s="11" t="str">
        <f t="shared" ref="AG675:AO675" si="609">if(not(isblank(M675)),", "&amp;M675,"")</f>
        <v/>
      </c>
      <c r="AH675" s="11" t="str">
        <f t="shared" si="609"/>
        <v/>
      </c>
      <c r="AI675" s="11" t="str">
        <f t="shared" si="609"/>
        <v/>
      </c>
      <c r="AJ675" s="11" t="str">
        <f t="shared" si="609"/>
        <v/>
      </c>
      <c r="AK675" s="11" t="str">
        <f t="shared" si="609"/>
        <v/>
      </c>
      <c r="AL675" s="11" t="str">
        <f t="shared" si="609"/>
        <v/>
      </c>
      <c r="AM675" s="11" t="str">
        <f t="shared" si="609"/>
        <v/>
      </c>
      <c r="AN675" s="11" t="str">
        <f t="shared" si="609"/>
        <v/>
      </c>
      <c r="AO675" s="11" t="str">
        <f t="shared" si="609"/>
        <v/>
      </c>
      <c r="AP675" s="21" t="str">
        <f t="shared" ref="AP675:AP755" si="612">if(isblank(L675),G675,AF675&amp;AG675&amp;AH675&amp;AI675&amp;AJ675&amp;AK675&amp;AL675&amp;AM675&amp;AN675&amp;AO675)</f>
        <v/>
      </c>
    </row>
    <row r="676" ht="16.5" customHeight="1">
      <c r="A676" s="32" t="s">
        <v>4408</v>
      </c>
      <c r="B676" s="32" t="s">
        <v>4409</v>
      </c>
      <c r="C676" s="32" t="s">
        <v>4414</v>
      </c>
      <c r="D676" s="32" t="s">
        <v>4415</v>
      </c>
      <c r="E676" s="32" t="s">
        <v>4416</v>
      </c>
      <c r="F676" s="4" t="s">
        <v>4417</v>
      </c>
      <c r="G676" s="4"/>
      <c r="H676" s="4"/>
      <c r="K676" s="18"/>
      <c r="L676" s="35" t="s">
        <v>1776</v>
      </c>
      <c r="M676" s="19" t="s">
        <v>3368</v>
      </c>
      <c r="N676" s="20"/>
      <c r="O676" s="20"/>
      <c r="P676" s="20"/>
      <c r="Q676" s="20"/>
      <c r="R676" s="20"/>
      <c r="S676" s="20"/>
      <c r="T676" s="20"/>
      <c r="U676" s="34"/>
      <c r="AF676" s="11" t="str">
        <f t="shared" si="610"/>
        <v>abby-chestnut</v>
      </c>
      <c r="AG676" s="11" t="str">
        <f t="shared" ref="AG676:AO676" si="611">if(not(isblank(M676)),", "&amp;M676,"")</f>
        <v>, abby-white</v>
      </c>
      <c r="AH676" s="11" t="str">
        <f t="shared" si="611"/>
        <v/>
      </c>
      <c r="AI676" s="11" t="str">
        <f t="shared" si="611"/>
        <v/>
      </c>
      <c r="AJ676" s="11" t="str">
        <f t="shared" si="611"/>
        <v/>
      </c>
      <c r="AK676" s="11" t="str">
        <f t="shared" si="611"/>
        <v/>
      </c>
      <c r="AL676" s="11" t="str">
        <f t="shared" si="611"/>
        <v/>
      </c>
      <c r="AM676" s="11" t="str">
        <f t="shared" si="611"/>
        <v/>
      </c>
      <c r="AN676" s="11" t="str">
        <f t="shared" si="611"/>
        <v/>
      </c>
      <c r="AO676" s="11" t="str">
        <f t="shared" si="611"/>
        <v/>
      </c>
      <c r="AP676" s="21" t="str">
        <f t="shared" si="612"/>
        <v>abby-chestnut, abby-white</v>
      </c>
    </row>
    <row r="677" ht="16.5" customHeight="1">
      <c r="A677" s="32" t="s">
        <v>4418</v>
      </c>
      <c r="B677" s="32" t="s">
        <v>2635</v>
      </c>
      <c r="C677" s="32" t="s">
        <v>4419</v>
      </c>
      <c r="D677" s="32" t="s">
        <v>4420</v>
      </c>
      <c r="E677" s="32" t="s">
        <v>4421</v>
      </c>
      <c r="F677" s="4" t="s">
        <v>4422</v>
      </c>
      <c r="G677" s="4" t="s">
        <v>4423</v>
      </c>
      <c r="K677" s="18"/>
      <c r="L677" s="33"/>
      <c r="M677" s="20"/>
      <c r="N677" s="20"/>
      <c r="O677" s="20"/>
      <c r="P677" s="20"/>
      <c r="Q677" s="20"/>
      <c r="R677" s="20"/>
      <c r="S677" s="20"/>
      <c r="T677" s="20"/>
      <c r="U677" s="34"/>
      <c r="AF677" s="11" t="str">
        <f t="shared" si="610"/>
        <v/>
      </c>
      <c r="AG677" s="11" t="str">
        <f t="shared" ref="AG677:AO677" si="613">if(not(isblank(M677)),", "&amp;M677,"")</f>
        <v/>
      </c>
      <c r="AH677" s="11" t="str">
        <f t="shared" si="613"/>
        <v/>
      </c>
      <c r="AI677" s="11" t="str">
        <f t="shared" si="613"/>
        <v/>
      </c>
      <c r="AJ677" s="11" t="str">
        <f t="shared" si="613"/>
        <v/>
      </c>
      <c r="AK677" s="11" t="str">
        <f t="shared" si="613"/>
        <v/>
      </c>
      <c r="AL677" s="11" t="str">
        <f t="shared" si="613"/>
        <v/>
      </c>
      <c r="AM677" s="11" t="str">
        <f t="shared" si="613"/>
        <v/>
      </c>
      <c r="AN677" s="11" t="str">
        <f t="shared" si="613"/>
        <v/>
      </c>
      <c r="AO677" s="11" t="str">
        <f t="shared" si="613"/>
        <v/>
      </c>
      <c r="AP677" s="21" t="str">
        <f t="shared" si="612"/>
        <v>star-master-white, star-master-beige-transparent, star-master-pink-white</v>
      </c>
    </row>
    <row r="678" ht="16.5" customHeight="1">
      <c r="A678" s="32" t="s">
        <v>4418</v>
      </c>
      <c r="B678" s="32" t="s">
        <v>2635</v>
      </c>
      <c r="C678" s="32" t="s">
        <v>4424</v>
      </c>
      <c r="D678" s="32" t="s">
        <v>4425</v>
      </c>
      <c r="E678" s="32" t="s">
        <v>4421</v>
      </c>
      <c r="F678" s="4" t="s">
        <v>4426</v>
      </c>
      <c r="G678" s="4" t="s">
        <v>4427</v>
      </c>
      <c r="K678" s="18"/>
      <c r="L678" s="33"/>
      <c r="M678" s="20"/>
      <c r="N678" s="20"/>
      <c r="O678" s="20"/>
      <c r="P678" s="20"/>
      <c r="Q678" s="20"/>
      <c r="R678" s="20"/>
      <c r="S678" s="20"/>
      <c r="T678" s="20"/>
      <c r="U678" s="34"/>
      <c r="AF678" s="11" t="str">
        <f t="shared" si="610"/>
        <v/>
      </c>
      <c r="AG678" s="11" t="str">
        <f t="shared" ref="AG678:AO678" si="614">if(not(isblank(M678)),", "&amp;M678,"")</f>
        <v/>
      </c>
      <c r="AH678" s="11" t="str">
        <f t="shared" si="614"/>
        <v/>
      </c>
      <c r="AI678" s="11" t="str">
        <f t="shared" si="614"/>
        <v/>
      </c>
      <c r="AJ678" s="11" t="str">
        <f t="shared" si="614"/>
        <v/>
      </c>
      <c r="AK678" s="11" t="str">
        <f t="shared" si="614"/>
        <v/>
      </c>
      <c r="AL678" s="11" t="str">
        <f t="shared" si="614"/>
        <v/>
      </c>
      <c r="AM678" s="11" t="str">
        <f t="shared" si="614"/>
        <v/>
      </c>
      <c r="AN678" s="11" t="str">
        <f t="shared" si="614"/>
        <v/>
      </c>
      <c r="AO678" s="11" t="str">
        <f t="shared" si="614"/>
        <v/>
      </c>
      <c r="AP678" s="21" t="str">
        <f t="shared" si="612"/>
        <v>star-master-all-black, star-master-white, star-master-pink-white</v>
      </c>
    </row>
    <row r="679" ht="16.5" customHeight="1">
      <c r="A679" s="32" t="s">
        <v>4418</v>
      </c>
      <c r="B679" s="32" t="s">
        <v>2635</v>
      </c>
      <c r="C679" s="32" t="s">
        <v>1701</v>
      </c>
      <c r="D679" s="32" t="s">
        <v>4428</v>
      </c>
      <c r="E679" s="32" t="s">
        <v>4421</v>
      </c>
      <c r="F679" s="4" t="s">
        <v>4429</v>
      </c>
      <c r="G679" s="4" t="s">
        <v>4430</v>
      </c>
      <c r="K679" s="18"/>
      <c r="L679" s="33"/>
      <c r="M679" s="20"/>
      <c r="N679" s="20"/>
      <c r="O679" s="20"/>
      <c r="P679" s="20"/>
      <c r="Q679" s="20"/>
      <c r="R679" s="20"/>
      <c r="S679" s="20"/>
      <c r="T679" s="20"/>
      <c r="U679" s="34"/>
      <c r="AF679" s="11" t="str">
        <f t="shared" si="610"/>
        <v/>
      </c>
      <c r="AG679" s="11" t="str">
        <f t="shared" ref="AG679:AO679" si="615">if(not(isblank(M679)),", "&amp;M679,"")</f>
        <v/>
      </c>
      <c r="AH679" s="11" t="str">
        <f t="shared" si="615"/>
        <v/>
      </c>
      <c r="AI679" s="11" t="str">
        <f t="shared" si="615"/>
        <v/>
      </c>
      <c r="AJ679" s="11" t="str">
        <f t="shared" si="615"/>
        <v/>
      </c>
      <c r="AK679" s="11" t="str">
        <f t="shared" si="615"/>
        <v/>
      </c>
      <c r="AL679" s="11" t="str">
        <f t="shared" si="615"/>
        <v/>
      </c>
      <c r="AM679" s="11" t="str">
        <f t="shared" si="615"/>
        <v/>
      </c>
      <c r="AN679" s="11" t="str">
        <f t="shared" si="615"/>
        <v/>
      </c>
      <c r="AO679" s="11" t="str">
        <f t="shared" si="615"/>
        <v/>
      </c>
      <c r="AP679" s="21" t="str">
        <f t="shared" si="612"/>
        <v>star-master-all-black, star-master-beige-transparent, star-master-pink-white</v>
      </c>
    </row>
    <row r="680" ht="16.5" customHeight="1">
      <c r="A680" s="32" t="s">
        <v>4418</v>
      </c>
      <c r="B680" s="32" t="s">
        <v>2635</v>
      </c>
      <c r="C680" s="32" t="s">
        <v>4431</v>
      </c>
      <c r="D680" s="32" t="s">
        <v>4432</v>
      </c>
      <c r="E680" s="32" t="s">
        <v>4433</v>
      </c>
      <c r="F680" s="4" t="s">
        <v>4434</v>
      </c>
      <c r="G680" s="4" t="s">
        <v>4435</v>
      </c>
      <c r="K680" s="18"/>
      <c r="L680" s="35" t="s">
        <v>4031</v>
      </c>
      <c r="M680" s="19" t="s">
        <v>4436</v>
      </c>
      <c r="N680" s="20"/>
      <c r="O680" s="20"/>
      <c r="P680" s="20"/>
      <c r="Q680" s="20"/>
      <c r="R680" s="20"/>
      <c r="S680" s="20"/>
      <c r="T680" s="20"/>
      <c r="U680" s="34"/>
      <c r="AF680" s="11" t="str">
        <f t="shared" si="610"/>
        <v>yq1038-robin-cream</v>
      </c>
      <c r="AG680" s="11" t="str">
        <f t="shared" ref="AG680:AO680" si="616">if(not(isblank(M680)),", "&amp;M680,"")</f>
        <v>, yq1038-robin-sand</v>
      </c>
      <c r="AH680" s="11" t="str">
        <f t="shared" si="616"/>
        <v/>
      </c>
      <c r="AI680" s="11" t="str">
        <f t="shared" si="616"/>
        <v/>
      </c>
      <c r="AJ680" s="11" t="str">
        <f t="shared" si="616"/>
        <v/>
      </c>
      <c r="AK680" s="11" t="str">
        <f t="shared" si="616"/>
        <v/>
      </c>
      <c r="AL680" s="11" t="str">
        <f t="shared" si="616"/>
        <v/>
      </c>
      <c r="AM680" s="11" t="str">
        <f t="shared" si="616"/>
        <v/>
      </c>
      <c r="AN680" s="11" t="str">
        <f t="shared" si="616"/>
        <v/>
      </c>
      <c r="AO680" s="11" t="str">
        <f t="shared" si="616"/>
        <v/>
      </c>
      <c r="AP680" s="21" t="str">
        <f t="shared" si="612"/>
        <v>yq1038-robin-cream, yq1038-robin-sand</v>
      </c>
    </row>
    <row r="681" ht="16.5" customHeight="1">
      <c r="A681" s="32" t="s">
        <v>4437</v>
      </c>
      <c r="B681" s="32" t="s">
        <v>2689</v>
      </c>
      <c r="C681" s="32" t="s">
        <v>4438</v>
      </c>
      <c r="D681" s="32" t="s">
        <v>4439</v>
      </c>
      <c r="E681" s="32" t="s">
        <v>4440</v>
      </c>
      <c r="F681" s="4" t="s">
        <v>4441</v>
      </c>
      <c r="G681" s="4" t="s">
        <v>4442</v>
      </c>
      <c r="K681" s="18"/>
      <c r="L681" s="33"/>
      <c r="M681" s="20"/>
      <c r="N681" s="20"/>
      <c r="O681" s="20"/>
      <c r="P681" s="20"/>
      <c r="Q681" s="20"/>
      <c r="R681" s="20"/>
      <c r="S681" s="20"/>
      <c r="T681" s="20"/>
      <c r="U681" s="34"/>
      <c r="AF681" s="11" t="str">
        <f t="shared" si="610"/>
        <v/>
      </c>
      <c r="AG681" s="11" t="str">
        <f t="shared" ref="AG681:AO681" si="617">if(not(isblank(M681)),", "&amp;M681,"")</f>
        <v/>
      </c>
      <c r="AH681" s="11" t="str">
        <f t="shared" si="617"/>
        <v/>
      </c>
      <c r="AI681" s="11" t="str">
        <f t="shared" si="617"/>
        <v/>
      </c>
      <c r="AJ681" s="11" t="str">
        <f t="shared" si="617"/>
        <v/>
      </c>
      <c r="AK681" s="11" t="str">
        <f t="shared" si="617"/>
        <v/>
      </c>
      <c r="AL681" s="11" t="str">
        <f t="shared" si="617"/>
        <v/>
      </c>
      <c r="AM681" s="11" t="str">
        <f t="shared" si="617"/>
        <v/>
      </c>
      <c r="AN681" s="11" t="str">
        <f t="shared" si="617"/>
        <v/>
      </c>
      <c r="AO681" s="11" t="str">
        <f t="shared" si="617"/>
        <v/>
      </c>
      <c r="AP681" s="21" t="str">
        <f t="shared" si="612"/>
        <v>p-f-no-11-amber-moss-12-5-oz, no-11-amber-moss-incense, no-11-amber-moss-room-linen-spray, no-11-reed-diffuser-amber-and-moss</v>
      </c>
    </row>
    <row r="682" ht="16.5" customHeight="1">
      <c r="A682" s="32" t="s">
        <v>4437</v>
      </c>
      <c r="B682" s="32" t="s">
        <v>2689</v>
      </c>
      <c r="C682" s="32" t="s">
        <v>4443</v>
      </c>
      <c r="D682" s="32" t="s">
        <v>4444</v>
      </c>
      <c r="E682" s="32" t="s">
        <v>4445</v>
      </c>
      <c r="F682" s="4" t="s">
        <v>4446</v>
      </c>
      <c r="G682" s="4" t="s">
        <v>4447</v>
      </c>
      <c r="K682" s="18"/>
      <c r="L682" s="33"/>
      <c r="M682" s="20"/>
      <c r="N682" s="20"/>
      <c r="O682" s="20"/>
      <c r="P682" s="20"/>
      <c r="Q682" s="20"/>
      <c r="R682" s="20"/>
      <c r="S682" s="20"/>
      <c r="T682" s="20"/>
      <c r="U682" s="34"/>
      <c r="AF682" s="11" t="str">
        <f t="shared" si="610"/>
        <v/>
      </c>
      <c r="AG682" s="11" t="str">
        <f t="shared" ref="AG682:AO682" si="618">if(not(isblank(M682)),", "&amp;M682,"")</f>
        <v/>
      </c>
      <c r="AH682" s="11" t="str">
        <f t="shared" si="618"/>
        <v/>
      </c>
      <c r="AI682" s="11" t="str">
        <f t="shared" si="618"/>
        <v/>
      </c>
      <c r="AJ682" s="11" t="str">
        <f t="shared" si="618"/>
        <v/>
      </c>
      <c r="AK682" s="11" t="str">
        <f t="shared" si="618"/>
        <v/>
      </c>
      <c r="AL682" s="11" t="str">
        <f t="shared" si="618"/>
        <v/>
      </c>
      <c r="AM682" s="11" t="str">
        <f t="shared" si="618"/>
        <v/>
      </c>
      <c r="AN682" s="11" t="str">
        <f t="shared" si="618"/>
        <v/>
      </c>
      <c r="AO682" s="11" t="str">
        <f t="shared" si="618"/>
        <v/>
      </c>
      <c r="AP682" s="21" t="str">
        <f t="shared" si="612"/>
        <v>p-f-no-4-teakwood-tobacco-12-5-oz, no-4-reed-diffuser-teakwood-and-tobacco, p-f-no-4-teakwood-tobacco-incense, no-04-teakwood-tobacco-room-linen-spray</v>
      </c>
    </row>
    <row r="683" ht="16.5" customHeight="1">
      <c r="A683" s="32" t="s">
        <v>4437</v>
      </c>
      <c r="B683" s="32" t="s">
        <v>2689</v>
      </c>
      <c r="C683" s="32" t="s">
        <v>4448</v>
      </c>
      <c r="D683" s="32" t="s">
        <v>4449</v>
      </c>
      <c r="E683" s="32" t="s">
        <v>4450</v>
      </c>
      <c r="F683" s="4" t="s">
        <v>4451</v>
      </c>
      <c r="G683" s="4" t="s">
        <v>4452</v>
      </c>
      <c r="K683" s="18"/>
      <c r="L683" s="33"/>
      <c r="M683" s="20"/>
      <c r="N683" s="20"/>
      <c r="O683" s="20"/>
      <c r="P683" s="20"/>
      <c r="Q683" s="20"/>
      <c r="R683" s="20"/>
      <c r="S683" s="20"/>
      <c r="T683" s="20"/>
      <c r="U683" s="34"/>
      <c r="AF683" s="11" t="str">
        <f t="shared" si="610"/>
        <v/>
      </c>
      <c r="AG683" s="11" t="str">
        <f t="shared" ref="AG683:AO683" si="619">if(not(isblank(M683)),", "&amp;M683,"")</f>
        <v/>
      </c>
      <c r="AH683" s="11" t="str">
        <f t="shared" si="619"/>
        <v/>
      </c>
      <c r="AI683" s="11" t="str">
        <f t="shared" si="619"/>
        <v/>
      </c>
      <c r="AJ683" s="11" t="str">
        <f t="shared" si="619"/>
        <v/>
      </c>
      <c r="AK683" s="11" t="str">
        <f t="shared" si="619"/>
        <v/>
      </c>
      <c r="AL683" s="11" t="str">
        <f t="shared" si="619"/>
        <v/>
      </c>
      <c r="AM683" s="11" t="str">
        <f t="shared" si="619"/>
        <v/>
      </c>
      <c r="AN683" s="11" t="str">
        <f t="shared" si="619"/>
        <v/>
      </c>
      <c r="AO683" s="11" t="str">
        <f t="shared" si="619"/>
        <v/>
      </c>
      <c r="AP683" s="21" t="str">
        <f t="shared" si="612"/>
        <v>no-11-amber-moss-7-2-oz, p-f-no-11-amber-moss-12-5-oz, no-11-amber-moss-incense, no-11-amber-moss-room-linen-spray</v>
      </c>
    </row>
    <row r="684" ht="16.5" customHeight="1">
      <c r="A684" s="32" t="s">
        <v>4437</v>
      </c>
      <c r="B684" s="32" t="s">
        <v>2689</v>
      </c>
      <c r="C684" s="32" t="s">
        <v>4453</v>
      </c>
      <c r="D684" s="32" t="s">
        <v>4454</v>
      </c>
      <c r="E684" s="32" t="s">
        <v>4455</v>
      </c>
      <c r="F684" s="4" t="s">
        <v>4456</v>
      </c>
      <c r="G684" s="4" t="s">
        <v>4457</v>
      </c>
      <c r="K684" s="18"/>
      <c r="L684" s="33"/>
      <c r="M684" s="20"/>
      <c r="N684" s="20"/>
      <c r="O684" s="20"/>
      <c r="P684" s="20"/>
      <c r="Q684" s="20"/>
      <c r="R684" s="20"/>
      <c r="S684" s="20"/>
      <c r="T684" s="20"/>
      <c r="U684" s="34"/>
      <c r="AF684" s="11" t="str">
        <f t="shared" si="610"/>
        <v/>
      </c>
      <c r="AG684" s="11" t="str">
        <f t="shared" ref="AG684:AO684" si="620">if(not(isblank(M684)),", "&amp;M684,"")</f>
        <v/>
      </c>
      <c r="AH684" s="11" t="str">
        <f t="shared" si="620"/>
        <v/>
      </c>
      <c r="AI684" s="11" t="str">
        <f t="shared" si="620"/>
        <v/>
      </c>
      <c r="AJ684" s="11" t="str">
        <f t="shared" si="620"/>
        <v/>
      </c>
      <c r="AK684" s="11" t="str">
        <f t="shared" si="620"/>
        <v/>
      </c>
      <c r="AL684" s="11" t="str">
        <f t="shared" si="620"/>
        <v/>
      </c>
      <c r="AM684" s="11" t="str">
        <f t="shared" si="620"/>
        <v/>
      </c>
      <c r="AN684" s="11" t="str">
        <f t="shared" si="620"/>
        <v/>
      </c>
      <c r="AO684" s="11" t="str">
        <f t="shared" si="620"/>
        <v/>
      </c>
      <c r="AP684" s="21" t="str">
        <f t="shared" si="612"/>
        <v>golden-coast-12-5-oz-candle, p-f-candles-no-21-golden-coast-reed-diffuser, golden-coast-room-and-linen-spray</v>
      </c>
    </row>
    <row r="685" ht="16.5" customHeight="1">
      <c r="A685" s="32" t="s">
        <v>4437</v>
      </c>
      <c r="B685" s="32" t="s">
        <v>2689</v>
      </c>
      <c r="C685" s="32" t="s">
        <v>4458</v>
      </c>
      <c r="D685" s="32" t="s">
        <v>4459</v>
      </c>
      <c r="E685" s="32" t="s">
        <v>4460</v>
      </c>
      <c r="F685" s="4" t="s">
        <v>4461</v>
      </c>
      <c r="G685" s="4"/>
      <c r="H685" s="4"/>
      <c r="K685" s="18"/>
      <c r="L685" s="33"/>
      <c r="M685" s="20"/>
      <c r="N685" s="20"/>
      <c r="O685" s="20"/>
      <c r="P685" s="20"/>
      <c r="Q685" s="20"/>
      <c r="R685" s="20"/>
      <c r="S685" s="20"/>
      <c r="T685" s="20"/>
      <c r="U685" s="34"/>
      <c r="AF685" s="11" t="str">
        <f t="shared" si="610"/>
        <v/>
      </c>
      <c r="AG685" s="11" t="str">
        <f t="shared" ref="AG685:AO685" si="621">if(not(isblank(M685)),", "&amp;M685,"")</f>
        <v/>
      </c>
      <c r="AH685" s="11" t="str">
        <f t="shared" si="621"/>
        <v/>
      </c>
      <c r="AI685" s="11" t="str">
        <f t="shared" si="621"/>
        <v/>
      </c>
      <c r="AJ685" s="11" t="str">
        <f t="shared" si="621"/>
        <v/>
      </c>
      <c r="AK685" s="11" t="str">
        <f t="shared" si="621"/>
        <v/>
      </c>
      <c r="AL685" s="11" t="str">
        <f t="shared" si="621"/>
        <v/>
      </c>
      <c r="AM685" s="11" t="str">
        <f t="shared" si="621"/>
        <v/>
      </c>
      <c r="AN685" s="11" t="str">
        <f t="shared" si="621"/>
        <v/>
      </c>
      <c r="AO685" s="11" t="str">
        <f t="shared" si="621"/>
        <v/>
      </c>
      <c r="AP685" s="21" t="str">
        <f t="shared" si="612"/>
        <v/>
      </c>
    </row>
    <row r="686" ht="16.5" customHeight="1">
      <c r="A686" s="32" t="s">
        <v>4437</v>
      </c>
      <c r="B686" s="32" t="s">
        <v>2689</v>
      </c>
      <c r="C686" s="32" t="s">
        <v>4462</v>
      </c>
      <c r="D686" s="32" t="s">
        <v>4463</v>
      </c>
      <c r="E686" s="32" t="s">
        <v>4464</v>
      </c>
      <c r="F686" s="4" t="s">
        <v>4465</v>
      </c>
      <c r="G686" s="4"/>
      <c r="H686" s="4"/>
      <c r="K686" s="18"/>
      <c r="L686" s="33"/>
      <c r="M686" s="20"/>
      <c r="N686" s="20"/>
      <c r="O686" s="20"/>
      <c r="P686" s="20"/>
      <c r="Q686" s="20"/>
      <c r="R686" s="20"/>
      <c r="S686" s="20"/>
      <c r="T686" s="20"/>
      <c r="U686" s="34"/>
      <c r="AF686" s="11" t="str">
        <f t="shared" si="610"/>
        <v/>
      </c>
      <c r="AG686" s="11" t="str">
        <f t="shared" ref="AG686:AO686" si="622">if(not(isblank(M686)),", "&amp;M686,"")</f>
        <v/>
      </c>
      <c r="AH686" s="11" t="str">
        <f t="shared" si="622"/>
        <v/>
      </c>
      <c r="AI686" s="11" t="str">
        <f t="shared" si="622"/>
        <v/>
      </c>
      <c r="AJ686" s="11" t="str">
        <f t="shared" si="622"/>
        <v/>
      </c>
      <c r="AK686" s="11" t="str">
        <f t="shared" si="622"/>
        <v/>
      </c>
      <c r="AL686" s="11" t="str">
        <f t="shared" si="622"/>
        <v/>
      </c>
      <c r="AM686" s="11" t="str">
        <f t="shared" si="622"/>
        <v/>
      </c>
      <c r="AN686" s="11" t="str">
        <f t="shared" si="622"/>
        <v/>
      </c>
      <c r="AO686" s="11" t="str">
        <f t="shared" si="622"/>
        <v/>
      </c>
      <c r="AP686" s="21" t="str">
        <f t="shared" si="612"/>
        <v/>
      </c>
    </row>
    <row r="687" ht="16.5" customHeight="1">
      <c r="A687" s="32" t="s">
        <v>4437</v>
      </c>
      <c r="B687" s="32" t="s">
        <v>2689</v>
      </c>
      <c r="C687" s="32" t="s">
        <v>4466</v>
      </c>
      <c r="D687" s="32" t="s">
        <v>4467</v>
      </c>
      <c r="E687" s="32" t="s">
        <v>4468</v>
      </c>
      <c r="F687" s="4" t="s">
        <v>4469</v>
      </c>
      <c r="G687" s="4" t="s">
        <v>4470</v>
      </c>
      <c r="K687" s="18"/>
      <c r="L687" s="33"/>
      <c r="M687" s="20"/>
      <c r="N687" s="20"/>
      <c r="O687" s="20"/>
      <c r="P687" s="20"/>
      <c r="Q687" s="20"/>
      <c r="R687" s="20"/>
      <c r="S687" s="20"/>
      <c r="T687" s="20"/>
      <c r="U687" s="34"/>
      <c r="AF687" s="11" t="str">
        <f t="shared" si="610"/>
        <v/>
      </c>
      <c r="AG687" s="11" t="str">
        <f t="shared" ref="AG687:AO687" si="623">if(not(isblank(M687)),", "&amp;M687,"")</f>
        <v/>
      </c>
      <c r="AH687" s="11" t="str">
        <f t="shared" si="623"/>
        <v/>
      </c>
      <c r="AI687" s="11" t="str">
        <f t="shared" si="623"/>
        <v/>
      </c>
      <c r="AJ687" s="11" t="str">
        <f t="shared" si="623"/>
        <v/>
      </c>
      <c r="AK687" s="11" t="str">
        <f t="shared" si="623"/>
        <v/>
      </c>
      <c r="AL687" s="11" t="str">
        <f t="shared" si="623"/>
        <v/>
      </c>
      <c r="AM687" s="11" t="str">
        <f t="shared" si="623"/>
        <v/>
      </c>
      <c r="AN687" s="11" t="str">
        <f t="shared" si="623"/>
        <v/>
      </c>
      <c r="AO687" s="11" t="str">
        <f t="shared" si="623"/>
        <v/>
      </c>
      <c r="AP687" s="21" t="str">
        <f t="shared" si="612"/>
        <v>no-4-teakwood-tobacco-7-2-oz, p-f-no-4-teakwood-tobacco-12-5-oz, no-4-reed-diffuser-teakwood-and-tobacco, no-04-teakwood-tobacco-room-linen-spray</v>
      </c>
    </row>
    <row r="688" ht="16.5" customHeight="1">
      <c r="A688" s="32" t="s">
        <v>4437</v>
      </c>
      <c r="B688" s="32" t="s">
        <v>2689</v>
      </c>
      <c r="C688" s="32" t="s">
        <v>4471</v>
      </c>
      <c r="D688" s="32" t="s">
        <v>4472</v>
      </c>
      <c r="E688" s="32" t="s">
        <v>4473</v>
      </c>
      <c r="F688" s="4" t="s">
        <v>4474</v>
      </c>
      <c r="G688" s="4" t="s">
        <v>4475</v>
      </c>
      <c r="K688" s="18"/>
      <c r="L688" s="33"/>
      <c r="M688" s="20"/>
      <c r="N688" s="20"/>
      <c r="O688" s="20"/>
      <c r="P688" s="20"/>
      <c r="Q688" s="20"/>
      <c r="R688" s="20"/>
      <c r="S688" s="20"/>
      <c r="T688" s="20"/>
      <c r="U688" s="34"/>
      <c r="AF688" s="11" t="str">
        <f t="shared" si="610"/>
        <v/>
      </c>
      <c r="AG688" s="11" t="str">
        <f t="shared" ref="AG688:AO688" si="624">if(not(isblank(M688)),", "&amp;M688,"")</f>
        <v/>
      </c>
      <c r="AH688" s="11" t="str">
        <f t="shared" si="624"/>
        <v/>
      </c>
      <c r="AI688" s="11" t="str">
        <f t="shared" si="624"/>
        <v/>
      </c>
      <c r="AJ688" s="11" t="str">
        <f t="shared" si="624"/>
        <v/>
      </c>
      <c r="AK688" s="11" t="str">
        <f t="shared" si="624"/>
        <v/>
      </c>
      <c r="AL688" s="11" t="str">
        <f t="shared" si="624"/>
        <v/>
      </c>
      <c r="AM688" s="11" t="str">
        <f t="shared" si="624"/>
        <v/>
      </c>
      <c r="AN688" s="11" t="str">
        <f t="shared" si="624"/>
        <v/>
      </c>
      <c r="AO688" s="11" t="str">
        <f t="shared" si="624"/>
        <v/>
      </c>
      <c r="AP688" s="21" t="str">
        <f t="shared" si="612"/>
        <v>no-4-teakwood-tobacco-7-2-oz, p-f-no-4-teakwood-tobacco-12-5-oz, no-4-reed-diffuser-teakwood-and-tobacco, p-f-no-4-teakwood-tobacco-incense</v>
      </c>
    </row>
    <row r="689" ht="16.5" customHeight="1">
      <c r="A689" s="32" t="s">
        <v>4437</v>
      </c>
      <c r="B689" s="32" t="s">
        <v>2689</v>
      </c>
      <c r="C689" s="32" t="s">
        <v>4476</v>
      </c>
      <c r="D689" s="32" t="s">
        <v>4477</v>
      </c>
      <c r="E689" s="32" t="s">
        <v>4478</v>
      </c>
      <c r="F689" s="4" t="s">
        <v>4479</v>
      </c>
      <c r="G689" s="4" t="s">
        <v>4480</v>
      </c>
      <c r="K689" s="18"/>
      <c r="L689" s="33"/>
      <c r="M689" s="20"/>
      <c r="N689" s="20"/>
      <c r="O689" s="20"/>
      <c r="P689" s="20"/>
      <c r="Q689" s="20"/>
      <c r="R689" s="20"/>
      <c r="S689" s="20"/>
      <c r="T689" s="20"/>
      <c r="U689" s="34"/>
      <c r="AF689" s="11" t="str">
        <f t="shared" si="610"/>
        <v/>
      </c>
      <c r="AG689" s="11" t="str">
        <f t="shared" ref="AG689:AO689" si="625">if(not(isblank(M689)),", "&amp;M689,"")</f>
        <v/>
      </c>
      <c r="AH689" s="11" t="str">
        <f t="shared" si="625"/>
        <v/>
      </c>
      <c r="AI689" s="11" t="str">
        <f t="shared" si="625"/>
        <v/>
      </c>
      <c r="AJ689" s="11" t="str">
        <f t="shared" si="625"/>
        <v/>
      </c>
      <c r="AK689" s="11" t="str">
        <f t="shared" si="625"/>
        <v/>
      </c>
      <c r="AL689" s="11" t="str">
        <f t="shared" si="625"/>
        <v/>
      </c>
      <c r="AM689" s="11" t="str">
        <f t="shared" si="625"/>
        <v/>
      </c>
      <c r="AN689" s="11" t="str">
        <f t="shared" si="625"/>
        <v/>
      </c>
      <c r="AO689" s="11" t="str">
        <f t="shared" si="625"/>
        <v/>
      </c>
      <c r="AP689" s="21" t="str">
        <f t="shared" si="612"/>
        <v>no-11-amber-moss-7-2-oz, p-f-no-11-amber-moss-12-5-oz, no-11-amber-moss-room-linen-spray, no-11-reed-diffuser-amber-and-moss</v>
      </c>
    </row>
    <row r="690" ht="16.5" customHeight="1">
      <c r="A690" s="32" t="s">
        <v>4437</v>
      </c>
      <c r="B690" s="32" t="s">
        <v>2689</v>
      </c>
      <c r="C690" s="32" t="s">
        <v>4481</v>
      </c>
      <c r="D690" s="32" t="s">
        <v>4482</v>
      </c>
      <c r="E690" s="32" t="s">
        <v>4483</v>
      </c>
      <c r="F690" s="4" t="s">
        <v>4484</v>
      </c>
      <c r="G690" s="4" t="s">
        <v>4485</v>
      </c>
      <c r="K690" s="18"/>
      <c r="L690" s="33"/>
      <c r="M690" s="20"/>
      <c r="N690" s="20"/>
      <c r="O690" s="20"/>
      <c r="P690" s="20"/>
      <c r="Q690" s="20"/>
      <c r="R690" s="20"/>
      <c r="S690" s="20"/>
      <c r="T690" s="20"/>
      <c r="U690" s="34"/>
      <c r="AF690" s="11" t="str">
        <f t="shared" si="610"/>
        <v/>
      </c>
      <c r="AG690" s="11" t="str">
        <f t="shared" ref="AG690:AO690" si="626">if(not(isblank(M690)),", "&amp;M690,"")</f>
        <v/>
      </c>
      <c r="AH690" s="11" t="str">
        <f t="shared" si="626"/>
        <v/>
      </c>
      <c r="AI690" s="11" t="str">
        <f t="shared" si="626"/>
        <v/>
      </c>
      <c r="AJ690" s="11" t="str">
        <f t="shared" si="626"/>
        <v/>
      </c>
      <c r="AK690" s="11" t="str">
        <f t="shared" si="626"/>
        <v/>
      </c>
      <c r="AL690" s="11" t="str">
        <f t="shared" si="626"/>
        <v/>
      </c>
      <c r="AM690" s="11" t="str">
        <f t="shared" si="626"/>
        <v/>
      </c>
      <c r="AN690" s="11" t="str">
        <f t="shared" si="626"/>
        <v/>
      </c>
      <c r="AO690" s="11" t="str">
        <f t="shared" si="626"/>
        <v/>
      </c>
      <c r="AP690" s="21" t="str">
        <f t="shared" si="612"/>
        <v>no-11-amber-moss-7-2-oz, p-f-no-11-amber-moss-12-5-oz, no-11-amber-moss-incense, no-11-reed-diffuser-amber-and-moss</v>
      </c>
    </row>
    <row r="691" ht="16.5" customHeight="1">
      <c r="A691" s="32" t="s">
        <v>4437</v>
      </c>
      <c r="B691" s="32" t="s">
        <v>2689</v>
      </c>
      <c r="C691" s="32" t="s">
        <v>4486</v>
      </c>
      <c r="D691" s="32" t="s">
        <v>4487</v>
      </c>
      <c r="E691" s="32" t="s">
        <v>4488</v>
      </c>
      <c r="F691" s="4" t="s">
        <v>4489</v>
      </c>
      <c r="G691" s="4" t="s">
        <v>4490</v>
      </c>
      <c r="K691" s="18"/>
      <c r="L691" s="33"/>
      <c r="M691" s="20"/>
      <c r="N691" s="20"/>
      <c r="O691" s="20"/>
      <c r="P691" s="20"/>
      <c r="Q691" s="20"/>
      <c r="R691" s="20"/>
      <c r="S691" s="20"/>
      <c r="T691" s="20"/>
      <c r="U691" s="34"/>
      <c r="AF691" s="11" t="str">
        <f t="shared" si="610"/>
        <v/>
      </c>
      <c r="AG691" s="11" t="str">
        <f t="shared" ref="AG691:AO691" si="627">if(not(isblank(M691)),", "&amp;M691,"")</f>
        <v/>
      </c>
      <c r="AH691" s="11" t="str">
        <f t="shared" si="627"/>
        <v/>
      </c>
      <c r="AI691" s="11" t="str">
        <f t="shared" si="627"/>
        <v/>
      </c>
      <c r="AJ691" s="11" t="str">
        <f t="shared" si="627"/>
        <v/>
      </c>
      <c r="AK691" s="11" t="str">
        <f t="shared" si="627"/>
        <v/>
      </c>
      <c r="AL691" s="11" t="str">
        <f t="shared" si="627"/>
        <v/>
      </c>
      <c r="AM691" s="11" t="str">
        <f t="shared" si="627"/>
        <v/>
      </c>
      <c r="AN691" s="11" t="str">
        <f t="shared" si="627"/>
        <v/>
      </c>
      <c r="AO691" s="11" t="str">
        <f t="shared" si="627"/>
        <v/>
      </c>
      <c r="AP691" s="21" t="str">
        <f t="shared" si="612"/>
        <v>no-4-teakwood-tobacco-7-2-oz, p-f-no-4-teakwood-tobacco-12-5-oz, p-f-no-4-teakwood-tobacco-incense, no-04-teakwood-tobacco-room-linen-spray</v>
      </c>
    </row>
    <row r="692" ht="16.5" customHeight="1">
      <c r="A692" s="32" t="s">
        <v>4437</v>
      </c>
      <c r="B692" s="32" t="s">
        <v>2689</v>
      </c>
      <c r="C692" s="32" t="s">
        <v>4491</v>
      </c>
      <c r="D692" s="32" t="s">
        <v>4492</v>
      </c>
      <c r="E692" s="32" t="s">
        <v>4493</v>
      </c>
      <c r="F692" s="4" t="s">
        <v>4494</v>
      </c>
      <c r="G692" s="4"/>
      <c r="H692" s="4"/>
      <c r="K692" s="18"/>
      <c r="L692" s="33"/>
      <c r="M692" s="20"/>
      <c r="N692" s="20"/>
      <c r="O692" s="20"/>
      <c r="P692" s="20"/>
      <c r="Q692" s="20"/>
      <c r="R692" s="20"/>
      <c r="S692" s="20"/>
      <c r="T692" s="20"/>
      <c r="U692" s="34"/>
      <c r="AF692" s="11" t="str">
        <f t="shared" si="610"/>
        <v/>
      </c>
      <c r="AG692" s="11" t="str">
        <f t="shared" ref="AG692:AO692" si="628">if(not(isblank(M692)),", "&amp;M692,"")</f>
        <v/>
      </c>
      <c r="AH692" s="11" t="str">
        <f t="shared" si="628"/>
        <v/>
      </c>
      <c r="AI692" s="11" t="str">
        <f t="shared" si="628"/>
        <v/>
      </c>
      <c r="AJ692" s="11" t="str">
        <f t="shared" si="628"/>
        <v/>
      </c>
      <c r="AK692" s="11" t="str">
        <f t="shared" si="628"/>
        <v/>
      </c>
      <c r="AL692" s="11" t="str">
        <f t="shared" si="628"/>
        <v/>
      </c>
      <c r="AM692" s="11" t="str">
        <f t="shared" si="628"/>
        <v/>
      </c>
      <c r="AN692" s="11" t="str">
        <f t="shared" si="628"/>
        <v/>
      </c>
      <c r="AO692" s="11" t="str">
        <f t="shared" si="628"/>
        <v/>
      </c>
      <c r="AP692" s="21" t="str">
        <f t="shared" si="612"/>
        <v/>
      </c>
    </row>
    <row r="693" ht="16.5" customHeight="1">
      <c r="A693" s="32" t="s">
        <v>4437</v>
      </c>
      <c r="B693" s="32" t="s">
        <v>2689</v>
      </c>
      <c r="C693" s="32" t="s">
        <v>4495</v>
      </c>
      <c r="D693" s="32" t="s">
        <v>4496</v>
      </c>
      <c r="E693" s="32" t="s">
        <v>4497</v>
      </c>
      <c r="F693" s="4" t="s">
        <v>4498</v>
      </c>
      <c r="G693" s="4" t="s">
        <v>4499</v>
      </c>
      <c r="K693" s="18"/>
      <c r="L693" s="33"/>
      <c r="M693" s="20"/>
      <c r="N693" s="20"/>
      <c r="O693" s="20"/>
      <c r="P693" s="20"/>
      <c r="Q693" s="20"/>
      <c r="R693" s="20"/>
      <c r="S693" s="20"/>
      <c r="T693" s="20"/>
      <c r="U693" s="34"/>
      <c r="AF693" s="11" t="str">
        <f t="shared" si="610"/>
        <v/>
      </c>
      <c r="AG693" s="11" t="str">
        <f t="shared" ref="AG693:AO693" si="629">if(not(isblank(M693)),", "&amp;M693,"")</f>
        <v/>
      </c>
      <c r="AH693" s="11" t="str">
        <f t="shared" si="629"/>
        <v/>
      </c>
      <c r="AI693" s="11" t="str">
        <f t="shared" si="629"/>
        <v/>
      </c>
      <c r="AJ693" s="11" t="str">
        <f t="shared" si="629"/>
        <v/>
      </c>
      <c r="AK693" s="11" t="str">
        <f t="shared" si="629"/>
        <v/>
      </c>
      <c r="AL693" s="11" t="str">
        <f t="shared" si="629"/>
        <v/>
      </c>
      <c r="AM693" s="11" t="str">
        <f t="shared" si="629"/>
        <v/>
      </c>
      <c r="AN693" s="11" t="str">
        <f t="shared" si="629"/>
        <v/>
      </c>
      <c r="AO693" s="11" t="str">
        <f t="shared" si="629"/>
        <v/>
      </c>
      <c r="AP693" s="21" t="str">
        <f t="shared" si="612"/>
        <v>no-21-golden-coast-7-2-oz, golden-coast-12-5-oz-candle, golden-coast-room-and-linen-spray</v>
      </c>
    </row>
    <row r="694" ht="16.5" customHeight="1">
      <c r="A694" s="32" t="s">
        <v>4437</v>
      </c>
      <c r="B694" s="32" t="s">
        <v>2689</v>
      </c>
      <c r="C694" s="32" t="s">
        <v>4500</v>
      </c>
      <c r="D694" s="32" t="s">
        <v>4501</v>
      </c>
      <c r="E694" s="32" t="s">
        <v>4502</v>
      </c>
      <c r="F694" s="4" t="s">
        <v>4503</v>
      </c>
      <c r="G694" s="4"/>
      <c r="H694" s="4"/>
      <c r="K694" s="18"/>
      <c r="L694" s="35" t="s">
        <v>2653</v>
      </c>
      <c r="M694" s="19" t="s">
        <v>2658</v>
      </c>
      <c r="N694" s="19" t="s">
        <v>2625</v>
      </c>
      <c r="O694" s="19" t="s">
        <v>2679</v>
      </c>
      <c r="P694" s="20"/>
      <c r="Q694" s="20"/>
      <c r="R694" s="20"/>
      <c r="S694" s="20"/>
      <c r="T694" s="20"/>
      <c r="U694" s="34"/>
      <c r="AF694" s="11" t="str">
        <f t="shared" si="610"/>
        <v>cornaro-gomma-cognac</v>
      </c>
      <c r="AG694" s="11" t="str">
        <f t="shared" ref="AG694:AO694" si="630">if(not(isblank(M694)),", "&amp;M694,"")</f>
        <v>, cornaro-gomma-rust</v>
      </c>
      <c r="AH694" s="11" t="str">
        <f t="shared" si="630"/>
        <v>, cornaro-olive-femme</v>
      </c>
      <c r="AI694" s="11" t="str">
        <f t="shared" si="630"/>
        <v>, cornaro-purple</v>
      </c>
      <c r="AJ694" s="11" t="str">
        <f t="shared" si="630"/>
        <v/>
      </c>
      <c r="AK694" s="11" t="str">
        <f t="shared" si="630"/>
        <v/>
      </c>
      <c r="AL694" s="11" t="str">
        <f t="shared" si="630"/>
        <v/>
      </c>
      <c r="AM694" s="11" t="str">
        <f t="shared" si="630"/>
        <v/>
      </c>
      <c r="AN694" s="11" t="str">
        <f t="shared" si="630"/>
        <v/>
      </c>
      <c r="AO694" s="11" t="str">
        <f t="shared" si="630"/>
        <v/>
      </c>
      <c r="AP694" s="21" t="str">
        <f t="shared" si="612"/>
        <v>cornaro-gomma-cognac, cornaro-gomma-rust, cornaro-olive-femme, cornaro-purple</v>
      </c>
    </row>
    <row r="695" ht="16.5" customHeight="1">
      <c r="A695" s="32" t="s">
        <v>4437</v>
      </c>
      <c r="B695" s="32" t="s">
        <v>2689</v>
      </c>
      <c r="C695" s="32" t="s">
        <v>4504</v>
      </c>
      <c r="D695" s="32" t="s">
        <v>4505</v>
      </c>
      <c r="E695" s="32" t="s">
        <v>4506</v>
      </c>
      <c r="F695" s="4" t="s">
        <v>4507</v>
      </c>
      <c r="G695" s="4" t="s">
        <v>4508</v>
      </c>
      <c r="K695" s="18"/>
      <c r="L695" s="35" t="s">
        <v>2653</v>
      </c>
      <c r="M695" s="20"/>
      <c r="N695" s="20"/>
      <c r="O695" s="20"/>
      <c r="P695" s="20"/>
      <c r="Q695" s="20"/>
      <c r="R695" s="20"/>
      <c r="S695" s="20"/>
      <c r="T695" s="20"/>
      <c r="U695" s="34"/>
      <c r="AF695" s="11" t="str">
        <f t="shared" si="610"/>
        <v>cornaro-gomma-cognac</v>
      </c>
      <c r="AG695" s="11" t="str">
        <f t="shared" ref="AG695:AO695" si="631">if(not(isblank(M695)),", "&amp;M695,"")</f>
        <v/>
      </c>
      <c r="AH695" s="11" t="str">
        <f t="shared" si="631"/>
        <v/>
      </c>
      <c r="AI695" s="11" t="str">
        <f t="shared" si="631"/>
        <v/>
      </c>
      <c r="AJ695" s="11" t="str">
        <f t="shared" si="631"/>
        <v/>
      </c>
      <c r="AK695" s="11" t="str">
        <f t="shared" si="631"/>
        <v/>
      </c>
      <c r="AL695" s="11" t="str">
        <f t="shared" si="631"/>
        <v/>
      </c>
      <c r="AM695" s="11" t="str">
        <f t="shared" si="631"/>
        <v/>
      </c>
      <c r="AN695" s="11" t="str">
        <f t="shared" si="631"/>
        <v/>
      </c>
      <c r="AO695" s="11" t="str">
        <f t="shared" si="631"/>
        <v/>
      </c>
      <c r="AP695" s="21" t="str">
        <f t="shared" si="612"/>
        <v>cornaro-gomma-cognac</v>
      </c>
    </row>
    <row r="696" ht="16.5" customHeight="1">
      <c r="A696" s="32" t="s">
        <v>4437</v>
      </c>
      <c r="B696" s="32" t="s">
        <v>2689</v>
      </c>
      <c r="C696" s="32" t="s">
        <v>4509</v>
      </c>
      <c r="D696" s="32" t="s">
        <v>4510</v>
      </c>
      <c r="E696" s="32" t="s">
        <v>4478</v>
      </c>
      <c r="F696" s="4" t="s">
        <v>4511</v>
      </c>
      <c r="G696" s="4" t="s">
        <v>4512</v>
      </c>
      <c r="K696" s="18"/>
      <c r="L696" s="35" t="s">
        <v>2658</v>
      </c>
      <c r="M696" s="19" t="s">
        <v>2650</v>
      </c>
      <c r="N696" s="19" t="s">
        <v>2674</v>
      </c>
      <c r="O696" s="19" t="s">
        <v>2625</v>
      </c>
      <c r="P696" s="20"/>
      <c r="Q696" s="20"/>
      <c r="R696" s="20"/>
      <c r="S696" s="20"/>
      <c r="T696" s="20"/>
      <c r="U696" s="34"/>
      <c r="AF696" s="11" t="str">
        <f t="shared" si="610"/>
        <v>cornaro-gomma-rust</v>
      </c>
      <c r="AG696" s="11" t="str">
        <f t="shared" ref="AG696:AO696" si="632">if(not(isblank(M696)),", "&amp;M696,"")</f>
        <v>, cornaro-dark-brown</v>
      </c>
      <c r="AH696" s="11" t="str">
        <f t="shared" si="632"/>
        <v>, cornaro-black</v>
      </c>
      <c r="AI696" s="11" t="str">
        <f t="shared" si="632"/>
        <v>, cornaro-olive-femme</v>
      </c>
      <c r="AJ696" s="11" t="str">
        <f t="shared" si="632"/>
        <v/>
      </c>
      <c r="AK696" s="11" t="str">
        <f t="shared" si="632"/>
        <v/>
      </c>
      <c r="AL696" s="11" t="str">
        <f t="shared" si="632"/>
        <v/>
      </c>
      <c r="AM696" s="11" t="str">
        <f t="shared" si="632"/>
        <v/>
      </c>
      <c r="AN696" s="11" t="str">
        <f t="shared" si="632"/>
        <v/>
      </c>
      <c r="AO696" s="11" t="str">
        <f t="shared" si="632"/>
        <v/>
      </c>
      <c r="AP696" s="21" t="str">
        <f t="shared" si="612"/>
        <v>cornaro-gomma-rust, cornaro-dark-brown, cornaro-black, cornaro-olive-femme</v>
      </c>
    </row>
    <row r="697" ht="16.5" customHeight="1">
      <c r="A697" s="32" t="s">
        <v>4437</v>
      </c>
      <c r="B697" s="32" t="s">
        <v>2689</v>
      </c>
      <c r="C697" s="32" t="s">
        <v>4513</v>
      </c>
      <c r="D697" s="32" t="s">
        <v>4514</v>
      </c>
      <c r="E697" s="32" t="s">
        <v>4488</v>
      </c>
      <c r="F697" s="4" t="s">
        <v>4515</v>
      </c>
      <c r="G697" s="4" t="s">
        <v>4516</v>
      </c>
      <c r="K697" s="18"/>
      <c r="L697" s="35" t="s">
        <v>2653</v>
      </c>
      <c r="M697" s="19" t="s">
        <v>2674</v>
      </c>
      <c r="N697" s="19" t="s">
        <v>2625</v>
      </c>
      <c r="O697" s="19" t="s">
        <v>2679</v>
      </c>
      <c r="P697" s="20"/>
      <c r="Q697" s="20"/>
      <c r="R697" s="20"/>
      <c r="S697" s="20"/>
      <c r="T697" s="20"/>
      <c r="U697" s="34"/>
      <c r="AF697" s="11" t="str">
        <f t="shared" si="610"/>
        <v>cornaro-gomma-cognac</v>
      </c>
      <c r="AG697" s="11" t="str">
        <f t="shared" ref="AG697:AO697" si="633">if(not(isblank(M697)),", "&amp;M697,"")</f>
        <v>, cornaro-black</v>
      </c>
      <c r="AH697" s="11" t="str">
        <f t="shared" si="633"/>
        <v>, cornaro-olive-femme</v>
      </c>
      <c r="AI697" s="11" t="str">
        <f t="shared" si="633"/>
        <v>, cornaro-purple</v>
      </c>
      <c r="AJ697" s="11" t="str">
        <f t="shared" si="633"/>
        <v/>
      </c>
      <c r="AK697" s="11" t="str">
        <f t="shared" si="633"/>
        <v/>
      </c>
      <c r="AL697" s="11" t="str">
        <f t="shared" si="633"/>
        <v/>
      </c>
      <c r="AM697" s="11" t="str">
        <f t="shared" si="633"/>
        <v/>
      </c>
      <c r="AN697" s="11" t="str">
        <f t="shared" si="633"/>
        <v/>
      </c>
      <c r="AO697" s="11" t="str">
        <f t="shared" si="633"/>
        <v/>
      </c>
      <c r="AP697" s="21" t="str">
        <f t="shared" si="612"/>
        <v>cornaro-gomma-cognac, cornaro-black, cornaro-olive-femme, cornaro-purple</v>
      </c>
    </row>
    <row r="698" ht="16.5" customHeight="1">
      <c r="A698" s="32" t="s">
        <v>4437</v>
      </c>
      <c r="B698" s="32" t="s">
        <v>2689</v>
      </c>
      <c r="C698" s="32" t="s">
        <v>4517</v>
      </c>
      <c r="D698" s="32" t="s">
        <v>4518</v>
      </c>
      <c r="E698" s="32" t="s">
        <v>4519</v>
      </c>
      <c r="F698" s="4" t="s">
        <v>4520</v>
      </c>
      <c r="G698" s="4"/>
      <c r="H698" s="4"/>
      <c r="K698" s="18"/>
      <c r="L698" s="35" t="s">
        <v>3363</v>
      </c>
      <c r="M698" s="19" t="s">
        <v>1776</v>
      </c>
      <c r="N698" s="20"/>
      <c r="O698" s="20"/>
      <c r="P698" s="20"/>
      <c r="Q698" s="20"/>
      <c r="R698" s="20"/>
      <c r="S698" s="20"/>
      <c r="T698" s="20"/>
      <c r="U698" s="34"/>
      <c r="AF698" s="11" t="str">
        <f t="shared" si="610"/>
        <v>abby-green-stripe</v>
      </c>
      <c r="AG698" s="11" t="str">
        <f t="shared" ref="AG698:AO698" si="634">if(not(isblank(M698)),", "&amp;M698,"")</f>
        <v>, abby-chestnut</v>
      </c>
      <c r="AH698" s="11" t="str">
        <f t="shared" si="634"/>
        <v/>
      </c>
      <c r="AI698" s="11" t="str">
        <f t="shared" si="634"/>
        <v/>
      </c>
      <c r="AJ698" s="11" t="str">
        <f t="shared" si="634"/>
        <v/>
      </c>
      <c r="AK698" s="11" t="str">
        <f t="shared" si="634"/>
        <v/>
      </c>
      <c r="AL698" s="11" t="str">
        <f t="shared" si="634"/>
        <v/>
      </c>
      <c r="AM698" s="11" t="str">
        <f t="shared" si="634"/>
        <v/>
      </c>
      <c r="AN698" s="11" t="str">
        <f t="shared" si="634"/>
        <v/>
      </c>
      <c r="AO698" s="11" t="str">
        <f t="shared" si="634"/>
        <v/>
      </c>
      <c r="AP698" s="21" t="str">
        <f t="shared" si="612"/>
        <v>abby-green-stripe, abby-chestnut</v>
      </c>
    </row>
    <row r="699" ht="16.5" customHeight="1">
      <c r="A699" s="32" t="s">
        <v>4437</v>
      </c>
      <c r="B699" s="32" t="s">
        <v>2689</v>
      </c>
      <c r="C699" s="32" t="s">
        <v>4521</v>
      </c>
      <c r="D699" s="32" t="s">
        <v>4522</v>
      </c>
      <c r="E699" s="36"/>
      <c r="F699" s="4"/>
      <c r="G699" s="4"/>
      <c r="H699" s="4"/>
      <c r="I699" s="11" t="s">
        <v>4523</v>
      </c>
      <c r="J699" s="11" t="s">
        <v>3379</v>
      </c>
      <c r="K699" s="18"/>
      <c r="L699" s="35" t="s">
        <v>3663</v>
      </c>
      <c r="M699" s="19" t="s">
        <v>2677</v>
      </c>
      <c r="N699" s="19" t="s">
        <v>2682</v>
      </c>
      <c r="O699" s="19" t="s">
        <v>2678</v>
      </c>
      <c r="P699" s="19" t="s">
        <v>3664</v>
      </c>
      <c r="Q699" s="19" t="s">
        <v>3540</v>
      </c>
      <c r="R699" s="19" t="s">
        <v>1782</v>
      </c>
      <c r="S699" s="19"/>
      <c r="T699" s="20"/>
      <c r="U699" s="34"/>
      <c r="AF699" s="11" t="str">
        <f t="shared" si="610"/>
        <v>aiden-black-ox</v>
      </c>
      <c r="AG699" s="11" t="str">
        <f t="shared" ref="AG699:AO699" si="635">if(not(isblank(M699)),", "&amp;M699,"")</f>
        <v>, aiden-blue-check-pop</v>
      </c>
      <c r="AH699" s="11" t="str">
        <f t="shared" si="635"/>
        <v>, aiden-brown-stripe-pop</v>
      </c>
      <c r="AI699" s="11" t="str">
        <f t="shared" si="635"/>
        <v>, aiden-grey-oxford</v>
      </c>
      <c r="AJ699" s="11" t="str">
        <f t="shared" si="635"/>
        <v>, aiden-japan-shadow</v>
      </c>
      <c r="AK699" s="11" t="str">
        <f t="shared" si="635"/>
        <v>, aiden-milk-check</v>
      </c>
      <c r="AL699" s="11" t="str">
        <f t="shared" si="635"/>
        <v>, aiden-white-ox</v>
      </c>
      <c r="AM699" s="11" t="str">
        <f t="shared" si="635"/>
        <v/>
      </c>
      <c r="AN699" s="11" t="str">
        <f t="shared" si="635"/>
        <v/>
      </c>
      <c r="AO699" s="11" t="str">
        <f t="shared" si="635"/>
        <v/>
      </c>
      <c r="AP699" s="21" t="str">
        <f t="shared" si="612"/>
        <v>aiden-black-ox, aiden-blue-check-pop, aiden-brown-stripe-pop, aiden-grey-oxford, aiden-japan-shadow, aiden-milk-check, aiden-white-ox</v>
      </c>
    </row>
    <row r="700" ht="16.5" customHeight="1">
      <c r="A700" s="32" t="s">
        <v>4437</v>
      </c>
      <c r="B700" s="32" t="s">
        <v>2689</v>
      </c>
      <c r="C700" s="32" t="s">
        <v>4524</v>
      </c>
      <c r="D700" s="32" t="s">
        <v>4525</v>
      </c>
      <c r="E700" s="32" t="s">
        <v>4526</v>
      </c>
      <c r="F700" s="4" t="s">
        <v>4527</v>
      </c>
      <c r="G700" s="4"/>
      <c r="H700" s="4"/>
      <c r="I700" s="11" t="s">
        <v>4528</v>
      </c>
      <c r="J700" s="11" t="s">
        <v>3326</v>
      </c>
      <c r="K700" s="18"/>
      <c r="L700" s="33"/>
      <c r="M700" s="20"/>
      <c r="N700" s="20"/>
      <c r="O700" s="20"/>
      <c r="P700" s="20"/>
      <c r="Q700" s="20"/>
      <c r="R700" s="20"/>
      <c r="S700" s="20"/>
      <c r="T700" s="20"/>
      <c r="U700" s="34"/>
      <c r="AF700" s="11" t="str">
        <f t="shared" si="610"/>
        <v/>
      </c>
      <c r="AG700" s="11" t="str">
        <f t="shared" ref="AG700:AO700" si="636">if(not(isblank(M700)),", "&amp;M700,"")</f>
        <v/>
      </c>
      <c r="AH700" s="11" t="str">
        <f t="shared" si="636"/>
        <v/>
      </c>
      <c r="AI700" s="11" t="str">
        <f t="shared" si="636"/>
        <v/>
      </c>
      <c r="AJ700" s="11" t="str">
        <f t="shared" si="636"/>
        <v/>
      </c>
      <c r="AK700" s="11" t="str">
        <f t="shared" si="636"/>
        <v/>
      </c>
      <c r="AL700" s="11" t="str">
        <f t="shared" si="636"/>
        <v/>
      </c>
      <c r="AM700" s="11" t="str">
        <f t="shared" si="636"/>
        <v/>
      </c>
      <c r="AN700" s="11" t="str">
        <f t="shared" si="636"/>
        <v/>
      </c>
      <c r="AO700" s="11" t="str">
        <f t="shared" si="636"/>
        <v/>
      </c>
      <c r="AP700" s="21" t="str">
        <f t="shared" si="612"/>
        <v/>
      </c>
    </row>
    <row r="701" ht="16.5" customHeight="1">
      <c r="A701" s="32" t="s">
        <v>4437</v>
      </c>
      <c r="B701" s="32" t="s">
        <v>2689</v>
      </c>
      <c r="C701" s="32" t="s">
        <v>4529</v>
      </c>
      <c r="D701" s="32" t="s">
        <v>4530</v>
      </c>
      <c r="E701" s="32" t="s">
        <v>4531</v>
      </c>
      <c r="F701" s="4" t="s">
        <v>4532</v>
      </c>
      <c r="G701" s="4"/>
      <c r="H701" s="4"/>
      <c r="K701" s="18"/>
      <c r="L701" s="33"/>
      <c r="M701" s="20"/>
      <c r="N701" s="20"/>
      <c r="O701" s="20"/>
      <c r="P701" s="20"/>
      <c r="Q701" s="20"/>
      <c r="R701" s="20"/>
      <c r="S701" s="20"/>
      <c r="T701" s="20"/>
      <c r="U701" s="34"/>
      <c r="AF701" s="11" t="str">
        <f t="shared" si="610"/>
        <v/>
      </c>
      <c r="AG701" s="11" t="str">
        <f t="shared" ref="AG701:AO701" si="637">if(not(isblank(M701)),", "&amp;M701,"")</f>
        <v/>
      </c>
      <c r="AH701" s="11" t="str">
        <f t="shared" si="637"/>
        <v/>
      </c>
      <c r="AI701" s="11" t="str">
        <f t="shared" si="637"/>
        <v/>
      </c>
      <c r="AJ701" s="11" t="str">
        <f t="shared" si="637"/>
        <v/>
      </c>
      <c r="AK701" s="11" t="str">
        <f t="shared" si="637"/>
        <v/>
      </c>
      <c r="AL701" s="11" t="str">
        <f t="shared" si="637"/>
        <v/>
      </c>
      <c r="AM701" s="11" t="str">
        <f t="shared" si="637"/>
        <v/>
      </c>
      <c r="AN701" s="11" t="str">
        <f t="shared" si="637"/>
        <v/>
      </c>
      <c r="AO701" s="11" t="str">
        <f t="shared" si="637"/>
        <v/>
      </c>
      <c r="AP701" s="21" t="str">
        <f t="shared" si="612"/>
        <v/>
      </c>
    </row>
    <row r="702" ht="16.5" customHeight="1">
      <c r="A702" s="32" t="s">
        <v>4437</v>
      </c>
      <c r="B702" s="32" t="s">
        <v>2689</v>
      </c>
      <c r="C702" s="32" t="s">
        <v>4533</v>
      </c>
      <c r="D702" s="32" t="s">
        <v>4534</v>
      </c>
      <c r="E702" s="32" t="s">
        <v>4535</v>
      </c>
      <c r="F702" s="4" t="s">
        <v>4536</v>
      </c>
      <c r="G702" s="4" t="s">
        <v>4537</v>
      </c>
      <c r="K702" s="18"/>
      <c r="L702" s="33"/>
      <c r="M702" s="20"/>
      <c r="N702" s="20"/>
      <c r="O702" s="20"/>
      <c r="P702" s="20"/>
      <c r="Q702" s="20"/>
      <c r="R702" s="20"/>
      <c r="S702" s="20"/>
      <c r="T702" s="20"/>
      <c r="U702" s="34"/>
      <c r="AF702" s="11" t="str">
        <f t="shared" si="610"/>
        <v/>
      </c>
      <c r="AG702" s="11" t="str">
        <f t="shared" ref="AG702:AO702" si="638">if(not(isblank(M702)),", "&amp;M702,"")</f>
        <v/>
      </c>
      <c r="AH702" s="11" t="str">
        <f t="shared" si="638"/>
        <v/>
      </c>
      <c r="AI702" s="11" t="str">
        <f t="shared" si="638"/>
        <v/>
      </c>
      <c r="AJ702" s="11" t="str">
        <f t="shared" si="638"/>
        <v/>
      </c>
      <c r="AK702" s="11" t="str">
        <f t="shared" si="638"/>
        <v/>
      </c>
      <c r="AL702" s="11" t="str">
        <f t="shared" si="638"/>
        <v/>
      </c>
      <c r="AM702" s="11" t="str">
        <f t="shared" si="638"/>
        <v/>
      </c>
      <c r="AN702" s="11" t="str">
        <f t="shared" si="638"/>
        <v/>
      </c>
      <c r="AO702" s="11" t="str">
        <f t="shared" si="638"/>
        <v/>
      </c>
      <c r="AP702" s="21" t="str">
        <f t="shared" si="612"/>
        <v>ojai-lavender-inscense, ojai-lavender-reed-diffuser</v>
      </c>
    </row>
    <row r="703" ht="16.5" customHeight="1">
      <c r="A703" s="32" t="s">
        <v>4437</v>
      </c>
      <c r="B703" s="32" t="s">
        <v>2689</v>
      </c>
      <c r="C703" s="32" t="s">
        <v>4538</v>
      </c>
      <c r="D703" s="32" t="s">
        <v>4539</v>
      </c>
      <c r="E703" s="32" t="s">
        <v>4540</v>
      </c>
      <c r="F703" s="4" t="s">
        <v>4541</v>
      </c>
      <c r="G703" s="4" t="s">
        <v>4542</v>
      </c>
      <c r="H703" s="4"/>
      <c r="I703" s="11" t="s">
        <v>1653</v>
      </c>
      <c r="J703" s="11" t="s">
        <v>1536</v>
      </c>
      <c r="K703" s="18"/>
      <c r="L703" s="33"/>
      <c r="M703" s="20"/>
      <c r="N703" s="20"/>
      <c r="O703" s="20"/>
      <c r="P703" s="20"/>
      <c r="Q703" s="20"/>
      <c r="R703" s="20"/>
      <c r="S703" s="20"/>
      <c r="T703" s="20"/>
      <c r="U703" s="34"/>
      <c r="AF703" s="11" t="str">
        <f t="shared" si="610"/>
        <v/>
      </c>
      <c r="AG703" s="11" t="str">
        <f t="shared" ref="AG703:AO703" si="639">if(not(isblank(M703)),", "&amp;M703,"")</f>
        <v/>
      </c>
      <c r="AH703" s="11" t="str">
        <f t="shared" si="639"/>
        <v/>
      </c>
      <c r="AI703" s="11" t="str">
        <f t="shared" si="639"/>
        <v/>
      </c>
      <c r="AJ703" s="11" t="str">
        <f t="shared" si="639"/>
        <v/>
      </c>
      <c r="AK703" s="11" t="str">
        <f t="shared" si="639"/>
        <v/>
      </c>
      <c r="AL703" s="11" t="str">
        <f t="shared" si="639"/>
        <v/>
      </c>
      <c r="AM703" s="11" t="str">
        <f t="shared" si="639"/>
        <v/>
      </c>
      <c r="AN703" s="11" t="str">
        <f t="shared" si="639"/>
        <v/>
      </c>
      <c r="AO703" s="11" t="str">
        <f t="shared" si="639"/>
        <v/>
      </c>
      <c r="AP703" s="21" t="str">
        <f t="shared" si="612"/>
        <v>wild-herb-tonic-reed-diffuser</v>
      </c>
    </row>
    <row r="704" ht="16.5" customHeight="1">
      <c r="A704" s="32" t="s">
        <v>4437</v>
      </c>
      <c r="B704" s="32" t="s">
        <v>2689</v>
      </c>
      <c r="C704" s="32" t="s">
        <v>4543</v>
      </c>
      <c r="D704" s="32" t="s">
        <v>4544</v>
      </c>
      <c r="E704" s="32" t="s">
        <v>4545</v>
      </c>
      <c r="F704" s="4" t="s">
        <v>4546</v>
      </c>
      <c r="G704" s="4"/>
      <c r="H704" s="4"/>
      <c r="K704" s="18"/>
      <c r="L704" s="33"/>
      <c r="M704" s="20"/>
      <c r="N704" s="20"/>
      <c r="O704" s="20"/>
      <c r="P704" s="20"/>
      <c r="Q704" s="20"/>
      <c r="R704" s="20"/>
      <c r="S704" s="20"/>
      <c r="T704" s="20"/>
      <c r="U704" s="34"/>
      <c r="AF704" s="11" t="str">
        <f t="shared" si="610"/>
        <v/>
      </c>
      <c r="AG704" s="11" t="str">
        <f t="shared" ref="AG704:AO704" si="640">if(not(isblank(M704)),", "&amp;M704,"")</f>
        <v/>
      </c>
      <c r="AH704" s="11" t="str">
        <f t="shared" si="640"/>
        <v/>
      </c>
      <c r="AI704" s="11" t="str">
        <f t="shared" si="640"/>
        <v/>
      </c>
      <c r="AJ704" s="11" t="str">
        <f t="shared" si="640"/>
        <v/>
      </c>
      <c r="AK704" s="11" t="str">
        <f t="shared" si="640"/>
        <v/>
      </c>
      <c r="AL704" s="11" t="str">
        <f t="shared" si="640"/>
        <v/>
      </c>
      <c r="AM704" s="11" t="str">
        <f t="shared" si="640"/>
        <v/>
      </c>
      <c r="AN704" s="11" t="str">
        <f t="shared" si="640"/>
        <v/>
      </c>
      <c r="AO704" s="11" t="str">
        <f t="shared" si="640"/>
        <v/>
      </c>
      <c r="AP704" s="21" t="str">
        <f t="shared" si="612"/>
        <v/>
      </c>
    </row>
    <row r="705" ht="16.5" customHeight="1">
      <c r="A705" s="32" t="s">
        <v>4437</v>
      </c>
      <c r="B705" s="32" t="s">
        <v>2689</v>
      </c>
      <c r="C705" s="32" t="s">
        <v>4547</v>
      </c>
      <c r="D705" s="32" t="s">
        <v>4548</v>
      </c>
      <c r="E705" s="32" t="s">
        <v>4497</v>
      </c>
      <c r="F705" s="4" t="s">
        <v>4549</v>
      </c>
      <c r="G705" s="4" t="s">
        <v>4550</v>
      </c>
      <c r="I705" s="11" t="s">
        <v>4551</v>
      </c>
      <c r="J705" s="11" t="s">
        <v>4552</v>
      </c>
      <c r="K705" s="18"/>
      <c r="L705" s="33"/>
      <c r="M705" s="20"/>
      <c r="N705" s="20"/>
      <c r="O705" s="20"/>
      <c r="P705" s="20"/>
      <c r="Q705" s="20"/>
      <c r="R705" s="20"/>
      <c r="S705" s="20"/>
      <c r="T705" s="20"/>
      <c r="U705" s="34"/>
      <c r="AF705" s="11" t="str">
        <f t="shared" si="610"/>
        <v/>
      </c>
      <c r="AG705" s="11" t="str">
        <f t="shared" ref="AG705:AO705" si="641">if(not(isblank(M705)),", "&amp;M705,"")</f>
        <v/>
      </c>
      <c r="AH705" s="11" t="str">
        <f t="shared" si="641"/>
        <v/>
      </c>
      <c r="AI705" s="11" t="str">
        <f t="shared" si="641"/>
        <v/>
      </c>
      <c r="AJ705" s="11" t="str">
        <f t="shared" si="641"/>
        <v/>
      </c>
      <c r="AK705" s="11" t="str">
        <f t="shared" si="641"/>
        <v/>
      </c>
      <c r="AL705" s="11" t="str">
        <f t="shared" si="641"/>
        <v/>
      </c>
      <c r="AM705" s="11" t="str">
        <f t="shared" si="641"/>
        <v/>
      </c>
      <c r="AN705" s="11" t="str">
        <f t="shared" si="641"/>
        <v/>
      </c>
      <c r="AO705" s="11" t="str">
        <f t="shared" si="641"/>
        <v/>
      </c>
      <c r="AP705" s="21" t="str">
        <f t="shared" si="612"/>
        <v>no-21-golden-coast-7-2-oz, p-f-candles-no-21-golden-coast-reed-diffuser, golden-coast-room-and-linen-spray</v>
      </c>
    </row>
    <row r="706" ht="16.5" customHeight="1">
      <c r="A706" s="32" t="s">
        <v>4437</v>
      </c>
      <c r="B706" s="32" t="s">
        <v>2689</v>
      </c>
      <c r="C706" s="32" t="s">
        <v>4553</v>
      </c>
      <c r="D706" s="32" t="s">
        <v>4554</v>
      </c>
      <c r="E706" s="32" t="s">
        <v>4555</v>
      </c>
      <c r="F706" s="4" t="s">
        <v>4556</v>
      </c>
      <c r="G706" s="4" t="s">
        <v>4557</v>
      </c>
      <c r="I706" s="11" t="s">
        <v>4558</v>
      </c>
      <c r="J706" s="11" t="s">
        <v>4559</v>
      </c>
      <c r="K706" s="18"/>
      <c r="L706" s="33"/>
      <c r="M706" s="20"/>
      <c r="N706" s="20"/>
      <c r="O706" s="20"/>
      <c r="P706" s="20"/>
      <c r="Q706" s="20"/>
      <c r="R706" s="20"/>
      <c r="S706" s="20"/>
      <c r="T706" s="20"/>
      <c r="U706" s="34"/>
      <c r="AF706" s="11" t="str">
        <f t="shared" si="610"/>
        <v/>
      </c>
      <c r="AG706" s="11" t="str">
        <f t="shared" ref="AG706:AO706" si="642">if(not(isblank(M706)),", "&amp;M706,"")</f>
        <v/>
      </c>
      <c r="AH706" s="11" t="str">
        <f t="shared" si="642"/>
        <v/>
      </c>
      <c r="AI706" s="11" t="str">
        <f t="shared" si="642"/>
        <v/>
      </c>
      <c r="AJ706" s="11" t="str">
        <f t="shared" si="642"/>
        <v/>
      </c>
      <c r="AK706" s="11" t="str">
        <f t="shared" si="642"/>
        <v/>
      </c>
      <c r="AL706" s="11" t="str">
        <f t="shared" si="642"/>
        <v/>
      </c>
      <c r="AM706" s="11" t="str">
        <f t="shared" si="642"/>
        <v/>
      </c>
      <c r="AN706" s="11" t="str">
        <f t="shared" si="642"/>
        <v/>
      </c>
      <c r="AO706" s="11" t="str">
        <f t="shared" si="642"/>
        <v/>
      </c>
      <c r="AP706" s="21" t="str">
        <f t="shared" si="612"/>
        <v>no-21-golden-coast-7-2-oz, golden-coast-12-5-oz-candle, p-f-candles-no-21-golden-coast-reed-diffuser</v>
      </c>
    </row>
    <row r="707" ht="16.5" customHeight="1">
      <c r="A707" s="32" t="s">
        <v>4437</v>
      </c>
      <c r="B707" s="32" t="s">
        <v>2689</v>
      </c>
      <c r="C707" s="32" t="s">
        <v>4560</v>
      </c>
      <c r="D707" s="32" t="s">
        <v>4561</v>
      </c>
      <c r="E707" s="32" t="s">
        <v>4562</v>
      </c>
      <c r="F707" s="4" t="s">
        <v>4563</v>
      </c>
      <c r="G707" s="4" t="s">
        <v>4564</v>
      </c>
      <c r="I707" s="11" t="s">
        <v>4010</v>
      </c>
      <c r="J707" s="11" t="s">
        <v>3226</v>
      </c>
      <c r="K707" s="18"/>
      <c r="L707" s="33"/>
      <c r="M707" s="20"/>
      <c r="N707" s="20"/>
      <c r="O707" s="20"/>
      <c r="P707" s="20"/>
      <c r="Q707" s="20"/>
      <c r="R707" s="20"/>
      <c r="S707" s="20"/>
      <c r="T707" s="20"/>
      <c r="U707" s="34"/>
      <c r="AF707" s="11" t="str">
        <f t="shared" si="610"/>
        <v/>
      </c>
      <c r="AG707" s="11" t="str">
        <f t="shared" ref="AG707:AO707" si="643">if(not(isblank(M707)),", "&amp;M707,"")</f>
        <v/>
      </c>
      <c r="AH707" s="11" t="str">
        <f t="shared" si="643"/>
        <v/>
      </c>
      <c r="AI707" s="11" t="str">
        <f t="shared" si="643"/>
        <v/>
      </c>
      <c r="AJ707" s="11" t="str">
        <f t="shared" si="643"/>
        <v/>
      </c>
      <c r="AK707" s="11" t="str">
        <f t="shared" si="643"/>
        <v/>
      </c>
      <c r="AL707" s="11" t="str">
        <f t="shared" si="643"/>
        <v/>
      </c>
      <c r="AM707" s="11" t="str">
        <f t="shared" si="643"/>
        <v/>
      </c>
      <c r="AN707" s="11" t="str">
        <f t="shared" si="643"/>
        <v/>
      </c>
      <c r="AO707" s="11" t="str">
        <f t="shared" si="643"/>
        <v/>
      </c>
      <c r="AP707" s="21" t="str">
        <f t="shared" si="612"/>
        <v>ojai-lavender-7-2-oz-candle, ojai-lavender-reed-diffuser</v>
      </c>
    </row>
    <row r="708" ht="16.5" customHeight="1">
      <c r="A708" s="32" t="s">
        <v>4437</v>
      </c>
      <c r="B708" s="32" t="s">
        <v>2689</v>
      </c>
      <c r="C708" s="32" t="s">
        <v>4565</v>
      </c>
      <c r="D708" s="32" t="s">
        <v>4566</v>
      </c>
      <c r="E708" s="32" t="s">
        <v>4567</v>
      </c>
      <c r="F708" s="4" t="s">
        <v>4568</v>
      </c>
      <c r="G708" s="4" t="s">
        <v>4569</v>
      </c>
      <c r="I708" s="11" t="s">
        <v>4570</v>
      </c>
      <c r="J708" s="11" t="s">
        <v>3373</v>
      </c>
      <c r="K708" s="18"/>
      <c r="L708" s="33"/>
      <c r="M708" s="20"/>
      <c r="N708" s="20"/>
      <c r="O708" s="20"/>
      <c r="P708" s="20"/>
      <c r="Q708" s="20"/>
      <c r="R708" s="20"/>
      <c r="S708" s="20"/>
      <c r="T708" s="20"/>
      <c r="U708" s="34"/>
      <c r="AF708" s="11" t="str">
        <f t="shared" si="610"/>
        <v/>
      </c>
      <c r="AG708" s="11" t="str">
        <f t="shared" ref="AG708:AO708" si="644">if(not(isblank(M708)),", "&amp;M708,"")</f>
        <v/>
      </c>
      <c r="AH708" s="11" t="str">
        <f t="shared" si="644"/>
        <v/>
      </c>
      <c r="AI708" s="11" t="str">
        <f t="shared" si="644"/>
        <v/>
      </c>
      <c r="AJ708" s="11" t="str">
        <f t="shared" si="644"/>
        <v/>
      </c>
      <c r="AK708" s="11" t="str">
        <f t="shared" si="644"/>
        <v/>
      </c>
      <c r="AL708" s="11" t="str">
        <f t="shared" si="644"/>
        <v/>
      </c>
      <c r="AM708" s="11" t="str">
        <f t="shared" si="644"/>
        <v/>
      </c>
      <c r="AN708" s="11" t="str">
        <f t="shared" si="644"/>
        <v/>
      </c>
      <c r="AO708" s="11" t="str">
        <f t="shared" si="644"/>
        <v/>
      </c>
      <c r="AP708" s="21" t="str">
        <f t="shared" si="612"/>
        <v>ojai-lavender-7-2-oz-candle, ojai-lavender-inscense</v>
      </c>
    </row>
    <row r="709" ht="16.5" customHeight="1">
      <c r="A709" s="32" t="s">
        <v>4437</v>
      </c>
      <c r="B709" s="32" t="s">
        <v>2689</v>
      </c>
      <c r="C709" s="32" t="s">
        <v>4571</v>
      </c>
      <c r="D709" s="32" t="s">
        <v>4572</v>
      </c>
      <c r="E709" s="32" t="s">
        <v>4573</v>
      </c>
      <c r="F709" s="4" t="s">
        <v>4574</v>
      </c>
      <c r="G709" s="4"/>
      <c r="H709" s="4"/>
      <c r="K709" s="18"/>
      <c r="L709" s="33"/>
      <c r="M709" s="20"/>
      <c r="N709" s="20"/>
      <c r="O709" s="20"/>
      <c r="P709" s="20"/>
      <c r="Q709" s="20"/>
      <c r="R709" s="20"/>
      <c r="S709" s="20"/>
      <c r="T709" s="20"/>
      <c r="U709" s="34"/>
      <c r="AF709" s="11" t="str">
        <f t="shared" si="610"/>
        <v/>
      </c>
      <c r="AG709" s="11" t="str">
        <f t="shared" ref="AG709:AO709" si="645">if(not(isblank(M709)),", "&amp;M709,"")</f>
        <v/>
      </c>
      <c r="AH709" s="11" t="str">
        <f t="shared" si="645"/>
        <v/>
      </c>
      <c r="AI709" s="11" t="str">
        <f t="shared" si="645"/>
        <v/>
      </c>
      <c r="AJ709" s="11" t="str">
        <f t="shared" si="645"/>
        <v/>
      </c>
      <c r="AK709" s="11" t="str">
        <f t="shared" si="645"/>
        <v/>
      </c>
      <c r="AL709" s="11" t="str">
        <f t="shared" si="645"/>
        <v/>
      </c>
      <c r="AM709" s="11" t="str">
        <f t="shared" si="645"/>
        <v/>
      </c>
      <c r="AN709" s="11" t="str">
        <f t="shared" si="645"/>
        <v/>
      </c>
      <c r="AO709" s="11" t="str">
        <f t="shared" si="645"/>
        <v/>
      </c>
      <c r="AP709" s="21" t="str">
        <f t="shared" si="612"/>
        <v/>
      </c>
    </row>
    <row r="710" ht="16.5" customHeight="1">
      <c r="A710" s="32" t="s">
        <v>4437</v>
      </c>
      <c r="B710" s="32" t="s">
        <v>2689</v>
      </c>
      <c r="C710" s="32" t="s">
        <v>4575</v>
      </c>
      <c r="D710" s="32" t="s">
        <v>4576</v>
      </c>
      <c r="E710" s="32" t="s">
        <v>4577</v>
      </c>
      <c r="F710" s="4" t="s">
        <v>4578</v>
      </c>
      <c r="G710" s="4"/>
      <c r="H710" s="4"/>
      <c r="K710" s="18"/>
      <c r="L710" s="33"/>
      <c r="M710" s="20"/>
      <c r="N710" s="20"/>
      <c r="O710" s="20"/>
      <c r="P710" s="20"/>
      <c r="Q710" s="20"/>
      <c r="R710" s="20"/>
      <c r="S710" s="20"/>
      <c r="T710" s="20"/>
      <c r="U710" s="34"/>
      <c r="AF710" s="11" t="str">
        <f t="shared" si="610"/>
        <v/>
      </c>
      <c r="AG710" s="11" t="str">
        <f t="shared" ref="AG710:AO710" si="646">if(not(isblank(M710)),", "&amp;M710,"")</f>
        <v/>
      </c>
      <c r="AH710" s="11" t="str">
        <f t="shared" si="646"/>
        <v/>
      </c>
      <c r="AI710" s="11" t="str">
        <f t="shared" si="646"/>
        <v/>
      </c>
      <c r="AJ710" s="11" t="str">
        <f t="shared" si="646"/>
        <v/>
      </c>
      <c r="AK710" s="11" t="str">
        <f t="shared" si="646"/>
        <v/>
      </c>
      <c r="AL710" s="11" t="str">
        <f t="shared" si="646"/>
        <v/>
      </c>
      <c r="AM710" s="11" t="str">
        <f t="shared" si="646"/>
        <v/>
      </c>
      <c r="AN710" s="11" t="str">
        <f t="shared" si="646"/>
        <v/>
      </c>
      <c r="AO710" s="11" t="str">
        <f t="shared" si="646"/>
        <v/>
      </c>
      <c r="AP710" s="21" t="str">
        <f t="shared" si="612"/>
        <v/>
      </c>
    </row>
    <row r="711" ht="16.5" customHeight="1">
      <c r="A711" s="32" t="s">
        <v>4437</v>
      </c>
      <c r="B711" s="32" t="s">
        <v>2689</v>
      </c>
      <c r="C711" s="32" t="s">
        <v>4542</v>
      </c>
      <c r="D711" s="32" t="s">
        <v>4579</v>
      </c>
      <c r="E711" s="32" t="s">
        <v>4540</v>
      </c>
      <c r="F711" s="4" t="s">
        <v>4580</v>
      </c>
      <c r="G711" s="4" t="s">
        <v>4538</v>
      </c>
      <c r="H711" s="4"/>
      <c r="K711" s="18"/>
      <c r="L711" s="33"/>
      <c r="M711" s="20"/>
      <c r="N711" s="20"/>
      <c r="O711" s="20"/>
      <c r="P711" s="20"/>
      <c r="Q711" s="20"/>
      <c r="R711" s="20"/>
      <c r="S711" s="20"/>
      <c r="T711" s="20"/>
      <c r="U711" s="34"/>
      <c r="AF711" s="11" t="str">
        <f t="shared" si="610"/>
        <v/>
      </c>
      <c r="AG711" s="11" t="str">
        <f t="shared" ref="AG711:AO711" si="647">if(not(isblank(M711)),", "&amp;M711,"")</f>
        <v/>
      </c>
      <c r="AH711" s="11" t="str">
        <f t="shared" si="647"/>
        <v/>
      </c>
      <c r="AI711" s="11" t="str">
        <f t="shared" si="647"/>
        <v/>
      </c>
      <c r="AJ711" s="11" t="str">
        <f t="shared" si="647"/>
        <v/>
      </c>
      <c r="AK711" s="11" t="str">
        <f t="shared" si="647"/>
        <v/>
      </c>
      <c r="AL711" s="11" t="str">
        <f t="shared" si="647"/>
        <v/>
      </c>
      <c r="AM711" s="11" t="str">
        <f t="shared" si="647"/>
        <v/>
      </c>
      <c r="AN711" s="11" t="str">
        <f t="shared" si="647"/>
        <v/>
      </c>
      <c r="AO711" s="11" t="str">
        <f t="shared" si="647"/>
        <v/>
      </c>
      <c r="AP711" s="21" t="str">
        <f t="shared" si="612"/>
        <v>wild-herb-tonic-7-2-oz-candle</v>
      </c>
    </row>
    <row r="712" ht="16.5" customHeight="1">
      <c r="A712" s="32" t="s">
        <v>4437</v>
      </c>
      <c r="B712" s="32" t="s">
        <v>2423</v>
      </c>
      <c r="C712" s="32" t="s">
        <v>4581</v>
      </c>
      <c r="D712" s="32" t="s">
        <v>4582</v>
      </c>
      <c r="E712" s="32" t="s">
        <v>4583</v>
      </c>
      <c r="F712" s="4" t="s">
        <v>4584</v>
      </c>
      <c r="G712" s="4" t="s">
        <v>4585</v>
      </c>
      <c r="K712" s="18"/>
      <c r="L712" s="35"/>
      <c r="M712" s="19"/>
      <c r="N712" s="19"/>
      <c r="O712" s="19"/>
      <c r="P712" s="19"/>
      <c r="Q712" s="19"/>
      <c r="R712" s="20"/>
      <c r="S712" s="20"/>
      <c r="T712" s="20"/>
      <c r="U712" s="34"/>
      <c r="AF712" s="11" t="str">
        <f t="shared" si="610"/>
        <v/>
      </c>
      <c r="AG712" s="11" t="str">
        <f t="shared" ref="AG712:AO712" si="648">if(not(isblank(M712)),", "&amp;M712,"")</f>
        <v/>
      </c>
      <c r="AH712" s="11" t="str">
        <f t="shared" si="648"/>
        <v/>
      </c>
      <c r="AI712" s="11" t="str">
        <f t="shared" si="648"/>
        <v/>
      </c>
      <c r="AJ712" s="11" t="str">
        <f t="shared" si="648"/>
        <v/>
      </c>
      <c r="AK712" s="11" t="str">
        <f t="shared" si="648"/>
        <v/>
      </c>
      <c r="AL712" s="11" t="str">
        <f t="shared" si="648"/>
        <v/>
      </c>
      <c r="AM712" s="11" t="str">
        <f t="shared" si="648"/>
        <v/>
      </c>
      <c r="AN712" s="11" t="str">
        <f t="shared" si="648"/>
        <v/>
      </c>
      <c r="AO712" s="11" t="str">
        <f t="shared" si="648"/>
        <v/>
      </c>
      <c r="AP712" s="21" t="str">
        <f t="shared" si="612"/>
        <v>p-f-candles-pinon-7-2-oz, p-f-candle-no-29-pinon-reed-diffuser</v>
      </c>
    </row>
    <row r="713" ht="16.5" customHeight="1">
      <c r="A713" s="32" t="s">
        <v>4437</v>
      </c>
      <c r="B713" s="32" t="s">
        <v>2689</v>
      </c>
      <c r="C713" s="32" t="s">
        <v>4586</v>
      </c>
      <c r="D713" s="32" t="s">
        <v>4587</v>
      </c>
      <c r="E713" s="32" t="s">
        <v>4588</v>
      </c>
      <c r="F713" s="4" t="s">
        <v>4589</v>
      </c>
      <c r="G713" s="4"/>
      <c r="H713" s="4"/>
      <c r="K713" s="18"/>
      <c r="L713" s="33"/>
      <c r="M713" s="20"/>
      <c r="N713" s="20"/>
      <c r="O713" s="20"/>
      <c r="P713" s="20"/>
      <c r="Q713" s="20"/>
      <c r="R713" s="20"/>
      <c r="S713" s="20"/>
      <c r="T713" s="20"/>
      <c r="U713" s="34"/>
      <c r="AF713" s="11" t="str">
        <f t="shared" si="610"/>
        <v/>
      </c>
      <c r="AG713" s="11" t="str">
        <f t="shared" ref="AG713:AO713" si="649">if(not(isblank(M713)),", "&amp;M713,"")</f>
        <v/>
      </c>
      <c r="AH713" s="11" t="str">
        <f t="shared" si="649"/>
        <v/>
      </c>
      <c r="AI713" s="11" t="str">
        <f t="shared" si="649"/>
        <v/>
      </c>
      <c r="AJ713" s="11" t="str">
        <f t="shared" si="649"/>
        <v/>
      </c>
      <c r="AK713" s="11" t="str">
        <f t="shared" si="649"/>
        <v/>
      </c>
      <c r="AL713" s="11" t="str">
        <f t="shared" si="649"/>
        <v/>
      </c>
      <c r="AM713" s="11" t="str">
        <f t="shared" si="649"/>
        <v/>
      </c>
      <c r="AN713" s="11" t="str">
        <f t="shared" si="649"/>
        <v/>
      </c>
      <c r="AO713" s="11" t="str">
        <f t="shared" si="649"/>
        <v/>
      </c>
      <c r="AP713" s="21" t="str">
        <f t="shared" si="612"/>
        <v/>
      </c>
    </row>
    <row r="714" ht="16.5" customHeight="1">
      <c r="A714" s="32" t="s">
        <v>4590</v>
      </c>
      <c r="B714" s="32" t="s">
        <v>4591</v>
      </c>
      <c r="C714" s="32" t="s">
        <v>4592</v>
      </c>
      <c r="D714" s="32" t="s">
        <v>4593</v>
      </c>
      <c r="E714" s="32" t="s">
        <v>4594</v>
      </c>
      <c r="F714" s="4" t="s">
        <v>4595</v>
      </c>
      <c r="G714" s="4"/>
      <c r="H714" s="4"/>
      <c r="K714" s="18"/>
      <c r="L714" s="33"/>
      <c r="M714" s="20"/>
      <c r="N714" s="20"/>
      <c r="O714" s="20"/>
      <c r="P714" s="20"/>
      <c r="Q714" s="20"/>
      <c r="R714" s="20"/>
      <c r="S714" s="20"/>
      <c r="T714" s="20"/>
      <c r="U714" s="34"/>
      <c r="AF714" s="11" t="str">
        <f t="shared" si="610"/>
        <v/>
      </c>
      <c r="AG714" s="11" t="str">
        <f t="shared" ref="AG714:AO714" si="650">if(not(isblank(M714)),", "&amp;M714,"")</f>
        <v/>
      </c>
      <c r="AH714" s="11" t="str">
        <f t="shared" si="650"/>
        <v/>
      </c>
      <c r="AI714" s="11" t="str">
        <f t="shared" si="650"/>
        <v/>
      </c>
      <c r="AJ714" s="11" t="str">
        <f t="shared" si="650"/>
        <v/>
      </c>
      <c r="AK714" s="11" t="str">
        <f t="shared" si="650"/>
        <v/>
      </c>
      <c r="AL714" s="11" t="str">
        <f t="shared" si="650"/>
        <v/>
      </c>
      <c r="AM714" s="11" t="str">
        <f t="shared" si="650"/>
        <v/>
      </c>
      <c r="AN714" s="11" t="str">
        <f t="shared" si="650"/>
        <v/>
      </c>
      <c r="AO714" s="11" t="str">
        <f t="shared" si="650"/>
        <v/>
      </c>
      <c r="AP714" s="21" t="str">
        <f t="shared" si="612"/>
        <v/>
      </c>
    </row>
    <row r="715" ht="16.5" customHeight="1">
      <c r="A715" s="32" t="s">
        <v>4590</v>
      </c>
      <c r="B715" s="32" t="s">
        <v>4591</v>
      </c>
      <c r="C715" s="32" t="s">
        <v>4596</v>
      </c>
      <c r="D715" s="32" t="s">
        <v>4597</v>
      </c>
      <c r="E715" s="32" t="s">
        <v>4598</v>
      </c>
      <c r="F715" s="4" t="s">
        <v>4599</v>
      </c>
      <c r="G715" s="4"/>
      <c r="H715" s="4"/>
      <c r="K715" s="18"/>
      <c r="L715" s="33"/>
      <c r="M715" s="20"/>
      <c r="N715" s="20"/>
      <c r="O715" s="20"/>
      <c r="P715" s="20"/>
      <c r="Q715" s="20"/>
      <c r="R715" s="20"/>
      <c r="S715" s="20"/>
      <c r="T715" s="20"/>
      <c r="U715" s="34"/>
      <c r="AF715" s="11" t="str">
        <f t="shared" si="610"/>
        <v/>
      </c>
      <c r="AG715" s="11" t="str">
        <f t="shared" ref="AG715:AO715" si="651">if(not(isblank(M715)),", "&amp;M715,"")</f>
        <v/>
      </c>
      <c r="AH715" s="11" t="str">
        <f t="shared" si="651"/>
        <v/>
      </c>
      <c r="AI715" s="11" t="str">
        <f t="shared" si="651"/>
        <v/>
      </c>
      <c r="AJ715" s="11" t="str">
        <f t="shared" si="651"/>
        <v/>
      </c>
      <c r="AK715" s="11" t="str">
        <f t="shared" si="651"/>
        <v/>
      </c>
      <c r="AL715" s="11" t="str">
        <f t="shared" si="651"/>
        <v/>
      </c>
      <c r="AM715" s="11" t="str">
        <f t="shared" si="651"/>
        <v/>
      </c>
      <c r="AN715" s="11" t="str">
        <f t="shared" si="651"/>
        <v/>
      </c>
      <c r="AO715" s="11" t="str">
        <f t="shared" si="651"/>
        <v/>
      </c>
      <c r="AP715" s="21" t="str">
        <f t="shared" si="612"/>
        <v/>
      </c>
    </row>
    <row r="716" ht="16.5" customHeight="1">
      <c r="A716" s="32" t="s">
        <v>4590</v>
      </c>
      <c r="B716" s="32" t="s">
        <v>4591</v>
      </c>
      <c r="C716" s="32" t="s">
        <v>4600</v>
      </c>
      <c r="D716" s="32" t="s">
        <v>4601</v>
      </c>
      <c r="E716" s="32" t="s">
        <v>4602</v>
      </c>
      <c r="F716" s="4" t="s">
        <v>4603</v>
      </c>
      <c r="G716" s="4" t="s">
        <v>4604</v>
      </c>
      <c r="H716" s="4"/>
      <c r="K716" s="18"/>
      <c r="L716" s="33"/>
      <c r="M716" s="20"/>
      <c r="N716" s="20"/>
      <c r="O716" s="20"/>
      <c r="P716" s="20"/>
      <c r="Q716" s="20"/>
      <c r="R716" s="20"/>
      <c r="S716" s="20"/>
      <c r="T716" s="20"/>
      <c r="U716" s="34"/>
      <c r="AF716" s="11" t="str">
        <f t="shared" si="610"/>
        <v/>
      </c>
      <c r="AG716" s="11" t="str">
        <f t="shared" ref="AG716:AO716" si="652">if(not(isblank(M716)),", "&amp;M716,"")</f>
        <v/>
      </c>
      <c r="AH716" s="11" t="str">
        <f t="shared" si="652"/>
        <v/>
      </c>
      <c r="AI716" s="11" t="str">
        <f t="shared" si="652"/>
        <v/>
      </c>
      <c r="AJ716" s="11" t="str">
        <f t="shared" si="652"/>
        <v/>
      </c>
      <c r="AK716" s="11" t="str">
        <f t="shared" si="652"/>
        <v/>
      </c>
      <c r="AL716" s="11" t="str">
        <f t="shared" si="652"/>
        <v/>
      </c>
      <c r="AM716" s="11" t="str">
        <f t="shared" si="652"/>
        <v/>
      </c>
      <c r="AN716" s="11" t="str">
        <f t="shared" si="652"/>
        <v/>
      </c>
      <c r="AO716" s="11" t="str">
        <f t="shared" si="652"/>
        <v/>
      </c>
      <c r="AP716" s="21" t="str">
        <f t="shared" si="612"/>
        <v>vintage-spray-refill</v>
      </c>
    </row>
    <row r="717" ht="16.5" customHeight="1">
      <c r="A717" s="32" t="s">
        <v>4590</v>
      </c>
      <c r="B717" s="32" t="s">
        <v>4591</v>
      </c>
      <c r="C717" s="32" t="s">
        <v>4605</v>
      </c>
      <c r="D717" s="32" t="s">
        <v>4606</v>
      </c>
      <c r="E717" s="32" t="s">
        <v>4607</v>
      </c>
      <c r="F717" s="4" t="s">
        <v>4608</v>
      </c>
      <c r="G717" s="4"/>
      <c r="H717" s="4"/>
      <c r="K717" s="18"/>
      <c r="L717" s="33"/>
      <c r="M717" s="20"/>
      <c r="N717" s="20"/>
      <c r="O717" s="20"/>
      <c r="P717" s="20"/>
      <c r="Q717" s="20"/>
      <c r="R717" s="20"/>
      <c r="S717" s="20"/>
      <c r="T717" s="20"/>
      <c r="U717" s="34"/>
      <c r="AF717" s="11" t="str">
        <f t="shared" si="610"/>
        <v/>
      </c>
      <c r="AG717" s="11" t="str">
        <f t="shared" ref="AG717:AO717" si="653">if(not(isblank(M717)),", "&amp;M717,"")</f>
        <v/>
      </c>
      <c r="AH717" s="11" t="str">
        <f t="shared" si="653"/>
        <v/>
      </c>
      <c r="AI717" s="11" t="str">
        <f t="shared" si="653"/>
        <v/>
      </c>
      <c r="AJ717" s="11" t="str">
        <f t="shared" si="653"/>
        <v/>
      </c>
      <c r="AK717" s="11" t="str">
        <f t="shared" si="653"/>
        <v/>
      </c>
      <c r="AL717" s="11" t="str">
        <f t="shared" si="653"/>
        <v/>
      </c>
      <c r="AM717" s="11" t="str">
        <f t="shared" si="653"/>
        <v/>
      </c>
      <c r="AN717" s="11" t="str">
        <f t="shared" si="653"/>
        <v/>
      </c>
      <c r="AO717" s="11" t="str">
        <f t="shared" si="653"/>
        <v/>
      </c>
      <c r="AP717" s="21" t="str">
        <f t="shared" si="612"/>
        <v/>
      </c>
    </row>
    <row r="718" ht="16.5" customHeight="1">
      <c r="A718" s="32" t="s">
        <v>4590</v>
      </c>
      <c r="B718" s="32" t="s">
        <v>4591</v>
      </c>
      <c r="C718" s="32" t="s">
        <v>4604</v>
      </c>
      <c r="D718" s="32" t="s">
        <v>4609</v>
      </c>
      <c r="E718" s="32" t="s">
        <v>4610</v>
      </c>
      <c r="F718" s="4" t="s">
        <v>4611</v>
      </c>
      <c r="G718" s="4" t="s">
        <v>4600</v>
      </c>
      <c r="H718" s="4"/>
      <c r="K718" s="18"/>
      <c r="L718" s="42"/>
      <c r="M718" s="11"/>
      <c r="N718" s="20"/>
      <c r="O718" s="20"/>
      <c r="P718" s="20"/>
      <c r="Q718" s="20"/>
      <c r="R718" s="20"/>
      <c r="S718" s="20"/>
      <c r="T718" s="20"/>
      <c r="U718" s="34"/>
      <c r="AF718" s="11" t="str">
        <f t="shared" si="610"/>
        <v/>
      </c>
      <c r="AG718" s="11" t="str">
        <f t="shared" ref="AG718:AO718" si="654">if(not(isblank(M718)),", "&amp;M718,"")</f>
        <v/>
      </c>
      <c r="AH718" s="11" t="str">
        <f t="shared" si="654"/>
        <v/>
      </c>
      <c r="AI718" s="11" t="str">
        <f t="shared" si="654"/>
        <v/>
      </c>
      <c r="AJ718" s="11" t="str">
        <f t="shared" si="654"/>
        <v/>
      </c>
      <c r="AK718" s="11" t="str">
        <f t="shared" si="654"/>
        <v/>
      </c>
      <c r="AL718" s="11" t="str">
        <f t="shared" si="654"/>
        <v/>
      </c>
      <c r="AM718" s="11" t="str">
        <f t="shared" si="654"/>
        <v/>
      </c>
      <c r="AN718" s="11" t="str">
        <f t="shared" si="654"/>
        <v/>
      </c>
      <c r="AO718" s="11" t="str">
        <f t="shared" si="654"/>
        <v/>
      </c>
      <c r="AP718" s="21" t="str">
        <f t="shared" si="612"/>
        <v>vintage-spray</v>
      </c>
    </row>
    <row r="719" ht="16.5" customHeight="1">
      <c r="A719" s="32" t="s">
        <v>4612</v>
      </c>
      <c r="B719" s="32" t="s">
        <v>4613</v>
      </c>
      <c r="C719" s="32" t="s">
        <v>2284</v>
      </c>
      <c r="D719" s="32" t="s">
        <v>4614</v>
      </c>
      <c r="E719" s="32" t="s">
        <v>4615</v>
      </c>
      <c r="F719" s="4" t="s">
        <v>4616</v>
      </c>
      <c r="G719" s="4" t="s">
        <v>4617</v>
      </c>
      <c r="K719" s="18"/>
      <c r="L719" s="33"/>
      <c r="M719" s="20"/>
      <c r="N719" s="20"/>
      <c r="O719" s="20"/>
      <c r="P719" s="20"/>
      <c r="Q719" s="20"/>
      <c r="R719" s="20"/>
      <c r="S719" s="20"/>
      <c r="T719" s="20"/>
      <c r="U719" s="34"/>
      <c r="AF719" s="11" t="str">
        <f t="shared" si="610"/>
        <v/>
      </c>
      <c r="AG719" s="11" t="str">
        <f t="shared" ref="AG719:AO719" si="655">if(not(isblank(M719)),", "&amp;M719,"")</f>
        <v/>
      </c>
      <c r="AH719" s="11" t="str">
        <f t="shared" si="655"/>
        <v/>
      </c>
      <c r="AI719" s="11" t="str">
        <f t="shared" si="655"/>
        <v/>
      </c>
      <c r="AJ719" s="11" t="str">
        <f t="shared" si="655"/>
        <v/>
      </c>
      <c r="AK719" s="11" t="str">
        <f t="shared" si="655"/>
        <v/>
      </c>
      <c r="AL719" s="11" t="str">
        <f t="shared" si="655"/>
        <v/>
      </c>
      <c r="AM719" s="11" t="str">
        <f t="shared" si="655"/>
        <v/>
      </c>
      <c r="AN719" s="11" t="str">
        <f t="shared" si="655"/>
        <v/>
      </c>
      <c r="AO719" s="11" t="str">
        <f t="shared" si="655"/>
        <v/>
      </c>
      <c r="AP719" s="21" t="str">
        <f t="shared" si="612"/>
        <v>rose-navy, w796-rose-charcoal, w796-rose-duck-egg, rose-old-rose, rose-raspberry, w796-wine</v>
      </c>
    </row>
    <row r="720" ht="16.5" customHeight="1">
      <c r="A720" s="32" t="s">
        <v>4612</v>
      </c>
      <c r="B720" s="32" t="s">
        <v>4613</v>
      </c>
      <c r="C720" s="32" t="s">
        <v>3171</v>
      </c>
      <c r="D720" s="32" t="s">
        <v>4618</v>
      </c>
      <c r="E720" s="32" t="s">
        <v>4619</v>
      </c>
      <c r="F720" s="4" t="s">
        <v>4620</v>
      </c>
      <c r="G720" s="4" t="s">
        <v>4621</v>
      </c>
      <c r="K720" s="18"/>
      <c r="L720" s="33"/>
      <c r="M720" s="20"/>
      <c r="N720" s="20"/>
      <c r="O720" s="20"/>
      <c r="P720" s="20"/>
      <c r="Q720" s="20"/>
      <c r="R720" s="20"/>
      <c r="S720" s="20"/>
      <c r="T720" s="20"/>
      <c r="U720" s="34"/>
      <c r="AF720" s="11" t="str">
        <f t="shared" si="610"/>
        <v/>
      </c>
      <c r="AG720" s="11" t="str">
        <f t="shared" ref="AG720:AO720" si="656">if(not(isblank(M720)),", "&amp;M720,"")</f>
        <v/>
      </c>
      <c r="AH720" s="11" t="str">
        <f t="shared" si="656"/>
        <v/>
      </c>
      <c r="AI720" s="11" t="str">
        <f t="shared" si="656"/>
        <v/>
      </c>
      <c r="AJ720" s="11" t="str">
        <f t="shared" si="656"/>
        <v/>
      </c>
      <c r="AK720" s="11" t="str">
        <f t="shared" si="656"/>
        <v/>
      </c>
      <c r="AL720" s="11" t="str">
        <f t="shared" si="656"/>
        <v/>
      </c>
      <c r="AM720" s="11" t="str">
        <f t="shared" si="656"/>
        <v/>
      </c>
      <c r="AN720" s="11" t="str">
        <f t="shared" si="656"/>
        <v/>
      </c>
      <c r="AO720" s="11" t="str">
        <f t="shared" si="656"/>
        <v/>
      </c>
      <c r="AP720" s="21" t="str">
        <f t="shared" si="612"/>
        <v>w750-cashmere-black, w750-cashmere-lt-grey, tabitha-lilac-mix, tabitha-cashmere-denim-chine</v>
      </c>
    </row>
    <row r="721" ht="16.5" customHeight="1">
      <c r="A721" s="32" t="s">
        <v>4612</v>
      </c>
      <c r="B721" s="32" t="s">
        <v>4613</v>
      </c>
      <c r="C721" s="32" t="s">
        <v>3179</v>
      </c>
      <c r="D721" s="32" t="s">
        <v>4622</v>
      </c>
      <c r="E721" s="32" t="s">
        <v>4619</v>
      </c>
      <c r="F721" s="4" t="s">
        <v>4620</v>
      </c>
      <c r="G721" s="4" t="s">
        <v>4623</v>
      </c>
      <c r="K721" s="18"/>
      <c r="L721" s="33"/>
      <c r="M721" s="20"/>
      <c r="N721" s="20"/>
      <c r="O721" s="20"/>
      <c r="P721" s="20"/>
      <c r="Q721" s="20"/>
      <c r="R721" s="20"/>
      <c r="S721" s="20"/>
      <c r="T721" s="20"/>
      <c r="U721" s="34"/>
      <c r="AF721" s="11" t="str">
        <f t="shared" si="610"/>
        <v/>
      </c>
      <c r="AG721" s="11" t="str">
        <f t="shared" ref="AG721:AO721" si="657">if(not(isblank(M721)),", "&amp;M721,"")</f>
        <v/>
      </c>
      <c r="AH721" s="11" t="str">
        <f t="shared" si="657"/>
        <v/>
      </c>
      <c r="AI721" s="11" t="str">
        <f t="shared" si="657"/>
        <v/>
      </c>
      <c r="AJ721" s="11" t="str">
        <f t="shared" si="657"/>
        <v/>
      </c>
      <c r="AK721" s="11" t="str">
        <f t="shared" si="657"/>
        <v/>
      </c>
      <c r="AL721" s="11" t="str">
        <f t="shared" si="657"/>
        <v/>
      </c>
      <c r="AM721" s="11" t="str">
        <f t="shared" si="657"/>
        <v/>
      </c>
      <c r="AN721" s="11" t="str">
        <f t="shared" si="657"/>
        <v/>
      </c>
      <c r="AO721" s="11" t="str">
        <f t="shared" si="657"/>
        <v/>
      </c>
      <c r="AP721" s="21" t="str">
        <f t="shared" si="612"/>
        <v>w750-cashmere-lt-grey, w750-cashmere-winter-white, tabitha-lilac-mix, tabitha-cashmere-denim-chine</v>
      </c>
    </row>
    <row r="722" ht="16.5" customHeight="1">
      <c r="A722" s="32" t="s">
        <v>4612</v>
      </c>
      <c r="B722" s="32" t="s">
        <v>2206</v>
      </c>
      <c r="C722" s="32" t="s">
        <v>2640</v>
      </c>
      <c r="D722" s="32" t="s">
        <v>4624</v>
      </c>
      <c r="E722" s="32" t="s">
        <v>4625</v>
      </c>
      <c r="F722" s="4" t="s">
        <v>4626</v>
      </c>
      <c r="G722" s="4" t="s">
        <v>4627</v>
      </c>
      <c r="K722" s="18"/>
      <c r="L722" s="51"/>
      <c r="M722" s="52"/>
      <c r="N722" s="52"/>
      <c r="O722" s="52"/>
      <c r="P722" s="52"/>
      <c r="Q722" s="52"/>
      <c r="R722" s="52"/>
      <c r="S722" s="52"/>
      <c r="T722" s="52"/>
      <c r="U722" s="53"/>
      <c r="AF722" s="11" t="str">
        <f t="shared" si="610"/>
        <v/>
      </c>
      <c r="AG722" s="11" t="str">
        <f t="shared" ref="AG722:AO722" si="658">if(not(isblank(M722)),", "&amp;M722,"")</f>
        <v/>
      </c>
      <c r="AH722" s="11" t="str">
        <f t="shared" si="658"/>
        <v/>
      </c>
      <c r="AI722" s="11" t="str">
        <f t="shared" si="658"/>
        <v/>
      </c>
      <c r="AJ722" s="11" t="str">
        <f t="shared" si="658"/>
        <v/>
      </c>
      <c r="AK722" s="11" t="str">
        <f t="shared" si="658"/>
        <v/>
      </c>
      <c r="AL722" s="11" t="str">
        <f t="shared" si="658"/>
        <v/>
      </c>
      <c r="AM722" s="11" t="str">
        <f t="shared" si="658"/>
        <v/>
      </c>
      <c r="AN722" s="11" t="str">
        <f t="shared" si="658"/>
        <v/>
      </c>
      <c r="AO722" s="11" t="str">
        <f t="shared" si="658"/>
        <v/>
      </c>
      <c r="AP722" s="21" t="str">
        <f t="shared" si="612"/>
        <v>thornham-dark-brown-fleck, thornham-mid-grey-fleck</v>
      </c>
    </row>
    <row r="723" ht="16.5" customHeight="1">
      <c r="A723" s="32" t="s">
        <v>4612</v>
      </c>
      <c r="B723" s="32" t="s">
        <v>2206</v>
      </c>
      <c r="C723" s="32" t="s">
        <v>4628</v>
      </c>
      <c r="D723" s="32" t="s">
        <v>4629</v>
      </c>
      <c r="E723" s="32" t="s">
        <v>4630</v>
      </c>
      <c r="F723" s="4" t="s">
        <v>4616</v>
      </c>
      <c r="G723" s="4" t="s">
        <v>4631</v>
      </c>
      <c r="K723" s="18"/>
      <c r="L723" s="20"/>
      <c r="M723" s="20"/>
      <c r="N723" s="20"/>
      <c r="O723" s="20"/>
      <c r="P723" s="20"/>
      <c r="Q723" s="20"/>
      <c r="R723" s="20"/>
      <c r="S723" s="20"/>
      <c r="T723" s="20"/>
      <c r="U723" s="20"/>
      <c r="AF723" s="11" t="str">
        <f t="shared" si="610"/>
        <v/>
      </c>
      <c r="AG723" s="11" t="str">
        <f t="shared" ref="AG723:AO723" si="659">if(not(isblank(M723)),", "&amp;M723,"")</f>
        <v/>
      </c>
      <c r="AH723" s="11" t="str">
        <f t="shared" si="659"/>
        <v/>
      </c>
      <c r="AI723" s="11" t="str">
        <f t="shared" si="659"/>
        <v/>
      </c>
      <c r="AJ723" s="11" t="str">
        <f t="shared" si="659"/>
        <v/>
      </c>
      <c r="AK723" s="11" t="str">
        <f t="shared" si="659"/>
        <v/>
      </c>
      <c r="AL723" s="11" t="str">
        <f t="shared" si="659"/>
        <v/>
      </c>
      <c r="AM723" s="11" t="str">
        <f t="shared" si="659"/>
        <v/>
      </c>
      <c r="AN723" s="11" t="str">
        <f t="shared" si="659"/>
        <v/>
      </c>
      <c r="AO723" s="11" t="str">
        <f t="shared" si="659"/>
        <v/>
      </c>
      <c r="AP723" s="21" t="str">
        <f t="shared" si="612"/>
        <v>laburnum-charcoal, laburnum-navy, 5796-laburnum-dark-brown, laburnum-dark-olive-mix</v>
      </c>
    </row>
    <row r="724" ht="16.5" customHeight="1">
      <c r="A724" s="32" t="s">
        <v>4612</v>
      </c>
      <c r="B724" s="32" t="s">
        <v>2206</v>
      </c>
      <c r="C724" s="32" t="s">
        <v>4632</v>
      </c>
      <c r="D724" s="32" t="s">
        <v>4633</v>
      </c>
      <c r="E724" s="32" t="s">
        <v>4630</v>
      </c>
      <c r="F724" s="4" t="s">
        <v>4616</v>
      </c>
      <c r="G724" s="4" t="s">
        <v>4634</v>
      </c>
      <c r="I724" s="11" t="s">
        <v>1711</v>
      </c>
      <c r="J724" s="11" t="s">
        <v>1712</v>
      </c>
      <c r="K724" s="18"/>
      <c r="L724" s="20"/>
      <c r="M724" s="20"/>
      <c r="N724" s="20"/>
      <c r="O724" s="20"/>
      <c r="P724" s="20"/>
      <c r="Q724" s="20"/>
      <c r="R724" s="20"/>
      <c r="S724" s="20"/>
      <c r="T724" s="20"/>
      <c r="U724" s="20"/>
      <c r="AF724" s="11" t="str">
        <f t="shared" si="610"/>
        <v/>
      </c>
      <c r="AG724" s="11" t="str">
        <f t="shared" ref="AG724:AO724" si="660">if(not(isblank(M724)),", "&amp;M724,"")</f>
        <v/>
      </c>
      <c r="AH724" s="11" t="str">
        <f t="shared" si="660"/>
        <v/>
      </c>
      <c r="AI724" s="11" t="str">
        <f t="shared" si="660"/>
        <v/>
      </c>
      <c r="AJ724" s="11" t="str">
        <f t="shared" si="660"/>
        <v/>
      </c>
      <c r="AK724" s="11" t="str">
        <f t="shared" si="660"/>
        <v/>
      </c>
      <c r="AL724" s="11" t="str">
        <f t="shared" si="660"/>
        <v/>
      </c>
      <c r="AM724" s="11" t="str">
        <f t="shared" si="660"/>
        <v/>
      </c>
      <c r="AN724" s="11" t="str">
        <f t="shared" si="660"/>
        <v/>
      </c>
      <c r="AO724" s="11" t="str">
        <f t="shared" si="660"/>
        <v/>
      </c>
      <c r="AP724" s="21" t="str">
        <f t="shared" si="612"/>
        <v>5796-laburnum-black, laburnum-charcoal, laburnum-navy, laburnum-dark-olive-mix</v>
      </c>
    </row>
    <row r="725" ht="16.5" customHeight="1">
      <c r="A725" s="32" t="s">
        <v>4612</v>
      </c>
      <c r="B725" s="32" t="s">
        <v>4613</v>
      </c>
      <c r="C725" s="32" t="s">
        <v>3973</v>
      </c>
      <c r="D725" s="32" t="s">
        <v>4635</v>
      </c>
      <c r="E725" s="32" t="s">
        <v>4636</v>
      </c>
      <c r="F725" s="4" t="s">
        <v>4637</v>
      </c>
      <c r="G725" s="4" t="s">
        <v>4638</v>
      </c>
      <c r="H725" s="4"/>
      <c r="K725" s="18"/>
      <c r="L725" s="20"/>
      <c r="M725" s="20"/>
      <c r="N725" s="20"/>
      <c r="O725" s="20"/>
      <c r="P725" s="20"/>
      <c r="Q725" s="20"/>
      <c r="R725" s="20"/>
      <c r="S725" s="20"/>
      <c r="T725" s="20"/>
      <c r="U725" s="20"/>
      <c r="AF725" s="11" t="str">
        <f t="shared" si="610"/>
        <v/>
      </c>
      <c r="AG725" s="11" t="str">
        <f t="shared" ref="AG725:AO725" si="661">if(not(isblank(M725)),", "&amp;M725,"")</f>
        <v/>
      </c>
      <c r="AH725" s="11" t="str">
        <f t="shared" si="661"/>
        <v/>
      </c>
      <c r="AI725" s="11" t="str">
        <f t="shared" si="661"/>
        <v/>
      </c>
      <c r="AJ725" s="11" t="str">
        <f t="shared" si="661"/>
        <v/>
      </c>
      <c r="AK725" s="11" t="str">
        <f t="shared" si="661"/>
        <v/>
      </c>
      <c r="AL725" s="11" t="str">
        <f t="shared" si="661"/>
        <v/>
      </c>
      <c r="AM725" s="11" t="str">
        <f t="shared" si="661"/>
        <v/>
      </c>
      <c r="AN725" s="11" t="str">
        <f t="shared" si="661"/>
        <v/>
      </c>
      <c r="AO725" s="11" t="str">
        <f t="shared" si="661"/>
        <v/>
      </c>
      <c r="AP725" s="21" t="str">
        <f t="shared" si="612"/>
        <v>j905-rachel-lt-grey, rachel-black</v>
      </c>
    </row>
    <row r="726" ht="16.5" customHeight="1">
      <c r="A726" s="32" t="s">
        <v>4612</v>
      </c>
      <c r="B726" s="32" t="s">
        <v>4613</v>
      </c>
      <c r="C726" s="32" t="s">
        <v>3980</v>
      </c>
      <c r="D726" s="32" t="s">
        <v>4639</v>
      </c>
      <c r="E726" s="32" t="s">
        <v>4636</v>
      </c>
      <c r="F726" s="4" t="s">
        <v>4637</v>
      </c>
      <c r="G726" s="4" t="s">
        <v>4640</v>
      </c>
      <c r="H726" s="4"/>
      <c r="K726" s="18"/>
      <c r="L726" s="20"/>
      <c r="M726" s="20"/>
      <c r="N726" s="20"/>
      <c r="O726" s="20"/>
      <c r="P726" s="20"/>
      <c r="Q726" s="20"/>
      <c r="R726" s="20"/>
      <c r="S726" s="20"/>
      <c r="T726" s="20"/>
      <c r="U726" s="20"/>
      <c r="AF726" s="11" t="str">
        <f t="shared" si="610"/>
        <v/>
      </c>
      <c r="AG726" s="11" t="str">
        <f t="shared" ref="AG726:AO726" si="662">if(not(isblank(M726)),", "&amp;M726,"")</f>
        <v/>
      </c>
      <c r="AH726" s="11" t="str">
        <f t="shared" si="662"/>
        <v/>
      </c>
      <c r="AI726" s="11" t="str">
        <f t="shared" si="662"/>
        <v/>
      </c>
      <c r="AJ726" s="11" t="str">
        <f t="shared" si="662"/>
        <v/>
      </c>
      <c r="AK726" s="11" t="str">
        <f t="shared" si="662"/>
        <v/>
      </c>
      <c r="AL726" s="11" t="str">
        <f t="shared" si="662"/>
        <v/>
      </c>
      <c r="AM726" s="11" t="str">
        <f t="shared" si="662"/>
        <v/>
      </c>
      <c r="AN726" s="11" t="str">
        <f t="shared" si="662"/>
        <v/>
      </c>
      <c r="AO726" s="11" t="str">
        <f t="shared" si="662"/>
        <v/>
      </c>
      <c r="AP726" s="21" t="str">
        <f t="shared" si="612"/>
        <v>j905-rachel-duck-egg, rachel-black</v>
      </c>
    </row>
    <row r="727" ht="16.5" customHeight="1">
      <c r="A727" s="32" t="s">
        <v>4612</v>
      </c>
      <c r="B727" s="32" t="s">
        <v>2206</v>
      </c>
      <c r="C727" s="32" t="s">
        <v>4641</v>
      </c>
      <c r="D727" s="32" t="s">
        <v>4642</v>
      </c>
      <c r="E727" s="36"/>
      <c r="F727" s="4"/>
      <c r="G727" s="4"/>
      <c r="H727" s="4"/>
      <c r="K727" s="18"/>
      <c r="L727" s="20"/>
      <c r="M727" s="20"/>
      <c r="N727" s="20"/>
      <c r="O727" s="20"/>
      <c r="P727" s="20"/>
      <c r="Q727" s="20"/>
      <c r="R727" s="20"/>
      <c r="S727" s="20"/>
      <c r="T727" s="20"/>
      <c r="U727" s="20"/>
      <c r="AF727" s="11" t="str">
        <f t="shared" si="610"/>
        <v/>
      </c>
      <c r="AG727" s="11" t="str">
        <f t="shared" ref="AG727:AO727" si="663">if(not(isblank(M727)),", "&amp;M727,"")</f>
        <v/>
      </c>
      <c r="AH727" s="11" t="str">
        <f t="shared" si="663"/>
        <v/>
      </c>
      <c r="AI727" s="11" t="str">
        <f t="shared" si="663"/>
        <v/>
      </c>
      <c r="AJ727" s="11" t="str">
        <f t="shared" si="663"/>
        <v/>
      </c>
      <c r="AK727" s="11" t="str">
        <f t="shared" si="663"/>
        <v/>
      </c>
      <c r="AL727" s="11" t="str">
        <f t="shared" si="663"/>
        <v/>
      </c>
      <c r="AM727" s="11" t="str">
        <f t="shared" si="663"/>
        <v/>
      </c>
      <c r="AN727" s="11" t="str">
        <f t="shared" si="663"/>
        <v/>
      </c>
      <c r="AO727" s="11" t="str">
        <f t="shared" si="663"/>
        <v/>
      </c>
      <c r="AP727" s="21" t="str">
        <f t="shared" si="612"/>
        <v/>
      </c>
    </row>
    <row r="728" ht="16.5" customHeight="1">
      <c r="A728" s="32" t="s">
        <v>4612</v>
      </c>
      <c r="B728" s="32" t="s">
        <v>2206</v>
      </c>
      <c r="C728" s="32" t="s">
        <v>4643</v>
      </c>
      <c r="D728" s="32" t="s">
        <v>4644</v>
      </c>
      <c r="E728" s="32" t="s">
        <v>4645</v>
      </c>
      <c r="F728" s="4" t="s">
        <v>4646</v>
      </c>
      <c r="G728" s="4"/>
      <c r="H728" s="4"/>
      <c r="K728" s="18"/>
      <c r="L728" s="20"/>
      <c r="M728" s="20"/>
      <c r="N728" s="20"/>
      <c r="O728" s="20"/>
      <c r="P728" s="20"/>
      <c r="Q728" s="20"/>
      <c r="R728" s="20"/>
      <c r="S728" s="20"/>
      <c r="T728" s="20"/>
      <c r="U728" s="20"/>
      <c r="AF728" s="11" t="str">
        <f t="shared" si="610"/>
        <v/>
      </c>
      <c r="AG728" s="11" t="str">
        <f t="shared" ref="AG728:AO728" si="664">if(not(isblank(M728)),", "&amp;M728,"")</f>
        <v/>
      </c>
      <c r="AH728" s="11" t="str">
        <f t="shared" si="664"/>
        <v/>
      </c>
      <c r="AI728" s="11" t="str">
        <f t="shared" si="664"/>
        <v/>
      </c>
      <c r="AJ728" s="11" t="str">
        <f t="shared" si="664"/>
        <v/>
      </c>
      <c r="AK728" s="11" t="str">
        <f t="shared" si="664"/>
        <v/>
      </c>
      <c r="AL728" s="11" t="str">
        <f t="shared" si="664"/>
        <v/>
      </c>
      <c r="AM728" s="11" t="str">
        <f t="shared" si="664"/>
        <v/>
      </c>
      <c r="AN728" s="11" t="str">
        <f t="shared" si="664"/>
        <v/>
      </c>
      <c r="AO728" s="11" t="str">
        <f t="shared" si="664"/>
        <v/>
      </c>
      <c r="AP728" s="21" t="str">
        <f t="shared" si="612"/>
        <v/>
      </c>
    </row>
    <row r="729" ht="16.5" customHeight="1">
      <c r="A729" s="32" t="s">
        <v>4612</v>
      </c>
      <c r="B729" s="32" t="s">
        <v>4647</v>
      </c>
      <c r="C729" s="32" t="s">
        <v>4648</v>
      </c>
      <c r="D729" s="32" t="s">
        <v>4649</v>
      </c>
      <c r="E729" s="32" t="s">
        <v>4630</v>
      </c>
      <c r="F729" s="4" t="s">
        <v>4616</v>
      </c>
      <c r="G729" s="4" t="s">
        <v>4650</v>
      </c>
      <c r="K729" s="18"/>
      <c r="L729" s="20"/>
      <c r="M729" s="20"/>
      <c r="N729" s="20"/>
      <c r="O729" s="20"/>
      <c r="P729" s="20"/>
      <c r="Q729" s="20"/>
      <c r="R729" s="20"/>
      <c r="S729" s="20"/>
      <c r="T729" s="20"/>
      <c r="U729" s="20"/>
      <c r="AF729" s="11" t="str">
        <f t="shared" si="610"/>
        <v/>
      </c>
      <c r="AG729" s="11" t="str">
        <f t="shared" ref="AG729:AO729" si="665">if(not(isblank(M729)),", "&amp;M729,"")</f>
        <v/>
      </c>
      <c r="AH729" s="11" t="str">
        <f t="shared" si="665"/>
        <v/>
      </c>
      <c r="AI729" s="11" t="str">
        <f t="shared" si="665"/>
        <v/>
      </c>
      <c r="AJ729" s="11" t="str">
        <f t="shared" si="665"/>
        <v/>
      </c>
      <c r="AK729" s="11" t="str">
        <f t="shared" si="665"/>
        <v/>
      </c>
      <c r="AL729" s="11" t="str">
        <f t="shared" si="665"/>
        <v/>
      </c>
      <c r="AM729" s="11" t="str">
        <f t="shared" si="665"/>
        <v/>
      </c>
      <c r="AN729" s="11" t="str">
        <f t="shared" si="665"/>
        <v/>
      </c>
      <c r="AO729" s="11" t="str">
        <f t="shared" si="665"/>
        <v/>
      </c>
      <c r="AP729" s="21" t="str">
        <f t="shared" si="612"/>
        <v>5796-laburnum-black, laburnum-navy, 5796-laburnum-dark-brown, laburnum-dark-olive-mix</v>
      </c>
    </row>
    <row r="730" ht="16.5" customHeight="1">
      <c r="A730" s="32" t="s">
        <v>4612</v>
      </c>
      <c r="B730" s="32" t="s">
        <v>2206</v>
      </c>
      <c r="C730" s="32" t="s">
        <v>4651</v>
      </c>
      <c r="D730" s="32" t="s">
        <v>4652</v>
      </c>
      <c r="E730" s="32" t="s">
        <v>4630</v>
      </c>
      <c r="F730" s="4" t="s">
        <v>4616</v>
      </c>
      <c r="G730" s="4" t="s">
        <v>4653</v>
      </c>
      <c r="K730" s="18"/>
      <c r="L730" s="20"/>
      <c r="M730" s="20"/>
      <c r="N730" s="20"/>
      <c r="O730" s="20"/>
      <c r="P730" s="20"/>
      <c r="Q730" s="20"/>
      <c r="R730" s="20"/>
      <c r="S730" s="20"/>
      <c r="T730" s="20"/>
      <c r="U730" s="20"/>
      <c r="AF730" s="11" t="str">
        <f t="shared" si="610"/>
        <v/>
      </c>
      <c r="AG730" s="11" t="str">
        <f t="shared" ref="AG730:AO730" si="666">if(not(isblank(M730)),", "&amp;M730,"")</f>
        <v/>
      </c>
      <c r="AH730" s="11" t="str">
        <f t="shared" si="666"/>
        <v/>
      </c>
      <c r="AI730" s="11" t="str">
        <f t="shared" si="666"/>
        <v/>
      </c>
      <c r="AJ730" s="11" t="str">
        <f t="shared" si="666"/>
        <v/>
      </c>
      <c r="AK730" s="11" t="str">
        <f t="shared" si="666"/>
        <v/>
      </c>
      <c r="AL730" s="11" t="str">
        <f t="shared" si="666"/>
        <v/>
      </c>
      <c r="AM730" s="11" t="str">
        <f t="shared" si="666"/>
        <v/>
      </c>
      <c r="AN730" s="11" t="str">
        <f t="shared" si="666"/>
        <v/>
      </c>
      <c r="AO730" s="11" t="str">
        <f t="shared" si="666"/>
        <v/>
      </c>
      <c r="AP730" s="21" t="str">
        <f t="shared" si="612"/>
        <v>5796-laburnum-black, laburnum-charcoal, laburnum-navy, 5796-laburnum-dark-brown</v>
      </c>
    </row>
    <row r="731" ht="16.5" customHeight="1">
      <c r="A731" s="32" t="s">
        <v>4612</v>
      </c>
      <c r="B731" s="32" t="s">
        <v>4647</v>
      </c>
      <c r="C731" s="32" t="s">
        <v>4654</v>
      </c>
      <c r="D731" s="32" t="s">
        <v>4655</v>
      </c>
      <c r="E731" s="32" t="s">
        <v>4630</v>
      </c>
      <c r="F731" s="4" t="s">
        <v>4616</v>
      </c>
      <c r="G731" s="4" t="s">
        <v>4656</v>
      </c>
      <c r="K731" s="18"/>
      <c r="L731" s="20"/>
      <c r="M731" s="20"/>
      <c r="N731" s="20"/>
      <c r="O731" s="20"/>
      <c r="P731" s="20"/>
      <c r="Q731" s="20"/>
      <c r="R731" s="20"/>
      <c r="S731" s="20"/>
      <c r="T731" s="20"/>
      <c r="U731" s="20"/>
      <c r="AF731" s="11" t="str">
        <f t="shared" si="610"/>
        <v/>
      </c>
      <c r="AG731" s="11" t="str">
        <f t="shared" ref="AG731:AO731" si="667">if(not(isblank(M731)),", "&amp;M731,"")</f>
        <v/>
      </c>
      <c r="AH731" s="11" t="str">
        <f t="shared" si="667"/>
        <v/>
      </c>
      <c r="AI731" s="11" t="str">
        <f t="shared" si="667"/>
        <v/>
      </c>
      <c r="AJ731" s="11" t="str">
        <f t="shared" si="667"/>
        <v/>
      </c>
      <c r="AK731" s="11" t="str">
        <f t="shared" si="667"/>
        <v/>
      </c>
      <c r="AL731" s="11" t="str">
        <f t="shared" si="667"/>
        <v/>
      </c>
      <c r="AM731" s="11" t="str">
        <f t="shared" si="667"/>
        <v/>
      </c>
      <c r="AN731" s="11" t="str">
        <f t="shared" si="667"/>
        <v/>
      </c>
      <c r="AO731" s="11" t="str">
        <f t="shared" si="667"/>
        <v/>
      </c>
      <c r="AP731" s="21" t="str">
        <f t="shared" si="612"/>
        <v>5796-laburnum-black, laburnum-charcoal, 5796-laburnum-dark-brown, laburnum-dark-olive-mix</v>
      </c>
    </row>
    <row r="732" ht="16.5" customHeight="1">
      <c r="A732" s="32" t="s">
        <v>4612</v>
      </c>
      <c r="B732" s="32" t="s">
        <v>4613</v>
      </c>
      <c r="C732" s="32" t="s">
        <v>3974</v>
      </c>
      <c r="D732" s="32" t="s">
        <v>4657</v>
      </c>
      <c r="E732" s="32" t="s">
        <v>4636</v>
      </c>
      <c r="F732" s="4" t="s">
        <v>4637</v>
      </c>
      <c r="G732" s="4" t="s">
        <v>4658</v>
      </c>
      <c r="K732" s="18"/>
      <c r="L732" s="20"/>
      <c r="M732" s="20"/>
      <c r="N732" s="20"/>
      <c r="O732" s="20"/>
      <c r="P732" s="20"/>
      <c r="Q732" s="20"/>
      <c r="R732" s="20"/>
      <c r="S732" s="20"/>
      <c r="T732" s="20"/>
      <c r="U732" s="20"/>
      <c r="AF732" s="11" t="str">
        <f t="shared" si="610"/>
        <v/>
      </c>
      <c r="AG732" s="11" t="str">
        <f t="shared" ref="AG732:AO732" si="668">if(not(isblank(M732)),", "&amp;M732,"")</f>
        <v/>
      </c>
      <c r="AH732" s="11" t="str">
        <f t="shared" si="668"/>
        <v/>
      </c>
      <c r="AI732" s="11" t="str">
        <f t="shared" si="668"/>
        <v/>
      </c>
      <c r="AJ732" s="11" t="str">
        <f t="shared" si="668"/>
        <v/>
      </c>
      <c r="AK732" s="11" t="str">
        <f t="shared" si="668"/>
        <v/>
      </c>
      <c r="AL732" s="11" t="str">
        <f t="shared" si="668"/>
        <v/>
      </c>
      <c r="AM732" s="11" t="str">
        <f t="shared" si="668"/>
        <v/>
      </c>
      <c r="AN732" s="11" t="str">
        <f t="shared" si="668"/>
        <v/>
      </c>
      <c r="AO732" s="11" t="str">
        <f t="shared" si="668"/>
        <v/>
      </c>
      <c r="AP732" s="21" t="str">
        <f t="shared" si="612"/>
        <v>j905-rachel-lt-grey, j905-rachel-duck-egg</v>
      </c>
    </row>
    <row r="733" ht="16.5" customHeight="1">
      <c r="A733" s="32" t="s">
        <v>4612</v>
      </c>
      <c r="B733" s="32" t="s">
        <v>4613</v>
      </c>
      <c r="C733" s="32" t="s">
        <v>2294</v>
      </c>
      <c r="D733" s="32" t="s">
        <v>4659</v>
      </c>
      <c r="E733" s="32" t="s">
        <v>4615</v>
      </c>
      <c r="F733" s="4" t="s">
        <v>4616</v>
      </c>
      <c r="G733" s="4" t="s">
        <v>4660</v>
      </c>
      <c r="K733" s="18"/>
      <c r="L733" s="20"/>
      <c r="M733" s="20"/>
      <c r="N733" s="20"/>
      <c r="O733" s="20"/>
      <c r="P733" s="20"/>
      <c r="Q733" s="20"/>
      <c r="R733" s="20"/>
      <c r="S733" s="20"/>
      <c r="T733" s="20"/>
      <c r="U733" s="20"/>
      <c r="AF733" s="11" t="str">
        <f t="shared" si="610"/>
        <v/>
      </c>
      <c r="AG733" s="11" t="str">
        <f t="shared" ref="AG733:AO733" si="669">if(not(isblank(M733)),", "&amp;M733,"")</f>
        <v/>
      </c>
      <c r="AH733" s="11" t="str">
        <f t="shared" si="669"/>
        <v/>
      </c>
      <c r="AI733" s="11" t="str">
        <f t="shared" si="669"/>
        <v/>
      </c>
      <c r="AJ733" s="11" t="str">
        <f t="shared" si="669"/>
        <v/>
      </c>
      <c r="AK733" s="11" t="str">
        <f t="shared" si="669"/>
        <v/>
      </c>
      <c r="AL733" s="11" t="str">
        <f t="shared" si="669"/>
        <v/>
      </c>
      <c r="AM733" s="11" t="str">
        <f t="shared" si="669"/>
        <v/>
      </c>
      <c r="AN733" s="11" t="str">
        <f t="shared" si="669"/>
        <v/>
      </c>
      <c r="AO733" s="11" t="str">
        <f t="shared" si="669"/>
        <v/>
      </c>
      <c r="AP733" s="21" t="str">
        <f t="shared" si="612"/>
        <v>w796-black, w796-rose-charcoal, w796-rose-duck-egg, rose-old-rose, rose-raspberry, w796-wine</v>
      </c>
    </row>
    <row r="734" ht="16.5" customHeight="1">
      <c r="A734" s="32" t="s">
        <v>4612</v>
      </c>
      <c r="B734" s="32" t="s">
        <v>4613</v>
      </c>
      <c r="C734" s="32" t="s">
        <v>2287</v>
      </c>
      <c r="D734" s="32" t="s">
        <v>4661</v>
      </c>
      <c r="E734" s="32" t="s">
        <v>4615</v>
      </c>
      <c r="F734" s="4" t="s">
        <v>4616</v>
      </c>
      <c r="G734" s="4" t="s">
        <v>4662</v>
      </c>
      <c r="K734" s="18"/>
      <c r="L734" s="20"/>
      <c r="M734" s="20"/>
      <c r="N734" s="20"/>
      <c r="O734" s="20"/>
      <c r="P734" s="20"/>
      <c r="Q734" s="20"/>
      <c r="R734" s="20"/>
      <c r="S734" s="20"/>
      <c r="T734" s="20"/>
      <c r="U734" s="20"/>
      <c r="AF734" s="11" t="str">
        <f t="shared" si="610"/>
        <v/>
      </c>
      <c r="AG734" s="11" t="str">
        <f t="shared" ref="AG734:AO734" si="670">if(not(isblank(M734)),", "&amp;M734,"")</f>
        <v/>
      </c>
      <c r="AH734" s="11" t="str">
        <f t="shared" si="670"/>
        <v/>
      </c>
      <c r="AI734" s="11" t="str">
        <f t="shared" si="670"/>
        <v/>
      </c>
      <c r="AJ734" s="11" t="str">
        <f t="shared" si="670"/>
        <v/>
      </c>
      <c r="AK734" s="11" t="str">
        <f t="shared" si="670"/>
        <v/>
      </c>
      <c r="AL734" s="11" t="str">
        <f t="shared" si="670"/>
        <v/>
      </c>
      <c r="AM734" s="11" t="str">
        <f t="shared" si="670"/>
        <v/>
      </c>
      <c r="AN734" s="11" t="str">
        <f t="shared" si="670"/>
        <v/>
      </c>
      <c r="AO734" s="11" t="str">
        <f t="shared" si="670"/>
        <v/>
      </c>
      <c r="AP734" s="21" t="str">
        <f t="shared" si="612"/>
        <v>w796-black, w796-rose-charcoal, rose-navy, w796-rose-duck-egg, rose-raspberry, w796-wine</v>
      </c>
    </row>
    <row r="735" ht="16.5" customHeight="1">
      <c r="A735" s="32" t="s">
        <v>4612</v>
      </c>
      <c r="B735" s="32" t="s">
        <v>4613</v>
      </c>
      <c r="C735" s="32" t="s">
        <v>2288</v>
      </c>
      <c r="D735" s="32" t="s">
        <v>4663</v>
      </c>
      <c r="E735" s="32" t="s">
        <v>4615</v>
      </c>
      <c r="F735" s="4" t="s">
        <v>4616</v>
      </c>
      <c r="G735" s="4" t="s">
        <v>4664</v>
      </c>
      <c r="K735" s="18"/>
      <c r="L735" s="20"/>
      <c r="M735" s="20"/>
      <c r="N735" s="20"/>
      <c r="O735" s="20"/>
      <c r="P735" s="20"/>
      <c r="Q735" s="20"/>
      <c r="R735" s="20"/>
      <c r="S735" s="20"/>
      <c r="T735" s="20"/>
      <c r="U735" s="20"/>
      <c r="AF735" s="11" t="str">
        <f t="shared" si="610"/>
        <v/>
      </c>
      <c r="AG735" s="11" t="str">
        <f t="shared" ref="AG735:AO735" si="671">if(not(isblank(M735)),", "&amp;M735,"")</f>
        <v/>
      </c>
      <c r="AH735" s="11" t="str">
        <f t="shared" si="671"/>
        <v/>
      </c>
      <c r="AI735" s="11" t="str">
        <f t="shared" si="671"/>
        <v/>
      </c>
      <c r="AJ735" s="11" t="str">
        <f t="shared" si="671"/>
        <v/>
      </c>
      <c r="AK735" s="11" t="str">
        <f t="shared" si="671"/>
        <v/>
      </c>
      <c r="AL735" s="11" t="str">
        <f t="shared" si="671"/>
        <v/>
      </c>
      <c r="AM735" s="11" t="str">
        <f t="shared" si="671"/>
        <v/>
      </c>
      <c r="AN735" s="11" t="str">
        <f t="shared" si="671"/>
        <v/>
      </c>
      <c r="AO735" s="11" t="str">
        <f t="shared" si="671"/>
        <v/>
      </c>
      <c r="AP735" s="21" t="str">
        <f t="shared" si="612"/>
        <v>w796-black, w796-rose-charcoal, rose-navy, w796-rose-duck-egg, rose-old-rose, w796-wine</v>
      </c>
    </row>
    <row r="736" ht="16.5" customHeight="1">
      <c r="A736" s="32" t="s">
        <v>4612</v>
      </c>
      <c r="B736" s="32" t="s">
        <v>2206</v>
      </c>
      <c r="C736" s="32" t="s">
        <v>4665</v>
      </c>
      <c r="D736" s="32" t="s">
        <v>4666</v>
      </c>
      <c r="E736" s="32" t="s">
        <v>4667</v>
      </c>
      <c r="F736" s="4" t="s">
        <v>4668</v>
      </c>
      <c r="G736" s="4" t="s">
        <v>4669</v>
      </c>
      <c r="H736" s="4"/>
      <c r="K736" s="18"/>
      <c r="L736" s="19" t="s">
        <v>3623</v>
      </c>
      <c r="M736" s="19" t="s">
        <v>4098</v>
      </c>
      <c r="N736" s="20"/>
      <c r="O736" s="20"/>
      <c r="P736" s="20"/>
      <c r="Q736" s="20"/>
      <c r="R736" s="20"/>
      <c r="S736" s="20"/>
      <c r="T736" s="20"/>
      <c r="U736" s="20"/>
      <c r="AF736" s="11" t="str">
        <f t="shared" si="610"/>
        <v>palmer-grey</v>
      </c>
      <c r="AG736" s="11" t="str">
        <f t="shared" ref="AG736:AO736" si="672">if(not(isblank(M736)),", "&amp;M736,"")</f>
        <v>, palmer-navy</v>
      </c>
      <c r="AH736" s="11" t="str">
        <f t="shared" si="672"/>
        <v/>
      </c>
      <c r="AI736" s="11" t="str">
        <f t="shared" si="672"/>
        <v/>
      </c>
      <c r="AJ736" s="11" t="str">
        <f t="shared" si="672"/>
        <v/>
      </c>
      <c r="AK736" s="11" t="str">
        <f t="shared" si="672"/>
        <v/>
      </c>
      <c r="AL736" s="11" t="str">
        <f t="shared" si="672"/>
        <v/>
      </c>
      <c r="AM736" s="11" t="str">
        <f t="shared" si="672"/>
        <v/>
      </c>
      <c r="AN736" s="11" t="str">
        <f t="shared" si="672"/>
        <v/>
      </c>
      <c r="AO736" s="11" t="str">
        <f t="shared" si="672"/>
        <v/>
      </c>
      <c r="AP736" s="21" t="str">
        <f t="shared" si="612"/>
        <v>palmer-grey, palmer-navy</v>
      </c>
    </row>
    <row r="737" ht="16.5" customHeight="1">
      <c r="A737" s="32" t="s">
        <v>4612</v>
      </c>
      <c r="B737" s="32" t="s">
        <v>2206</v>
      </c>
      <c r="C737" s="32" t="s">
        <v>4669</v>
      </c>
      <c r="D737" s="32" t="s">
        <v>4670</v>
      </c>
      <c r="E737" s="32" t="s">
        <v>4667</v>
      </c>
      <c r="F737" s="4" t="s">
        <v>4671</v>
      </c>
      <c r="G737" s="4" t="s">
        <v>4665</v>
      </c>
      <c r="H737" s="4"/>
      <c r="K737" s="18"/>
      <c r="L737" s="19" t="s">
        <v>1513</v>
      </c>
      <c r="M737" s="19" t="s">
        <v>4098</v>
      </c>
      <c r="N737" s="20"/>
      <c r="O737" s="20"/>
      <c r="P737" s="20"/>
      <c r="Q737" s="20"/>
      <c r="R737" s="20"/>
      <c r="S737" s="20"/>
      <c r="T737" s="20"/>
      <c r="U737" s="20"/>
      <c r="AF737" s="11" t="str">
        <f t="shared" si="610"/>
        <v>palmer-black</v>
      </c>
      <c r="AG737" s="11" t="str">
        <f t="shared" ref="AG737:AO737" si="673">if(not(isblank(M737)),", "&amp;M737,"")</f>
        <v>, palmer-navy</v>
      </c>
      <c r="AH737" s="11" t="str">
        <f t="shared" si="673"/>
        <v/>
      </c>
      <c r="AI737" s="11" t="str">
        <f t="shared" si="673"/>
        <v/>
      </c>
      <c r="AJ737" s="11" t="str">
        <f t="shared" si="673"/>
        <v/>
      </c>
      <c r="AK737" s="11" t="str">
        <f t="shared" si="673"/>
        <v/>
      </c>
      <c r="AL737" s="11" t="str">
        <f t="shared" si="673"/>
        <v/>
      </c>
      <c r="AM737" s="11" t="str">
        <f t="shared" si="673"/>
        <v/>
      </c>
      <c r="AN737" s="11" t="str">
        <f t="shared" si="673"/>
        <v/>
      </c>
      <c r="AO737" s="11" t="str">
        <f t="shared" si="673"/>
        <v/>
      </c>
      <c r="AP737" s="21" t="str">
        <f t="shared" si="612"/>
        <v>palmer-black, palmer-navy</v>
      </c>
    </row>
    <row r="738" ht="16.5" customHeight="1">
      <c r="A738" s="32" t="s">
        <v>4612</v>
      </c>
      <c r="B738" s="32" t="s">
        <v>4613</v>
      </c>
      <c r="C738" s="32" t="s">
        <v>3172</v>
      </c>
      <c r="D738" s="32" t="s">
        <v>4672</v>
      </c>
      <c r="E738" s="32" t="s">
        <v>4619</v>
      </c>
      <c r="F738" s="4" t="s">
        <v>4620</v>
      </c>
      <c r="G738" s="4" t="s">
        <v>4673</v>
      </c>
      <c r="K738" s="18"/>
      <c r="L738" s="20"/>
      <c r="M738" s="20"/>
      <c r="N738" s="20"/>
      <c r="O738" s="20"/>
      <c r="P738" s="20"/>
      <c r="Q738" s="20"/>
      <c r="R738" s="20"/>
      <c r="S738" s="20"/>
      <c r="T738" s="20"/>
      <c r="U738" s="20"/>
      <c r="AF738" s="11" t="str">
        <f t="shared" si="610"/>
        <v/>
      </c>
      <c r="AG738" s="11" t="str">
        <f t="shared" ref="AG738:AO738" si="674">if(not(isblank(M738)),", "&amp;M738,"")</f>
        <v/>
      </c>
      <c r="AH738" s="11" t="str">
        <f t="shared" si="674"/>
        <v/>
      </c>
      <c r="AI738" s="11" t="str">
        <f t="shared" si="674"/>
        <v/>
      </c>
      <c r="AJ738" s="11" t="str">
        <f t="shared" si="674"/>
        <v/>
      </c>
      <c r="AK738" s="11" t="str">
        <f t="shared" si="674"/>
        <v/>
      </c>
      <c r="AL738" s="11" t="str">
        <f t="shared" si="674"/>
        <v/>
      </c>
      <c r="AM738" s="11" t="str">
        <f t="shared" si="674"/>
        <v/>
      </c>
      <c r="AN738" s="11" t="str">
        <f t="shared" si="674"/>
        <v/>
      </c>
      <c r="AO738" s="11" t="str">
        <f t="shared" si="674"/>
        <v/>
      </c>
      <c r="AP738" s="21" t="str">
        <f t="shared" si="612"/>
        <v>w750-cashmere-black, w750-cashmere-lt-grey, w750-cashmere-winter-white, tabitha-cashmere-denim-chine</v>
      </c>
    </row>
    <row r="739" ht="16.5" customHeight="1">
      <c r="A739" s="32" t="s">
        <v>4612</v>
      </c>
      <c r="B739" s="32" t="s">
        <v>2206</v>
      </c>
      <c r="C739" s="32" t="s">
        <v>2647</v>
      </c>
      <c r="D739" s="32" t="s">
        <v>4674</v>
      </c>
      <c r="E739" s="32" t="s">
        <v>4625</v>
      </c>
      <c r="F739" s="4" t="s">
        <v>4626</v>
      </c>
      <c r="G739" s="4" t="s">
        <v>4675</v>
      </c>
      <c r="K739" s="18"/>
      <c r="L739" s="20"/>
      <c r="M739" s="20"/>
      <c r="N739" s="20"/>
      <c r="O739" s="20"/>
      <c r="P739" s="20"/>
      <c r="Q739" s="20"/>
      <c r="R739" s="20"/>
      <c r="S739" s="20"/>
      <c r="T739" s="20"/>
      <c r="U739" s="20"/>
      <c r="AF739" s="11" t="str">
        <f t="shared" si="610"/>
        <v/>
      </c>
      <c r="AG739" s="11" t="str">
        <f t="shared" ref="AG739:AO739" si="675">if(not(isblank(M739)),", "&amp;M739,"")</f>
        <v/>
      </c>
      <c r="AH739" s="11" t="str">
        <f t="shared" si="675"/>
        <v/>
      </c>
      <c r="AI739" s="11" t="str">
        <f t="shared" si="675"/>
        <v/>
      </c>
      <c r="AJ739" s="11" t="str">
        <f t="shared" si="675"/>
        <v/>
      </c>
      <c r="AK739" s="11" t="str">
        <f t="shared" si="675"/>
        <v/>
      </c>
      <c r="AL739" s="11" t="str">
        <f t="shared" si="675"/>
        <v/>
      </c>
      <c r="AM739" s="11" t="str">
        <f t="shared" si="675"/>
        <v/>
      </c>
      <c r="AN739" s="11" t="str">
        <f t="shared" si="675"/>
        <v/>
      </c>
      <c r="AO739" s="11" t="str">
        <f t="shared" si="675"/>
        <v/>
      </c>
      <c r="AP739" s="21" t="str">
        <f t="shared" si="612"/>
        <v>ys1025-thornham-01-navy, thornham-mid-grey-fleck</v>
      </c>
    </row>
    <row r="740" ht="16.5" customHeight="1">
      <c r="A740" s="32" t="s">
        <v>4612</v>
      </c>
      <c r="B740" s="32" t="s">
        <v>2206</v>
      </c>
      <c r="C740" s="32" t="s">
        <v>2641</v>
      </c>
      <c r="D740" s="32" t="s">
        <v>4676</v>
      </c>
      <c r="E740" s="32" t="s">
        <v>4625</v>
      </c>
      <c r="F740" s="4" t="s">
        <v>4677</v>
      </c>
      <c r="G740" s="4" t="s">
        <v>4678</v>
      </c>
      <c r="K740" s="18"/>
      <c r="L740" s="20"/>
      <c r="M740" s="20"/>
      <c r="N740" s="20"/>
      <c r="O740" s="20"/>
      <c r="P740" s="20"/>
      <c r="Q740" s="20"/>
      <c r="R740" s="20"/>
      <c r="S740" s="20"/>
      <c r="T740" s="20"/>
      <c r="U740" s="20"/>
      <c r="AF740" s="11" t="str">
        <f t="shared" si="610"/>
        <v/>
      </c>
      <c r="AG740" s="11" t="str">
        <f t="shared" ref="AG740:AO740" si="676">if(not(isblank(M740)),", "&amp;M740,"")</f>
        <v/>
      </c>
      <c r="AH740" s="11" t="str">
        <f t="shared" si="676"/>
        <v/>
      </c>
      <c r="AI740" s="11" t="str">
        <f t="shared" si="676"/>
        <v/>
      </c>
      <c r="AJ740" s="11" t="str">
        <f t="shared" si="676"/>
        <v/>
      </c>
      <c r="AK740" s="11" t="str">
        <f t="shared" si="676"/>
        <v/>
      </c>
      <c r="AL740" s="11" t="str">
        <f t="shared" si="676"/>
        <v/>
      </c>
      <c r="AM740" s="11" t="str">
        <f t="shared" si="676"/>
        <v/>
      </c>
      <c r="AN740" s="11" t="str">
        <f t="shared" si="676"/>
        <v/>
      </c>
      <c r="AO740" s="11" t="str">
        <f t="shared" si="676"/>
        <v/>
      </c>
      <c r="AP740" s="21" t="str">
        <f t="shared" si="612"/>
        <v>ys1025-thornham-01-navy, thornham-dark-brown-fleck</v>
      </c>
    </row>
    <row r="741" ht="16.5" customHeight="1">
      <c r="A741" s="32" t="s">
        <v>4612</v>
      </c>
      <c r="B741" s="32" t="s">
        <v>4613</v>
      </c>
      <c r="C741" s="32" t="s">
        <v>4004</v>
      </c>
      <c r="D741" s="32" t="s">
        <v>4679</v>
      </c>
      <c r="E741" s="32" t="s">
        <v>4680</v>
      </c>
      <c r="F741" s="4" t="s">
        <v>4681</v>
      </c>
      <c r="G741" s="4" t="s">
        <v>3415</v>
      </c>
      <c r="H741" s="4"/>
      <c r="K741" s="18"/>
      <c r="L741" s="20"/>
      <c r="M741" s="20"/>
      <c r="N741" s="20"/>
      <c r="O741" s="20"/>
      <c r="P741" s="20"/>
      <c r="Q741" s="20"/>
      <c r="R741" s="20"/>
      <c r="S741" s="20"/>
      <c r="T741" s="20"/>
      <c r="U741" s="20"/>
      <c r="AF741" s="11" t="str">
        <f t="shared" si="610"/>
        <v/>
      </c>
      <c r="AG741" s="11" t="str">
        <f t="shared" ref="AG741:AO741" si="677">if(not(isblank(M741)),", "&amp;M741,"")</f>
        <v/>
      </c>
      <c r="AH741" s="11" t="str">
        <f t="shared" si="677"/>
        <v/>
      </c>
      <c r="AI741" s="11" t="str">
        <f t="shared" si="677"/>
        <v/>
      </c>
      <c r="AJ741" s="11" t="str">
        <f t="shared" si="677"/>
        <v/>
      </c>
      <c r="AK741" s="11" t="str">
        <f t="shared" si="677"/>
        <v/>
      </c>
      <c r="AL741" s="11" t="str">
        <f t="shared" si="677"/>
        <v/>
      </c>
      <c r="AM741" s="11" t="str">
        <f t="shared" si="677"/>
        <v/>
      </c>
      <c r="AN741" s="11" t="str">
        <f t="shared" si="677"/>
        <v/>
      </c>
      <c r="AO741" s="11" t="str">
        <f t="shared" si="677"/>
        <v/>
      </c>
      <c r="AP741" s="21" t="str">
        <f t="shared" si="612"/>
        <v>eyre-burgundy-cashmere</v>
      </c>
    </row>
    <row r="742" ht="16.5" customHeight="1">
      <c r="A742" s="32" t="s">
        <v>4612</v>
      </c>
      <c r="B742" s="32" t="s">
        <v>2206</v>
      </c>
      <c r="C742" s="32" t="s">
        <v>4012</v>
      </c>
      <c r="D742" s="32" t="s">
        <v>4682</v>
      </c>
      <c r="E742" s="32" t="s">
        <v>4683</v>
      </c>
      <c r="F742" s="4" t="s">
        <v>4681</v>
      </c>
      <c r="G742" s="4" t="s">
        <v>4684</v>
      </c>
      <c r="K742" s="18"/>
      <c r="L742" s="20"/>
      <c r="M742" s="20"/>
      <c r="N742" s="20"/>
      <c r="O742" s="20"/>
      <c r="P742" s="20"/>
      <c r="Q742" s="20"/>
      <c r="R742" s="20"/>
      <c r="S742" s="20"/>
      <c r="T742" s="20"/>
      <c r="U742" s="20"/>
      <c r="AF742" s="11" t="str">
        <f t="shared" si="610"/>
        <v/>
      </c>
      <c r="AG742" s="11" t="str">
        <f t="shared" ref="AG742:AO742" si="678">if(not(isblank(M742)),", "&amp;M742,"")</f>
        <v/>
      </c>
      <c r="AH742" s="11" t="str">
        <f t="shared" si="678"/>
        <v/>
      </c>
      <c r="AI742" s="11" t="str">
        <f t="shared" si="678"/>
        <v/>
      </c>
      <c r="AJ742" s="11" t="str">
        <f t="shared" si="678"/>
        <v/>
      </c>
      <c r="AK742" s="11" t="str">
        <f t="shared" si="678"/>
        <v/>
      </c>
      <c r="AL742" s="11" t="str">
        <f t="shared" si="678"/>
        <v/>
      </c>
      <c r="AM742" s="11" t="str">
        <f t="shared" si="678"/>
        <v/>
      </c>
      <c r="AN742" s="11" t="str">
        <f t="shared" si="678"/>
        <v/>
      </c>
      <c r="AO742" s="11" t="str">
        <f t="shared" si="678"/>
        <v/>
      </c>
      <c r="AP742" s="21" t="str">
        <f t="shared" si="612"/>
        <v>stanton-mid-denim-cashmere, stanton-charcoal-cashmere</v>
      </c>
    </row>
    <row r="743" ht="16.5" customHeight="1">
      <c r="A743" s="32" t="s">
        <v>4612</v>
      </c>
      <c r="B743" s="32" t="s">
        <v>2206</v>
      </c>
      <c r="C743" s="32" t="s">
        <v>4019</v>
      </c>
      <c r="D743" s="32" t="s">
        <v>4685</v>
      </c>
      <c r="E743" s="32" t="s">
        <v>4683</v>
      </c>
      <c r="F743" s="4" t="s">
        <v>4681</v>
      </c>
      <c r="G743" s="4" t="s">
        <v>4686</v>
      </c>
      <c r="K743" s="18"/>
      <c r="L743" s="20"/>
      <c r="M743" s="20"/>
      <c r="N743" s="20"/>
      <c r="O743" s="20"/>
      <c r="P743" s="20"/>
      <c r="Q743" s="20"/>
      <c r="R743" s="20"/>
      <c r="S743" s="20"/>
      <c r="T743" s="20"/>
      <c r="U743" s="20"/>
      <c r="AF743" s="11" t="str">
        <f t="shared" si="610"/>
        <v/>
      </c>
      <c r="AG743" s="11" t="str">
        <f t="shared" ref="AG743:AO743" si="679">if(not(isblank(M743)),", "&amp;M743,"")</f>
        <v/>
      </c>
      <c r="AH743" s="11" t="str">
        <f t="shared" si="679"/>
        <v/>
      </c>
      <c r="AI743" s="11" t="str">
        <f t="shared" si="679"/>
        <v/>
      </c>
      <c r="AJ743" s="11" t="str">
        <f t="shared" si="679"/>
        <v/>
      </c>
      <c r="AK743" s="11" t="str">
        <f t="shared" si="679"/>
        <v/>
      </c>
      <c r="AL743" s="11" t="str">
        <f t="shared" si="679"/>
        <v/>
      </c>
      <c r="AM743" s="11" t="str">
        <f t="shared" si="679"/>
        <v/>
      </c>
      <c r="AN743" s="11" t="str">
        <f t="shared" si="679"/>
        <v/>
      </c>
      <c r="AO743" s="11" t="str">
        <f t="shared" si="679"/>
        <v/>
      </c>
      <c r="AP743" s="21" t="str">
        <f t="shared" si="612"/>
        <v>stanton-mid-denim-cashmere, stanton-burgundy-cashmere</v>
      </c>
    </row>
    <row r="744" ht="16.5" customHeight="1">
      <c r="A744" s="32" t="s">
        <v>4612</v>
      </c>
      <c r="B744" s="32" t="s">
        <v>2206</v>
      </c>
      <c r="C744" s="32" t="s">
        <v>4011</v>
      </c>
      <c r="D744" s="32" t="s">
        <v>4687</v>
      </c>
      <c r="E744" s="32" t="s">
        <v>4683</v>
      </c>
      <c r="F744" s="4" t="s">
        <v>4681</v>
      </c>
      <c r="G744" s="4" t="s">
        <v>4688</v>
      </c>
      <c r="K744" s="18"/>
      <c r="L744" s="20"/>
      <c r="M744" s="20"/>
      <c r="N744" s="20"/>
      <c r="O744" s="20"/>
      <c r="P744" s="20"/>
      <c r="Q744" s="20"/>
      <c r="R744" s="20"/>
      <c r="S744" s="20"/>
      <c r="T744" s="20"/>
      <c r="U744" s="20"/>
      <c r="AF744" s="11" t="str">
        <f t="shared" si="610"/>
        <v/>
      </c>
      <c r="AG744" s="11" t="str">
        <f t="shared" ref="AG744:AO744" si="680">if(not(isblank(M744)),", "&amp;M744,"")</f>
        <v/>
      </c>
      <c r="AH744" s="11" t="str">
        <f t="shared" si="680"/>
        <v/>
      </c>
      <c r="AI744" s="11" t="str">
        <f t="shared" si="680"/>
        <v/>
      </c>
      <c r="AJ744" s="11" t="str">
        <f t="shared" si="680"/>
        <v/>
      </c>
      <c r="AK744" s="11" t="str">
        <f t="shared" si="680"/>
        <v/>
      </c>
      <c r="AL744" s="11" t="str">
        <f t="shared" si="680"/>
        <v/>
      </c>
      <c r="AM744" s="11" t="str">
        <f t="shared" si="680"/>
        <v/>
      </c>
      <c r="AN744" s="11" t="str">
        <f t="shared" si="680"/>
        <v/>
      </c>
      <c r="AO744" s="11" t="str">
        <f t="shared" si="680"/>
        <v/>
      </c>
      <c r="AP744" s="21" t="str">
        <f t="shared" si="612"/>
        <v>stanton-charcoal-cashmere, stanton-burgundy-cashmere</v>
      </c>
    </row>
    <row r="745" ht="16.5" customHeight="1">
      <c r="A745" s="32" t="s">
        <v>4612</v>
      </c>
      <c r="B745" s="32" t="s">
        <v>4613</v>
      </c>
      <c r="C745" s="32" t="s">
        <v>3173</v>
      </c>
      <c r="D745" s="32" t="s">
        <v>4689</v>
      </c>
      <c r="E745" s="32" t="s">
        <v>4619</v>
      </c>
      <c r="F745" s="4" t="s">
        <v>4620</v>
      </c>
      <c r="G745" s="4" t="s">
        <v>4690</v>
      </c>
      <c r="K745" s="18"/>
      <c r="L745" s="20"/>
      <c r="M745" s="20"/>
      <c r="N745" s="20"/>
      <c r="O745" s="20"/>
      <c r="P745" s="20"/>
      <c r="Q745" s="20"/>
      <c r="R745" s="20"/>
      <c r="S745" s="20"/>
      <c r="T745" s="20"/>
      <c r="U745" s="20"/>
      <c r="AF745" s="11" t="str">
        <f t="shared" si="610"/>
        <v/>
      </c>
      <c r="AG745" s="11" t="str">
        <f t="shared" ref="AG745:AO745" si="681">if(not(isblank(M745)),", "&amp;M745,"")</f>
        <v/>
      </c>
      <c r="AH745" s="11" t="str">
        <f t="shared" si="681"/>
        <v/>
      </c>
      <c r="AI745" s="11" t="str">
        <f t="shared" si="681"/>
        <v/>
      </c>
      <c r="AJ745" s="11" t="str">
        <f t="shared" si="681"/>
        <v/>
      </c>
      <c r="AK745" s="11" t="str">
        <f t="shared" si="681"/>
        <v/>
      </c>
      <c r="AL745" s="11" t="str">
        <f t="shared" si="681"/>
        <v/>
      </c>
      <c r="AM745" s="11" t="str">
        <f t="shared" si="681"/>
        <v/>
      </c>
      <c r="AN745" s="11" t="str">
        <f t="shared" si="681"/>
        <v/>
      </c>
      <c r="AO745" s="11" t="str">
        <f t="shared" si="681"/>
        <v/>
      </c>
      <c r="AP745" s="21" t="str">
        <f t="shared" si="612"/>
        <v>w750-cashmere-black, w750-cashmere-lt-grey, w750-cashmere-winter-white, tabitha-lilac-mix</v>
      </c>
    </row>
    <row r="746" ht="16.5" customHeight="1">
      <c r="A746" s="32" t="s">
        <v>4612</v>
      </c>
      <c r="B746" s="32" t="s">
        <v>4613</v>
      </c>
      <c r="C746" s="32" t="s">
        <v>2286</v>
      </c>
      <c r="D746" s="32" t="s">
        <v>4691</v>
      </c>
      <c r="E746" s="32" t="s">
        <v>4615</v>
      </c>
      <c r="F746" s="4" t="s">
        <v>4616</v>
      </c>
      <c r="G746" s="4" t="s">
        <v>4692</v>
      </c>
      <c r="K746" s="18"/>
      <c r="L746" s="20"/>
      <c r="M746" s="20"/>
      <c r="N746" s="20"/>
      <c r="O746" s="20"/>
      <c r="P746" s="20"/>
      <c r="Q746" s="20"/>
      <c r="R746" s="20"/>
      <c r="S746" s="20"/>
      <c r="T746" s="20"/>
      <c r="U746" s="20"/>
      <c r="AF746" s="11" t="str">
        <f t="shared" si="610"/>
        <v/>
      </c>
      <c r="AG746" s="11" t="str">
        <f t="shared" ref="AG746:AO746" si="682">if(not(isblank(M746)),", "&amp;M746,"")</f>
        <v/>
      </c>
      <c r="AH746" s="11" t="str">
        <f t="shared" si="682"/>
        <v/>
      </c>
      <c r="AI746" s="11" t="str">
        <f t="shared" si="682"/>
        <v/>
      </c>
      <c r="AJ746" s="11" t="str">
        <f t="shared" si="682"/>
        <v/>
      </c>
      <c r="AK746" s="11" t="str">
        <f t="shared" si="682"/>
        <v/>
      </c>
      <c r="AL746" s="11" t="str">
        <f t="shared" si="682"/>
        <v/>
      </c>
      <c r="AM746" s="11" t="str">
        <f t="shared" si="682"/>
        <v/>
      </c>
      <c r="AN746" s="11" t="str">
        <f t="shared" si="682"/>
        <v/>
      </c>
      <c r="AO746" s="11" t="str">
        <f t="shared" si="682"/>
        <v/>
      </c>
      <c r="AP746" s="21" t="str">
        <f t="shared" si="612"/>
        <v>w796-black, w796-rose-charcoal, rose-navy, rose-old-rose, rose-raspberry, w796-wine</v>
      </c>
    </row>
    <row r="747" ht="16.5" customHeight="1">
      <c r="A747" s="32" t="s">
        <v>4612</v>
      </c>
      <c r="B747" s="32" t="s">
        <v>4613</v>
      </c>
      <c r="C747" s="32" t="s">
        <v>4031</v>
      </c>
      <c r="D747" s="32" t="s">
        <v>4693</v>
      </c>
      <c r="E747" s="32" t="s">
        <v>4694</v>
      </c>
      <c r="F747" s="4" t="s">
        <v>4695</v>
      </c>
      <c r="G747" s="4" t="s">
        <v>4696</v>
      </c>
      <c r="K747" s="18"/>
      <c r="L747" s="20"/>
      <c r="M747" s="20"/>
      <c r="N747" s="20"/>
      <c r="O747" s="20"/>
      <c r="P747" s="20"/>
      <c r="Q747" s="20"/>
      <c r="R747" s="20"/>
      <c r="S747" s="20"/>
      <c r="T747" s="20"/>
      <c r="U747" s="20"/>
      <c r="AF747" s="11" t="str">
        <f t="shared" si="610"/>
        <v/>
      </c>
      <c r="AG747" s="11" t="str">
        <f t="shared" ref="AG747:AO747" si="683">if(not(isblank(M747)),", "&amp;M747,"")</f>
        <v/>
      </c>
      <c r="AH747" s="11" t="str">
        <f t="shared" si="683"/>
        <v/>
      </c>
      <c r="AI747" s="11" t="str">
        <f t="shared" si="683"/>
        <v/>
      </c>
      <c r="AJ747" s="11" t="str">
        <f t="shared" si="683"/>
        <v/>
      </c>
      <c r="AK747" s="11" t="str">
        <f t="shared" si="683"/>
        <v/>
      </c>
      <c r="AL747" s="11" t="str">
        <f t="shared" si="683"/>
        <v/>
      </c>
      <c r="AM747" s="11" t="str">
        <f t="shared" si="683"/>
        <v/>
      </c>
      <c r="AN747" s="11" t="str">
        <f t="shared" si="683"/>
        <v/>
      </c>
      <c r="AO747" s="11" t="str">
        <f t="shared" si="683"/>
        <v/>
      </c>
      <c r="AP747" s="21" t="str">
        <f t="shared" si="612"/>
        <v>yq1038-robin-light-grey, yq1038-robin-sand</v>
      </c>
    </row>
    <row r="748" ht="16.5" customHeight="1">
      <c r="A748" s="32" t="s">
        <v>4612</v>
      </c>
      <c r="B748" s="32" t="s">
        <v>4613</v>
      </c>
      <c r="C748" s="32" t="s">
        <v>4032</v>
      </c>
      <c r="D748" s="32" t="s">
        <v>4697</v>
      </c>
      <c r="E748" s="32" t="s">
        <v>4694</v>
      </c>
      <c r="F748" s="4" t="s">
        <v>4695</v>
      </c>
      <c r="G748" s="4" t="s">
        <v>4698</v>
      </c>
      <c r="K748" s="18"/>
      <c r="L748" s="20"/>
      <c r="M748" s="20"/>
      <c r="N748" s="20"/>
      <c r="O748" s="20"/>
      <c r="P748" s="20"/>
      <c r="Q748" s="20"/>
      <c r="R748" s="20"/>
      <c r="S748" s="20"/>
      <c r="T748" s="20"/>
      <c r="U748" s="20"/>
      <c r="AF748" s="11" t="str">
        <f t="shared" si="610"/>
        <v/>
      </c>
      <c r="AG748" s="11" t="str">
        <f t="shared" ref="AG748:AO748" si="684">if(not(isblank(M748)),", "&amp;M748,"")</f>
        <v/>
      </c>
      <c r="AH748" s="11" t="str">
        <f t="shared" si="684"/>
        <v/>
      </c>
      <c r="AI748" s="11" t="str">
        <f t="shared" si="684"/>
        <v/>
      </c>
      <c r="AJ748" s="11" t="str">
        <f t="shared" si="684"/>
        <v/>
      </c>
      <c r="AK748" s="11" t="str">
        <f t="shared" si="684"/>
        <v/>
      </c>
      <c r="AL748" s="11" t="str">
        <f t="shared" si="684"/>
        <v/>
      </c>
      <c r="AM748" s="11" t="str">
        <f t="shared" si="684"/>
        <v/>
      </c>
      <c r="AN748" s="11" t="str">
        <f t="shared" si="684"/>
        <v/>
      </c>
      <c r="AO748" s="11" t="str">
        <f t="shared" si="684"/>
        <v/>
      </c>
      <c r="AP748" s="21" t="str">
        <f t="shared" si="612"/>
        <v>yq1038-robin-cream, yq1038-robin-sand</v>
      </c>
    </row>
    <row r="749" ht="16.5" customHeight="1">
      <c r="A749" s="32" t="s">
        <v>4612</v>
      </c>
      <c r="B749" s="32" t="s">
        <v>4613</v>
      </c>
      <c r="C749" s="32" t="s">
        <v>4436</v>
      </c>
      <c r="D749" s="32" t="s">
        <v>4699</v>
      </c>
      <c r="E749" s="32" t="s">
        <v>4694</v>
      </c>
      <c r="F749" s="4" t="s">
        <v>4695</v>
      </c>
      <c r="G749" s="4" t="s">
        <v>4700</v>
      </c>
      <c r="K749" s="18"/>
      <c r="L749" s="20"/>
      <c r="M749" s="20"/>
      <c r="N749" s="20"/>
      <c r="O749" s="20"/>
      <c r="P749" s="20"/>
      <c r="Q749" s="20"/>
      <c r="R749" s="20"/>
      <c r="S749" s="20"/>
      <c r="T749" s="20"/>
      <c r="U749" s="20"/>
      <c r="AF749" s="11" t="str">
        <f t="shared" si="610"/>
        <v/>
      </c>
      <c r="AG749" s="11" t="str">
        <f t="shared" ref="AG749:AO749" si="685">if(not(isblank(M749)),", "&amp;M749,"")</f>
        <v/>
      </c>
      <c r="AH749" s="11" t="str">
        <f t="shared" si="685"/>
        <v/>
      </c>
      <c r="AI749" s="11" t="str">
        <f t="shared" si="685"/>
        <v/>
      </c>
      <c r="AJ749" s="11" t="str">
        <f t="shared" si="685"/>
        <v/>
      </c>
      <c r="AK749" s="11" t="str">
        <f t="shared" si="685"/>
        <v/>
      </c>
      <c r="AL749" s="11" t="str">
        <f t="shared" si="685"/>
        <v/>
      </c>
      <c r="AM749" s="11" t="str">
        <f t="shared" si="685"/>
        <v/>
      </c>
      <c r="AN749" s="11" t="str">
        <f t="shared" si="685"/>
        <v/>
      </c>
      <c r="AO749" s="11" t="str">
        <f t="shared" si="685"/>
        <v/>
      </c>
      <c r="AP749" s="21" t="str">
        <f t="shared" si="612"/>
        <v>yq1038-robin-cream, yq1038-robin-light-grey</v>
      </c>
    </row>
    <row r="750" ht="16.5" customHeight="1">
      <c r="A750" s="32" t="s">
        <v>4612</v>
      </c>
      <c r="B750" s="32" t="s">
        <v>2206</v>
      </c>
      <c r="C750" s="32" t="s">
        <v>4385</v>
      </c>
      <c r="D750" s="32" t="s">
        <v>4701</v>
      </c>
      <c r="E750" s="32" t="s">
        <v>4702</v>
      </c>
      <c r="F750" s="4" t="s">
        <v>4703</v>
      </c>
      <c r="G750" s="4" t="s">
        <v>4704</v>
      </c>
      <c r="K750" s="18"/>
      <c r="L750" s="20"/>
      <c r="M750" s="20"/>
      <c r="N750" s="20"/>
      <c r="O750" s="20"/>
      <c r="P750" s="20"/>
      <c r="Q750" s="20"/>
      <c r="R750" s="20"/>
      <c r="S750" s="20"/>
      <c r="T750" s="20"/>
      <c r="U750" s="20"/>
      <c r="AF750" s="11" t="str">
        <f t="shared" si="610"/>
        <v/>
      </c>
      <c r="AG750" s="11" t="str">
        <f t="shared" ref="AG750:AO750" si="686">if(not(isblank(M750)),", "&amp;M750,"")</f>
        <v/>
      </c>
      <c r="AH750" s="11" t="str">
        <f t="shared" si="686"/>
        <v/>
      </c>
      <c r="AI750" s="11" t="str">
        <f t="shared" si="686"/>
        <v/>
      </c>
      <c r="AJ750" s="11" t="str">
        <f t="shared" si="686"/>
        <v/>
      </c>
      <c r="AK750" s="11" t="str">
        <f t="shared" si="686"/>
        <v/>
      </c>
      <c r="AL750" s="11" t="str">
        <f t="shared" si="686"/>
        <v/>
      </c>
      <c r="AM750" s="11" t="str">
        <f t="shared" si="686"/>
        <v/>
      </c>
      <c r="AN750" s="11" t="str">
        <f t="shared" si="686"/>
        <v/>
      </c>
      <c r="AO750" s="11" t="str">
        <f t="shared" si="686"/>
        <v/>
      </c>
      <c r="AP750" s="21" t="str">
        <f t="shared" si="612"/>
        <v>ys1026-fellcroft-navy-fleck, ys1026-fellcroft-maroon-fleck</v>
      </c>
    </row>
    <row r="751" ht="16.5" customHeight="1">
      <c r="A751" s="32" t="s">
        <v>4612</v>
      </c>
      <c r="B751" s="32" t="s">
        <v>2206</v>
      </c>
      <c r="C751" s="32" t="s">
        <v>4382</v>
      </c>
      <c r="D751" s="32" t="s">
        <v>4705</v>
      </c>
      <c r="E751" s="32" t="s">
        <v>4702</v>
      </c>
      <c r="F751" s="4" t="s">
        <v>4703</v>
      </c>
      <c r="G751" s="4" t="s">
        <v>4706</v>
      </c>
      <c r="K751" s="18"/>
      <c r="L751" s="20"/>
      <c r="M751" s="20"/>
      <c r="N751" s="20"/>
      <c r="O751" s="20"/>
      <c r="P751" s="20"/>
      <c r="Q751" s="20"/>
      <c r="R751" s="20"/>
      <c r="S751" s="20"/>
      <c r="T751" s="20"/>
      <c r="U751" s="20"/>
      <c r="AF751" s="11" t="str">
        <f t="shared" si="610"/>
        <v/>
      </c>
      <c r="AG751" s="11" t="str">
        <f t="shared" ref="AG751:AO751" si="687">if(not(isblank(M751)),", "&amp;M751,"")</f>
        <v/>
      </c>
      <c r="AH751" s="11" t="str">
        <f t="shared" si="687"/>
        <v/>
      </c>
      <c r="AI751" s="11" t="str">
        <f t="shared" si="687"/>
        <v/>
      </c>
      <c r="AJ751" s="11" t="str">
        <f t="shared" si="687"/>
        <v/>
      </c>
      <c r="AK751" s="11" t="str">
        <f t="shared" si="687"/>
        <v/>
      </c>
      <c r="AL751" s="11" t="str">
        <f t="shared" si="687"/>
        <v/>
      </c>
      <c r="AM751" s="11" t="str">
        <f t="shared" si="687"/>
        <v/>
      </c>
      <c r="AN751" s="11" t="str">
        <f t="shared" si="687"/>
        <v/>
      </c>
      <c r="AO751" s="11" t="str">
        <f t="shared" si="687"/>
        <v/>
      </c>
      <c r="AP751" s="21" t="str">
        <f t="shared" si="612"/>
        <v>ys1026-fellcroft-charcoal-fleck, ys1026-fellcroft-navy-fleck</v>
      </c>
    </row>
    <row r="752" ht="16.5" customHeight="1">
      <c r="A752" s="32" t="s">
        <v>4612</v>
      </c>
      <c r="B752" s="32" t="s">
        <v>2206</v>
      </c>
      <c r="C752" s="32" t="s">
        <v>4381</v>
      </c>
      <c r="D752" s="32" t="s">
        <v>4707</v>
      </c>
      <c r="E752" s="32" t="s">
        <v>4702</v>
      </c>
      <c r="F752" s="4" t="s">
        <v>4703</v>
      </c>
      <c r="G752" s="4" t="s">
        <v>4708</v>
      </c>
      <c r="K752" s="18"/>
      <c r="L752" s="20"/>
      <c r="M752" s="20"/>
      <c r="N752" s="20"/>
      <c r="O752" s="20"/>
      <c r="P752" s="20"/>
      <c r="Q752" s="20"/>
      <c r="R752" s="20"/>
      <c r="S752" s="20"/>
      <c r="T752" s="20"/>
      <c r="U752" s="20"/>
      <c r="AF752" s="11" t="str">
        <f t="shared" si="610"/>
        <v/>
      </c>
      <c r="AG752" s="11" t="str">
        <f t="shared" ref="AG752:AO752" si="688">if(not(isblank(M752)),", "&amp;M752,"")</f>
        <v/>
      </c>
      <c r="AH752" s="11" t="str">
        <f t="shared" si="688"/>
        <v/>
      </c>
      <c r="AI752" s="11" t="str">
        <f t="shared" si="688"/>
        <v/>
      </c>
      <c r="AJ752" s="11" t="str">
        <f t="shared" si="688"/>
        <v/>
      </c>
      <c r="AK752" s="11" t="str">
        <f t="shared" si="688"/>
        <v/>
      </c>
      <c r="AL752" s="11" t="str">
        <f t="shared" si="688"/>
        <v/>
      </c>
      <c r="AM752" s="11" t="str">
        <f t="shared" si="688"/>
        <v/>
      </c>
      <c r="AN752" s="11" t="str">
        <f t="shared" si="688"/>
        <v/>
      </c>
      <c r="AO752" s="11" t="str">
        <f t="shared" si="688"/>
        <v/>
      </c>
      <c r="AP752" s="21" t="str">
        <f t="shared" si="612"/>
        <v>ys1026-fellcroft-charcoal-fleck, ys1026-fellcroft-maroon-fleck</v>
      </c>
    </row>
    <row r="753" ht="16.5" customHeight="1">
      <c r="A753" s="32" t="s">
        <v>4612</v>
      </c>
      <c r="B753" s="32" t="s">
        <v>2206</v>
      </c>
      <c r="C753" s="32" t="s">
        <v>4709</v>
      </c>
      <c r="D753" s="32" t="s">
        <v>4710</v>
      </c>
      <c r="E753" s="32" t="s">
        <v>4711</v>
      </c>
      <c r="F753" s="4" t="s">
        <v>4695</v>
      </c>
      <c r="G753" s="4" t="s">
        <v>4712</v>
      </c>
      <c r="K753" s="18"/>
      <c r="L753" s="20"/>
      <c r="M753" s="20"/>
      <c r="N753" s="20"/>
      <c r="O753" s="20"/>
      <c r="P753" s="20"/>
      <c r="Q753" s="20"/>
      <c r="R753" s="20"/>
      <c r="S753" s="20"/>
      <c r="T753" s="20"/>
      <c r="U753" s="20"/>
      <c r="AF753" s="11" t="str">
        <f t="shared" si="610"/>
        <v/>
      </c>
      <c r="AG753" s="11" t="str">
        <f t="shared" ref="AG753:AO753" si="689">if(not(isblank(M753)),", "&amp;M753,"")</f>
        <v/>
      </c>
      <c r="AH753" s="11" t="str">
        <f t="shared" si="689"/>
        <v/>
      </c>
      <c r="AI753" s="11" t="str">
        <f t="shared" si="689"/>
        <v/>
      </c>
      <c r="AJ753" s="11" t="str">
        <f t="shared" si="689"/>
        <v/>
      </c>
      <c r="AK753" s="11" t="str">
        <f t="shared" si="689"/>
        <v/>
      </c>
      <c r="AL753" s="11" t="str">
        <f t="shared" si="689"/>
        <v/>
      </c>
      <c r="AM753" s="11" t="str">
        <f t="shared" si="689"/>
        <v/>
      </c>
      <c r="AN753" s="11" t="str">
        <f t="shared" si="689"/>
        <v/>
      </c>
      <c r="AO753" s="11" t="str">
        <f t="shared" si="689"/>
        <v/>
      </c>
      <c r="AP753" s="21" t="str">
        <f t="shared" si="612"/>
        <v>ys1038-robin-navy, ys1038-robin-charcoal</v>
      </c>
    </row>
    <row r="754" ht="16.5" customHeight="1">
      <c r="A754" s="32" t="s">
        <v>4612</v>
      </c>
      <c r="B754" s="32" t="s">
        <v>2206</v>
      </c>
      <c r="C754" s="32" t="s">
        <v>4394</v>
      </c>
      <c r="D754" s="32" t="s">
        <v>4713</v>
      </c>
      <c r="E754" s="32" t="s">
        <v>4711</v>
      </c>
      <c r="F754" s="4" t="s">
        <v>4695</v>
      </c>
      <c r="G754" s="4" t="s">
        <v>4714</v>
      </c>
      <c r="K754" s="18"/>
      <c r="L754" s="20"/>
      <c r="M754" s="20"/>
      <c r="N754" s="20"/>
      <c r="O754" s="20"/>
      <c r="P754" s="20"/>
      <c r="Q754" s="20"/>
      <c r="R754" s="20"/>
      <c r="S754" s="20"/>
      <c r="T754" s="20"/>
      <c r="U754" s="20"/>
      <c r="AF754" s="11" t="str">
        <f t="shared" si="610"/>
        <v/>
      </c>
      <c r="AG754" s="11" t="str">
        <f t="shared" ref="AG754:AO754" si="690">if(not(isblank(M754)),", "&amp;M754,"")</f>
        <v/>
      </c>
      <c r="AH754" s="11" t="str">
        <f t="shared" si="690"/>
        <v/>
      </c>
      <c r="AI754" s="11" t="str">
        <f t="shared" si="690"/>
        <v/>
      </c>
      <c r="AJ754" s="11" t="str">
        <f t="shared" si="690"/>
        <v/>
      </c>
      <c r="AK754" s="11" t="str">
        <f t="shared" si="690"/>
        <v/>
      </c>
      <c r="AL754" s="11" t="str">
        <f t="shared" si="690"/>
        <v/>
      </c>
      <c r="AM754" s="11" t="str">
        <f t="shared" si="690"/>
        <v/>
      </c>
      <c r="AN754" s="11" t="str">
        <f t="shared" si="690"/>
        <v/>
      </c>
      <c r="AO754" s="11" t="str">
        <f t="shared" si="690"/>
        <v/>
      </c>
      <c r="AP754" s="21" t="str">
        <f t="shared" si="612"/>
        <v>ys1038-robin-navy, ys1038-robin-burgundy</v>
      </c>
    </row>
    <row r="755" ht="16.5" customHeight="1">
      <c r="A755" s="32" t="s">
        <v>4612</v>
      </c>
      <c r="B755" s="32" t="s">
        <v>2206</v>
      </c>
      <c r="C755" s="32" t="s">
        <v>4393</v>
      </c>
      <c r="D755" s="32" t="s">
        <v>4715</v>
      </c>
      <c r="E755" s="32" t="s">
        <v>4711</v>
      </c>
      <c r="F755" s="4" t="s">
        <v>4695</v>
      </c>
      <c r="G755" s="4" t="s">
        <v>4716</v>
      </c>
      <c r="K755" s="18"/>
      <c r="L755" s="20"/>
      <c r="M755" s="20"/>
      <c r="N755" s="20"/>
      <c r="O755" s="20"/>
      <c r="P755" s="20"/>
      <c r="Q755" s="20"/>
      <c r="R755" s="20"/>
      <c r="S755" s="20"/>
      <c r="T755" s="20"/>
      <c r="U755" s="20"/>
      <c r="AF755" s="11" t="str">
        <f t="shared" si="610"/>
        <v/>
      </c>
      <c r="AG755" s="11" t="str">
        <f t="shared" ref="AG755:AO755" si="691">if(not(isblank(M755)),", "&amp;M755,"")</f>
        <v/>
      </c>
      <c r="AH755" s="11" t="str">
        <f t="shared" si="691"/>
        <v/>
      </c>
      <c r="AI755" s="11" t="str">
        <f t="shared" si="691"/>
        <v/>
      </c>
      <c r="AJ755" s="11" t="str">
        <f t="shared" si="691"/>
        <v/>
      </c>
      <c r="AK755" s="11" t="str">
        <f t="shared" si="691"/>
        <v/>
      </c>
      <c r="AL755" s="11" t="str">
        <f t="shared" si="691"/>
        <v/>
      </c>
      <c r="AM755" s="11" t="str">
        <f t="shared" si="691"/>
        <v/>
      </c>
      <c r="AN755" s="11" t="str">
        <f t="shared" si="691"/>
        <v/>
      </c>
      <c r="AO755" s="11" t="str">
        <f t="shared" si="691"/>
        <v/>
      </c>
      <c r="AP755" s="21" t="str">
        <f t="shared" si="612"/>
        <v>ys1038-robin-charcoal, ys1038-robin-burgundy</v>
      </c>
    </row>
    <row r="756" ht="16.5" customHeight="1">
      <c r="A756" s="32" t="s">
        <v>4612</v>
      </c>
      <c r="B756" s="32" t="s">
        <v>4613</v>
      </c>
      <c r="C756" s="32" t="s">
        <v>3415</v>
      </c>
      <c r="D756" s="32" t="s">
        <v>4717</v>
      </c>
      <c r="E756" s="32" t="s">
        <v>4680</v>
      </c>
      <c r="F756" s="4" t="s">
        <v>4681</v>
      </c>
      <c r="G756" s="4" t="s">
        <v>4004</v>
      </c>
      <c r="H756" s="4"/>
      <c r="K756" s="18"/>
      <c r="L756" s="20"/>
      <c r="M756" s="20"/>
      <c r="N756" s="20"/>
      <c r="O756" s="20"/>
      <c r="P756" s="20"/>
      <c r="Q756" s="20"/>
      <c r="R756" s="20"/>
      <c r="S756" s="20"/>
      <c r="T756" s="20"/>
      <c r="U756" s="20"/>
      <c r="AP756" s="21"/>
    </row>
    <row r="757" ht="16.5" customHeight="1">
      <c r="A757" s="32" t="s">
        <v>4612</v>
      </c>
      <c r="B757" s="32" t="s">
        <v>4613</v>
      </c>
      <c r="C757" s="32" t="s">
        <v>2285</v>
      </c>
      <c r="D757" s="32" t="s">
        <v>4718</v>
      </c>
      <c r="E757" s="32" t="s">
        <v>4615</v>
      </c>
      <c r="F757" s="4" t="s">
        <v>4616</v>
      </c>
      <c r="G757" s="4" t="s">
        <v>4719</v>
      </c>
      <c r="K757" s="18"/>
      <c r="L757" s="20"/>
      <c r="M757" s="20"/>
      <c r="N757" s="20"/>
      <c r="O757" s="20"/>
      <c r="P757" s="20"/>
      <c r="Q757" s="20"/>
      <c r="R757" s="20"/>
      <c r="S757" s="20"/>
      <c r="T757" s="20"/>
      <c r="U757" s="20"/>
      <c r="AP757" s="21"/>
    </row>
    <row r="758" ht="16.5" customHeight="1">
      <c r="A758" s="32" t="s">
        <v>4720</v>
      </c>
      <c r="B758" s="32" t="s">
        <v>2594</v>
      </c>
      <c r="C758" s="32" t="s">
        <v>4721</v>
      </c>
      <c r="D758" s="32" t="s">
        <v>4722</v>
      </c>
      <c r="E758" s="32" t="s">
        <v>4723</v>
      </c>
      <c r="F758" s="4" t="s">
        <v>4724</v>
      </c>
      <c r="G758" s="4" t="s">
        <v>4725</v>
      </c>
      <c r="K758" s="18"/>
      <c r="L758" s="20"/>
      <c r="M758" s="20"/>
      <c r="N758" s="20"/>
      <c r="O758" s="20"/>
      <c r="P758" s="20"/>
      <c r="Q758" s="20"/>
      <c r="R758" s="20"/>
      <c r="S758" s="20"/>
      <c r="T758" s="20"/>
      <c r="U758" s="20"/>
      <c r="AF758" s="11" t="str">
        <f t="shared" ref="AF758:AF786" si="693">if(not(isblank(L758)),L758,"")</f>
        <v/>
      </c>
      <c r="AG758" s="11" t="str">
        <f t="shared" ref="AG758:AO758" si="692">if(not(isblank(M758)),", "&amp;M758,"")</f>
        <v/>
      </c>
      <c r="AH758" s="11" t="str">
        <f t="shared" si="692"/>
        <v/>
      </c>
      <c r="AI758" s="11" t="str">
        <f t="shared" si="692"/>
        <v/>
      </c>
      <c r="AJ758" s="11" t="str">
        <f t="shared" si="692"/>
        <v/>
      </c>
      <c r="AK758" s="11" t="str">
        <f t="shared" si="692"/>
        <v/>
      </c>
      <c r="AL758" s="11" t="str">
        <f t="shared" si="692"/>
        <v/>
      </c>
      <c r="AM758" s="11" t="str">
        <f t="shared" si="692"/>
        <v/>
      </c>
      <c r="AN758" s="11" t="str">
        <f t="shared" si="692"/>
        <v/>
      </c>
      <c r="AO758" s="11" t="str">
        <f t="shared" si="692"/>
        <v/>
      </c>
      <c r="AP758" s="21" t="str">
        <f t="shared" ref="AP758:AP786" si="695">if(isblank(L758),G758,AF758&amp;AG758&amp;AH758&amp;AI758&amp;AJ758&amp;AK758&amp;AL758&amp;AM758&amp;AN758&amp;AO758)</f>
        <v>michael-marron, micka-velours-whiskey</v>
      </c>
    </row>
    <row r="759" ht="16.5" customHeight="1">
      <c r="A759" s="32" t="s">
        <v>4720</v>
      </c>
      <c r="B759" s="32" t="s">
        <v>2594</v>
      </c>
      <c r="C759" s="32" t="s">
        <v>4726</v>
      </c>
      <c r="D759" s="32" t="s">
        <v>4727</v>
      </c>
      <c r="E759" s="32" t="s">
        <v>4723</v>
      </c>
      <c r="F759" s="4" t="s">
        <v>4728</v>
      </c>
      <c r="G759" s="4" t="s">
        <v>4729</v>
      </c>
      <c r="H759" s="4"/>
      <c r="K759" s="18"/>
      <c r="L759" s="20"/>
      <c r="M759" s="20"/>
      <c r="N759" s="20"/>
      <c r="O759" s="20"/>
      <c r="P759" s="20"/>
      <c r="Q759" s="20"/>
      <c r="R759" s="20"/>
      <c r="S759" s="20"/>
      <c r="T759" s="20"/>
      <c r="U759" s="20"/>
      <c r="AF759" s="11" t="str">
        <f t="shared" si="693"/>
        <v/>
      </c>
      <c r="AG759" s="11" t="str">
        <f t="shared" ref="AG759:AO759" si="694">if(not(isblank(M759)),", "&amp;M759,"")</f>
        <v/>
      </c>
      <c r="AH759" s="11" t="str">
        <f t="shared" si="694"/>
        <v/>
      </c>
      <c r="AI759" s="11" t="str">
        <f t="shared" si="694"/>
        <v/>
      </c>
      <c r="AJ759" s="11" t="str">
        <f t="shared" si="694"/>
        <v/>
      </c>
      <c r="AK759" s="11" t="str">
        <f t="shared" si="694"/>
        <v/>
      </c>
      <c r="AL759" s="11" t="str">
        <f t="shared" si="694"/>
        <v/>
      </c>
      <c r="AM759" s="11" t="str">
        <f t="shared" si="694"/>
        <v/>
      </c>
      <c r="AN759" s="11" t="str">
        <f t="shared" si="694"/>
        <v/>
      </c>
      <c r="AO759" s="11" t="str">
        <f t="shared" si="694"/>
        <v/>
      </c>
      <c r="AP759" s="21" t="str">
        <f t="shared" si="695"/>
        <v>michael-noir, micka-velours-whiskey</v>
      </c>
    </row>
    <row r="760" ht="16.5" customHeight="1">
      <c r="A760" s="32" t="s">
        <v>4720</v>
      </c>
      <c r="B760" s="32" t="s">
        <v>2624</v>
      </c>
      <c r="C760" s="32" t="s">
        <v>4730</v>
      </c>
      <c r="D760" s="32" t="s">
        <v>4731</v>
      </c>
      <c r="E760" s="32" t="s">
        <v>4732</v>
      </c>
      <c r="F760" s="4" t="s">
        <v>4733</v>
      </c>
      <c r="G760" s="4" t="s">
        <v>4734</v>
      </c>
      <c r="K760" s="18"/>
      <c r="L760" s="20"/>
      <c r="M760" s="20"/>
      <c r="N760" s="20"/>
      <c r="O760" s="20"/>
      <c r="P760" s="20"/>
      <c r="Q760" s="20"/>
      <c r="R760" s="20"/>
      <c r="S760" s="20"/>
      <c r="T760" s="20"/>
      <c r="U760" s="20"/>
      <c r="AF760" s="11" t="str">
        <f t="shared" si="693"/>
        <v/>
      </c>
      <c r="AG760" s="11" t="str">
        <f t="shared" ref="AG760:AO760" si="696">if(not(isblank(M760)),", "&amp;M760,"")</f>
        <v/>
      </c>
      <c r="AH760" s="11" t="str">
        <f t="shared" si="696"/>
        <v/>
      </c>
      <c r="AI760" s="11" t="str">
        <f t="shared" si="696"/>
        <v/>
      </c>
      <c r="AJ760" s="11" t="str">
        <f t="shared" si="696"/>
        <v/>
      </c>
      <c r="AK760" s="11" t="str">
        <f t="shared" si="696"/>
        <v/>
      </c>
      <c r="AL760" s="11" t="str">
        <f t="shared" si="696"/>
        <v/>
      </c>
      <c r="AM760" s="11" t="str">
        <f t="shared" si="696"/>
        <v/>
      </c>
      <c r="AN760" s="11" t="str">
        <f t="shared" si="696"/>
        <v/>
      </c>
      <c r="AO760" s="11" t="str">
        <f t="shared" si="696"/>
        <v/>
      </c>
      <c r="AP760" s="21" t="str">
        <f t="shared" si="695"/>
        <v>michael-femme-lis-marron, mirabelle-velours-gres</v>
      </c>
    </row>
    <row r="761" ht="16.5" customHeight="1">
      <c r="A761" s="32" t="s">
        <v>4720</v>
      </c>
      <c r="B761" s="32" t="s">
        <v>2663</v>
      </c>
      <c r="C761" s="32" t="s">
        <v>4735</v>
      </c>
      <c r="D761" s="32" t="s">
        <v>4736</v>
      </c>
      <c r="E761" s="32" t="s">
        <v>4737</v>
      </c>
      <c r="F761" s="4" t="s">
        <v>4738</v>
      </c>
      <c r="G761" s="4" t="s">
        <v>4739</v>
      </c>
      <c r="H761" s="4"/>
      <c r="K761" s="18"/>
      <c r="L761" s="20"/>
      <c r="M761" s="20"/>
      <c r="N761" s="20"/>
      <c r="O761" s="20"/>
      <c r="P761" s="20"/>
      <c r="Q761" s="20"/>
      <c r="R761" s="20"/>
      <c r="S761" s="20"/>
      <c r="T761" s="20"/>
      <c r="U761" s="20"/>
      <c r="AF761" s="11" t="str">
        <f t="shared" si="693"/>
        <v/>
      </c>
      <c r="AG761" s="11" t="str">
        <f t="shared" ref="AG761:AO761" si="697">if(not(isblank(M761)),", "&amp;M761,"")</f>
        <v/>
      </c>
      <c r="AH761" s="11" t="str">
        <f t="shared" si="697"/>
        <v/>
      </c>
      <c r="AI761" s="11" t="str">
        <f t="shared" si="697"/>
        <v/>
      </c>
      <c r="AJ761" s="11" t="str">
        <f t="shared" si="697"/>
        <v/>
      </c>
      <c r="AK761" s="11" t="str">
        <f t="shared" si="697"/>
        <v/>
      </c>
      <c r="AL761" s="11" t="str">
        <f t="shared" si="697"/>
        <v/>
      </c>
      <c r="AM761" s="11" t="str">
        <f t="shared" si="697"/>
        <v/>
      </c>
      <c r="AN761" s="11" t="str">
        <f t="shared" si="697"/>
        <v/>
      </c>
      <c r="AO761" s="11" t="str">
        <f t="shared" si="697"/>
        <v/>
      </c>
      <c r="AP761" s="21" t="str">
        <f t="shared" si="695"/>
        <v>avoriaz-lis-noir</v>
      </c>
    </row>
    <row r="762" ht="16.5" customHeight="1">
      <c r="A762" s="32" t="s">
        <v>4720</v>
      </c>
      <c r="B762" s="32" t="s">
        <v>2624</v>
      </c>
      <c r="C762" s="32" t="s">
        <v>4740</v>
      </c>
      <c r="D762" s="32" t="s">
        <v>4741</v>
      </c>
      <c r="E762" s="32" t="s">
        <v>4742</v>
      </c>
      <c r="F762" s="4" t="s">
        <v>4743</v>
      </c>
      <c r="G762" s="4"/>
      <c r="H762" s="4"/>
      <c r="K762" s="18"/>
      <c r="L762" s="20"/>
      <c r="M762" s="20"/>
      <c r="N762" s="20"/>
      <c r="O762" s="20"/>
      <c r="P762" s="20"/>
      <c r="Q762" s="20"/>
      <c r="R762" s="20"/>
      <c r="S762" s="20"/>
      <c r="T762" s="20"/>
      <c r="U762" s="20"/>
      <c r="AF762" s="11" t="str">
        <f t="shared" si="693"/>
        <v/>
      </c>
      <c r="AG762" s="11" t="str">
        <f t="shared" ref="AG762:AO762" si="698">if(not(isblank(M762)),", "&amp;M762,"")</f>
        <v/>
      </c>
      <c r="AH762" s="11" t="str">
        <f t="shared" si="698"/>
        <v/>
      </c>
      <c r="AI762" s="11" t="str">
        <f t="shared" si="698"/>
        <v/>
      </c>
      <c r="AJ762" s="11" t="str">
        <f t="shared" si="698"/>
        <v/>
      </c>
      <c r="AK762" s="11" t="str">
        <f t="shared" si="698"/>
        <v/>
      </c>
      <c r="AL762" s="11" t="str">
        <f t="shared" si="698"/>
        <v/>
      </c>
      <c r="AM762" s="11" t="str">
        <f t="shared" si="698"/>
        <v/>
      </c>
      <c r="AN762" s="11" t="str">
        <f t="shared" si="698"/>
        <v/>
      </c>
      <c r="AO762" s="11" t="str">
        <f t="shared" si="698"/>
        <v/>
      </c>
      <c r="AP762" s="21" t="str">
        <f t="shared" si="695"/>
        <v/>
      </c>
    </row>
    <row r="763" ht="16.5" customHeight="1">
      <c r="A763" s="32" t="s">
        <v>4720</v>
      </c>
      <c r="B763" s="32" t="s">
        <v>2594</v>
      </c>
      <c r="C763" s="32" t="s">
        <v>4744</v>
      </c>
      <c r="D763" s="32" t="s">
        <v>4745</v>
      </c>
      <c r="E763" s="32" t="s">
        <v>4746</v>
      </c>
      <c r="F763" s="4" t="s">
        <v>4747</v>
      </c>
      <c r="G763" s="4"/>
      <c r="H763" s="4"/>
      <c r="K763" s="18"/>
      <c r="L763" s="20"/>
      <c r="M763" s="20"/>
      <c r="N763" s="20"/>
      <c r="O763" s="20"/>
      <c r="P763" s="20"/>
      <c r="Q763" s="20"/>
      <c r="R763" s="20"/>
      <c r="S763" s="20"/>
      <c r="T763" s="20"/>
      <c r="U763" s="20"/>
      <c r="AF763" s="11" t="str">
        <f t="shared" si="693"/>
        <v/>
      </c>
      <c r="AG763" s="11" t="str">
        <f t="shared" ref="AG763:AO763" si="699">if(not(isblank(M763)),", "&amp;M763,"")</f>
        <v/>
      </c>
      <c r="AH763" s="11" t="str">
        <f t="shared" si="699"/>
        <v/>
      </c>
      <c r="AI763" s="11" t="str">
        <f t="shared" si="699"/>
        <v/>
      </c>
      <c r="AJ763" s="11" t="str">
        <f t="shared" si="699"/>
        <v/>
      </c>
      <c r="AK763" s="11" t="str">
        <f t="shared" si="699"/>
        <v/>
      </c>
      <c r="AL763" s="11" t="str">
        <f t="shared" si="699"/>
        <v/>
      </c>
      <c r="AM763" s="11" t="str">
        <f t="shared" si="699"/>
        <v/>
      </c>
      <c r="AN763" s="11" t="str">
        <f t="shared" si="699"/>
        <v/>
      </c>
      <c r="AO763" s="11" t="str">
        <f t="shared" si="699"/>
        <v/>
      </c>
      <c r="AP763" s="21" t="str">
        <f t="shared" si="695"/>
        <v/>
      </c>
    </row>
    <row r="764" ht="16.5" customHeight="1">
      <c r="A764" s="32" t="s">
        <v>4720</v>
      </c>
      <c r="B764" s="32" t="s">
        <v>2683</v>
      </c>
      <c r="C764" s="32" t="s">
        <v>4748</v>
      </c>
      <c r="D764" s="32" t="s">
        <v>4749</v>
      </c>
      <c r="E764" s="32" t="s">
        <v>4750</v>
      </c>
      <c r="F764" s="4" t="s">
        <v>4751</v>
      </c>
      <c r="G764" s="4" t="s">
        <v>4752</v>
      </c>
      <c r="H764" s="4"/>
      <c r="K764" s="18"/>
      <c r="L764" s="20"/>
      <c r="M764" s="20"/>
      <c r="N764" s="20"/>
      <c r="O764" s="20"/>
      <c r="P764" s="20"/>
      <c r="Q764" s="20"/>
      <c r="R764" s="20"/>
      <c r="S764" s="20"/>
      <c r="T764" s="20"/>
      <c r="U764" s="20"/>
      <c r="AF764" s="11" t="str">
        <f t="shared" si="693"/>
        <v/>
      </c>
      <c r="AG764" s="11" t="str">
        <f t="shared" ref="AG764:AO764" si="700">if(not(isblank(M764)),", "&amp;M764,"")</f>
        <v/>
      </c>
      <c r="AH764" s="11" t="str">
        <f t="shared" si="700"/>
        <v/>
      </c>
      <c r="AI764" s="11" t="str">
        <f t="shared" si="700"/>
        <v/>
      </c>
      <c r="AJ764" s="11" t="str">
        <f t="shared" si="700"/>
        <v/>
      </c>
      <c r="AK764" s="11" t="str">
        <f t="shared" si="700"/>
        <v/>
      </c>
      <c r="AL764" s="11" t="str">
        <f t="shared" si="700"/>
        <v/>
      </c>
      <c r="AM764" s="11" t="str">
        <f t="shared" si="700"/>
        <v/>
      </c>
      <c r="AN764" s="11" t="str">
        <f t="shared" si="700"/>
        <v/>
      </c>
      <c r="AO764" s="11" t="str">
        <f t="shared" si="700"/>
        <v/>
      </c>
      <c r="AP764" s="21" t="str">
        <f t="shared" si="695"/>
        <v>avoriaz-femme-lis-noir</v>
      </c>
    </row>
    <row r="765" ht="16.5" customHeight="1">
      <c r="A765" s="32" t="s">
        <v>4720</v>
      </c>
      <c r="B765" s="32" t="s">
        <v>2663</v>
      </c>
      <c r="C765" s="32" t="s">
        <v>4739</v>
      </c>
      <c r="D765" s="32" t="s">
        <v>4753</v>
      </c>
      <c r="E765" s="32" t="s">
        <v>4750</v>
      </c>
      <c r="F765" s="4" t="s">
        <v>4754</v>
      </c>
      <c r="G765" s="4" t="s">
        <v>4735</v>
      </c>
      <c r="H765" s="4"/>
      <c r="K765" s="18"/>
      <c r="L765" s="20"/>
      <c r="M765" s="20"/>
      <c r="N765" s="20"/>
      <c r="O765" s="20"/>
      <c r="P765" s="20"/>
      <c r="Q765" s="20"/>
      <c r="R765" s="20"/>
      <c r="S765" s="20"/>
      <c r="T765" s="20"/>
      <c r="U765" s="20"/>
      <c r="AF765" s="11" t="str">
        <f t="shared" si="693"/>
        <v/>
      </c>
      <c r="AG765" s="11" t="str">
        <f t="shared" ref="AG765:AO765" si="701">if(not(isblank(M765)),", "&amp;M765,"")</f>
        <v/>
      </c>
      <c r="AH765" s="11" t="str">
        <f t="shared" si="701"/>
        <v/>
      </c>
      <c r="AI765" s="11" t="str">
        <f t="shared" si="701"/>
        <v/>
      </c>
      <c r="AJ765" s="11" t="str">
        <f t="shared" si="701"/>
        <v/>
      </c>
      <c r="AK765" s="11" t="str">
        <f t="shared" si="701"/>
        <v/>
      </c>
      <c r="AL765" s="11" t="str">
        <f t="shared" si="701"/>
        <v/>
      </c>
      <c r="AM765" s="11" t="str">
        <f t="shared" si="701"/>
        <v/>
      </c>
      <c r="AN765" s="11" t="str">
        <f t="shared" si="701"/>
        <v/>
      </c>
      <c r="AO765" s="11" t="str">
        <f t="shared" si="701"/>
        <v/>
      </c>
      <c r="AP765" s="21" t="str">
        <f t="shared" si="695"/>
        <v>avoriaz-jannu-marron-lis-ecorce</v>
      </c>
    </row>
    <row r="766" ht="16.5" customHeight="1">
      <c r="A766" s="32" t="s">
        <v>4720</v>
      </c>
      <c r="B766" s="32" t="s">
        <v>2683</v>
      </c>
      <c r="C766" s="32" t="s">
        <v>4752</v>
      </c>
      <c r="D766" s="32" t="s">
        <v>4755</v>
      </c>
      <c r="E766" s="32" t="s">
        <v>4750</v>
      </c>
      <c r="F766" s="4" t="s">
        <v>4756</v>
      </c>
      <c r="G766" s="4" t="s">
        <v>4748</v>
      </c>
      <c r="H766" s="4"/>
      <c r="K766" s="18"/>
      <c r="L766" s="20"/>
      <c r="M766" s="20"/>
      <c r="N766" s="20"/>
      <c r="O766" s="20"/>
      <c r="P766" s="20"/>
      <c r="Q766" s="20"/>
      <c r="R766" s="20"/>
      <c r="S766" s="20"/>
      <c r="T766" s="20"/>
      <c r="U766" s="20"/>
      <c r="AF766" s="11" t="str">
        <f t="shared" si="693"/>
        <v/>
      </c>
      <c r="AG766" s="11" t="str">
        <f t="shared" ref="AG766:AO766" si="702">if(not(isblank(M766)),", "&amp;M766,"")</f>
        <v/>
      </c>
      <c r="AH766" s="11" t="str">
        <f t="shared" si="702"/>
        <v/>
      </c>
      <c r="AI766" s="11" t="str">
        <f t="shared" si="702"/>
        <v/>
      </c>
      <c r="AJ766" s="11" t="str">
        <f t="shared" si="702"/>
        <v/>
      </c>
      <c r="AK766" s="11" t="str">
        <f t="shared" si="702"/>
        <v/>
      </c>
      <c r="AL766" s="11" t="str">
        <f t="shared" si="702"/>
        <v/>
      </c>
      <c r="AM766" s="11" t="str">
        <f t="shared" si="702"/>
        <v/>
      </c>
      <c r="AN766" s="11" t="str">
        <f t="shared" si="702"/>
        <v/>
      </c>
      <c r="AO766" s="11" t="str">
        <f t="shared" si="702"/>
        <v/>
      </c>
      <c r="AP766" s="21" t="str">
        <f t="shared" si="695"/>
        <v>avoriaz-femme-lis-ecorce</v>
      </c>
    </row>
    <row r="767" ht="16.5" customHeight="1">
      <c r="A767" s="32" t="s">
        <v>4720</v>
      </c>
      <c r="B767" s="32" t="s">
        <v>4409</v>
      </c>
      <c r="C767" s="32" t="s">
        <v>4757</v>
      </c>
      <c r="D767" s="32" t="s">
        <v>4758</v>
      </c>
      <c r="E767" s="32" t="s">
        <v>4759</v>
      </c>
      <c r="F767" s="4" t="s">
        <v>4760</v>
      </c>
      <c r="G767" s="4" t="s">
        <v>4761</v>
      </c>
      <c r="K767" s="18"/>
      <c r="L767" s="20"/>
      <c r="M767" s="20"/>
      <c r="N767" s="20"/>
      <c r="O767" s="20"/>
      <c r="P767" s="20"/>
      <c r="Q767" s="20"/>
      <c r="R767" s="20"/>
      <c r="S767" s="20"/>
      <c r="T767" s="20"/>
      <c r="U767" s="20"/>
      <c r="AF767" s="11" t="str">
        <f t="shared" si="693"/>
        <v/>
      </c>
      <c r="AG767" s="11" t="str">
        <f t="shared" ref="AG767:AO767" si="703">if(not(isblank(M767)),", "&amp;M767,"")</f>
        <v/>
      </c>
      <c r="AH767" s="11" t="str">
        <f t="shared" si="703"/>
        <v/>
      </c>
      <c r="AI767" s="11" t="str">
        <f t="shared" si="703"/>
        <v/>
      </c>
      <c r="AJ767" s="11" t="str">
        <f t="shared" si="703"/>
        <v/>
      </c>
      <c r="AK767" s="11" t="str">
        <f t="shared" si="703"/>
        <v/>
      </c>
      <c r="AL767" s="11" t="str">
        <f t="shared" si="703"/>
        <v/>
      </c>
      <c r="AM767" s="11" t="str">
        <f t="shared" si="703"/>
        <v/>
      </c>
      <c r="AN767" s="11" t="str">
        <f t="shared" si="703"/>
        <v/>
      </c>
      <c r="AO767" s="11" t="str">
        <f t="shared" si="703"/>
        <v/>
      </c>
      <c r="AP767" s="21" t="str">
        <f t="shared" si="695"/>
        <v>lacet-rond-x10-michael-cafe, lacet-rond-x10-michael-marron</v>
      </c>
    </row>
    <row r="768" ht="16.5" customHeight="1">
      <c r="A768" s="32" t="s">
        <v>4720</v>
      </c>
      <c r="B768" s="32" t="s">
        <v>4409</v>
      </c>
      <c r="C768" s="32" t="s">
        <v>4762</v>
      </c>
      <c r="D768" s="32" t="s">
        <v>4763</v>
      </c>
      <c r="E768" s="32" t="s">
        <v>4764</v>
      </c>
      <c r="F768" s="4" t="s">
        <v>4765</v>
      </c>
      <c r="G768" s="4" t="s">
        <v>4766</v>
      </c>
      <c r="K768" s="18"/>
      <c r="L768" s="20"/>
      <c r="M768" s="20"/>
      <c r="N768" s="20"/>
      <c r="O768" s="20"/>
      <c r="P768" s="20"/>
      <c r="Q768" s="20"/>
      <c r="R768" s="20"/>
      <c r="S768" s="20"/>
      <c r="T768" s="20"/>
      <c r="U768" s="20"/>
      <c r="AF768" s="11" t="str">
        <f t="shared" si="693"/>
        <v/>
      </c>
      <c r="AG768" s="11" t="str">
        <f t="shared" ref="AG768:AO768" si="704">if(not(isblank(M768)),", "&amp;M768,"")</f>
        <v/>
      </c>
      <c r="AH768" s="11" t="str">
        <f t="shared" si="704"/>
        <v/>
      </c>
      <c r="AI768" s="11" t="str">
        <f t="shared" si="704"/>
        <v/>
      </c>
      <c r="AJ768" s="11" t="str">
        <f t="shared" si="704"/>
        <v/>
      </c>
      <c r="AK768" s="11" t="str">
        <f t="shared" si="704"/>
        <v/>
      </c>
      <c r="AL768" s="11" t="str">
        <f t="shared" si="704"/>
        <v/>
      </c>
      <c r="AM768" s="11" t="str">
        <f t="shared" si="704"/>
        <v/>
      </c>
      <c r="AN768" s="11" t="str">
        <f t="shared" si="704"/>
        <v/>
      </c>
      <c r="AO768" s="11" t="str">
        <f t="shared" si="704"/>
        <v/>
      </c>
      <c r="AP768" s="21" t="str">
        <f t="shared" si="695"/>
        <v>lacet-rond-noir, lacet-rond-x10-michael-marron</v>
      </c>
    </row>
    <row r="769" ht="16.5" customHeight="1">
      <c r="A769" s="32" t="s">
        <v>4720</v>
      </c>
      <c r="B769" s="32" t="s">
        <v>4409</v>
      </c>
      <c r="C769" s="32" t="s">
        <v>4767</v>
      </c>
      <c r="D769" s="32" t="s">
        <v>4768</v>
      </c>
      <c r="E769" s="32" t="s">
        <v>4769</v>
      </c>
      <c r="F769" s="4" t="s">
        <v>4770</v>
      </c>
      <c r="G769" s="4" t="s">
        <v>4771</v>
      </c>
      <c r="K769" s="18"/>
      <c r="L769" s="20"/>
      <c r="M769" s="20"/>
      <c r="N769" s="20"/>
      <c r="O769" s="20"/>
      <c r="P769" s="20"/>
      <c r="Q769" s="20"/>
      <c r="R769" s="20"/>
      <c r="S769" s="20"/>
      <c r="T769" s="20"/>
      <c r="U769" s="20"/>
      <c r="AF769" s="11" t="str">
        <f t="shared" si="693"/>
        <v/>
      </c>
      <c r="AG769" s="11" t="str">
        <f t="shared" ref="AG769:AO769" si="705">if(not(isblank(M769)),", "&amp;M769,"")</f>
        <v/>
      </c>
      <c r="AH769" s="11" t="str">
        <f t="shared" si="705"/>
        <v/>
      </c>
      <c r="AI769" s="11" t="str">
        <f t="shared" si="705"/>
        <v/>
      </c>
      <c r="AJ769" s="11" t="str">
        <f t="shared" si="705"/>
        <v/>
      </c>
      <c r="AK769" s="11" t="str">
        <f t="shared" si="705"/>
        <v/>
      </c>
      <c r="AL769" s="11" t="str">
        <f t="shared" si="705"/>
        <v/>
      </c>
      <c r="AM769" s="11" t="str">
        <f t="shared" si="705"/>
        <v/>
      </c>
      <c r="AN769" s="11" t="str">
        <f t="shared" si="705"/>
        <v/>
      </c>
      <c r="AO769" s="11" t="str">
        <f t="shared" si="705"/>
        <v/>
      </c>
      <c r="AP769" s="21" t="str">
        <f t="shared" si="695"/>
        <v>lacet-rond-noir, lacet-rond-x10-michael-cafe</v>
      </c>
    </row>
    <row r="770" ht="16.5" customHeight="1">
      <c r="A770" s="32" t="s">
        <v>4720</v>
      </c>
      <c r="B770" s="32" t="s">
        <v>168</v>
      </c>
      <c r="C770" s="32" t="s">
        <v>4772</v>
      </c>
      <c r="D770" s="32" t="s">
        <v>4773</v>
      </c>
      <c r="E770" s="32" t="s">
        <v>4774</v>
      </c>
      <c r="F770" s="4" t="s">
        <v>4775</v>
      </c>
      <c r="G770" s="4" t="s">
        <v>4776</v>
      </c>
      <c r="H770" s="4"/>
      <c r="K770" s="18"/>
      <c r="L770" s="20"/>
      <c r="M770" s="20"/>
      <c r="N770" s="20"/>
      <c r="O770" s="20"/>
      <c r="P770" s="20"/>
      <c r="Q770" s="20"/>
      <c r="R770" s="20"/>
      <c r="S770" s="20"/>
      <c r="T770" s="20"/>
      <c r="U770" s="20"/>
      <c r="AF770" s="11" t="str">
        <f t="shared" si="693"/>
        <v/>
      </c>
      <c r="AG770" s="11" t="str">
        <f t="shared" ref="AG770:AO770" si="706">if(not(isblank(M770)),", "&amp;M770,"")</f>
        <v/>
      </c>
      <c r="AH770" s="11" t="str">
        <f t="shared" si="706"/>
        <v/>
      </c>
      <c r="AI770" s="11" t="str">
        <f t="shared" si="706"/>
        <v/>
      </c>
      <c r="AJ770" s="11" t="str">
        <f t="shared" si="706"/>
        <v/>
      </c>
      <c r="AK770" s="11" t="str">
        <f t="shared" si="706"/>
        <v/>
      </c>
      <c r="AL770" s="11" t="str">
        <f t="shared" si="706"/>
        <v/>
      </c>
      <c r="AM770" s="11" t="str">
        <f t="shared" si="706"/>
        <v/>
      </c>
      <c r="AN770" s="11" t="str">
        <f t="shared" si="706"/>
        <v/>
      </c>
      <c r="AO770" s="11" t="str">
        <f t="shared" si="706"/>
        <v/>
      </c>
      <c r="AP770" s="21" t="str">
        <f t="shared" si="695"/>
        <v>pacific-vegetal-marron</v>
      </c>
    </row>
    <row r="771" ht="16.5" customHeight="1">
      <c r="A771" s="32" t="s">
        <v>4720</v>
      </c>
      <c r="B771" s="32" t="s">
        <v>2594</v>
      </c>
      <c r="C771" s="32" t="s">
        <v>4777</v>
      </c>
      <c r="D771" s="32" t="s">
        <v>4778</v>
      </c>
      <c r="E771" s="32" t="s">
        <v>4779</v>
      </c>
      <c r="F771" s="4" t="s">
        <v>4780</v>
      </c>
      <c r="G771" s="4" t="s">
        <v>4781</v>
      </c>
      <c r="I771" s="11" t="s">
        <v>3939</v>
      </c>
      <c r="J771" s="11" t="s">
        <v>1706</v>
      </c>
      <c r="K771" s="18"/>
      <c r="L771" s="35" t="s">
        <v>3663</v>
      </c>
      <c r="M771" s="19" t="s">
        <v>2677</v>
      </c>
      <c r="N771" s="19" t="s">
        <v>2682</v>
      </c>
      <c r="O771" s="19" t="s">
        <v>3374</v>
      </c>
      <c r="P771" s="19" t="s">
        <v>3664</v>
      </c>
      <c r="Q771" s="19" t="s">
        <v>3540</v>
      </c>
      <c r="R771" s="19" t="s">
        <v>1782</v>
      </c>
      <c r="S771" s="19"/>
      <c r="T771" s="20"/>
      <c r="U771" s="20"/>
      <c r="AF771" s="11" t="str">
        <f t="shared" si="693"/>
        <v>aiden-black-ox</v>
      </c>
      <c r="AG771" s="11" t="str">
        <f t="shared" ref="AG771:AO771" si="707">if(not(isblank(M771)),", "&amp;M771,"")</f>
        <v>, aiden-blue-check-pop</v>
      </c>
      <c r="AH771" s="11" t="str">
        <f t="shared" si="707"/>
        <v>, aiden-brown-stripe-pop</v>
      </c>
      <c r="AI771" s="11" t="str">
        <f t="shared" si="707"/>
        <v>, aiden-eclipse-stripe-poplin</v>
      </c>
      <c r="AJ771" s="11" t="str">
        <f t="shared" si="707"/>
        <v>, aiden-japan-shadow</v>
      </c>
      <c r="AK771" s="11" t="str">
        <f t="shared" si="707"/>
        <v>, aiden-milk-check</v>
      </c>
      <c r="AL771" s="11" t="str">
        <f t="shared" si="707"/>
        <v>, aiden-white-ox</v>
      </c>
      <c r="AM771" s="11" t="str">
        <f t="shared" si="707"/>
        <v/>
      </c>
      <c r="AN771" s="11" t="str">
        <f t="shared" si="707"/>
        <v/>
      </c>
      <c r="AO771" s="11" t="str">
        <f t="shared" si="707"/>
        <v/>
      </c>
      <c r="AP771" s="21" t="str">
        <f t="shared" si="695"/>
        <v>aiden-black-ox, aiden-blue-check-pop, aiden-brown-stripe-pop, aiden-eclipse-stripe-poplin, aiden-japan-shadow, aiden-milk-check, aiden-white-ox</v>
      </c>
    </row>
    <row r="772" ht="16.5" customHeight="1">
      <c r="A772" s="32" t="s">
        <v>4720</v>
      </c>
      <c r="B772" s="32" t="s">
        <v>4782</v>
      </c>
      <c r="C772" s="32" t="s">
        <v>4783</v>
      </c>
      <c r="D772" s="32" t="s">
        <v>4784</v>
      </c>
      <c r="E772" s="32" t="s">
        <v>4732</v>
      </c>
      <c r="F772" s="4" t="s">
        <v>4785</v>
      </c>
      <c r="G772" s="4" t="s">
        <v>4786</v>
      </c>
      <c r="K772" s="18"/>
      <c r="L772" s="20"/>
      <c r="M772" s="20"/>
      <c r="N772" s="20"/>
      <c r="O772" s="20"/>
      <c r="P772" s="20"/>
      <c r="Q772" s="20"/>
      <c r="R772" s="20"/>
      <c r="S772" s="20"/>
      <c r="T772" s="20"/>
      <c r="U772" s="20"/>
      <c r="AF772" s="11" t="str">
        <f t="shared" si="693"/>
        <v/>
      </c>
      <c r="AG772" s="11" t="str">
        <f t="shared" ref="AG772:AO772" si="708">if(not(isblank(M772)),", "&amp;M772,"")</f>
        <v/>
      </c>
      <c r="AH772" s="11" t="str">
        <f t="shared" si="708"/>
        <v/>
      </c>
      <c r="AI772" s="11" t="str">
        <f t="shared" si="708"/>
        <v/>
      </c>
      <c r="AJ772" s="11" t="str">
        <f t="shared" si="708"/>
        <v/>
      </c>
      <c r="AK772" s="11" t="str">
        <f t="shared" si="708"/>
        <v/>
      </c>
      <c r="AL772" s="11" t="str">
        <f t="shared" si="708"/>
        <v/>
      </c>
      <c r="AM772" s="11" t="str">
        <f t="shared" si="708"/>
        <v/>
      </c>
      <c r="AN772" s="11" t="str">
        <f t="shared" si="708"/>
        <v/>
      </c>
      <c r="AO772" s="11" t="str">
        <f t="shared" si="708"/>
        <v/>
      </c>
      <c r="AP772" s="21" t="str">
        <f t="shared" si="695"/>
        <v>michael-lis-noir, mirabelle-velours-gres</v>
      </c>
    </row>
    <row r="773" ht="16.5" customHeight="1">
      <c r="A773" s="32" t="s">
        <v>4720</v>
      </c>
      <c r="B773" s="32" t="s">
        <v>2663</v>
      </c>
      <c r="C773" s="32" t="s">
        <v>4787</v>
      </c>
      <c r="D773" s="32" t="s">
        <v>4788</v>
      </c>
      <c r="E773" s="32" t="s">
        <v>4789</v>
      </c>
      <c r="F773" s="4" t="s">
        <v>4790</v>
      </c>
      <c r="G773" s="4"/>
      <c r="H773" s="4"/>
      <c r="K773" s="18"/>
      <c r="L773" s="20"/>
      <c r="M773" s="20"/>
      <c r="N773" s="20"/>
      <c r="O773" s="20"/>
      <c r="P773" s="20"/>
      <c r="Q773" s="20"/>
      <c r="R773" s="20"/>
      <c r="S773" s="20"/>
      <c r="T773" s="20"/>
      <c r="U773" s="20"/>
      <c r="AF773" s="11" t="str">
        <f t="shared" si="693"/>
        <v/>
      </c>
      <c r="AG773" s="11" t="str">
        <f t="shared" ref="AG773:AO773" si="709">if(not(isblank(M773)),", "&amp;M773,"")</f>
        <v/>
      </c>
      <c r="AH773" s="11" t="str">
        <f t="shared" si="709"/>
        <v/>
      </c>
      <c r="AI773" s="11" t="str">
        <f t="shared" si="709"/>
        <v/>
      </c>
      <c r="AJ773" s="11" t="str">
        <f t="shared" si="709"/>
        <v/>
      </c>
      <c r="AK773" s="11" t="str">
        <f t="shared" si="709"/>
        <v/>
      </c>
      <c r="AL773" s="11" t="str">
        <f t="shared" si="709"/>
        <v/>
      </c>
      <c r="AM773" s="11" t="str">
        <f t="shared" si="709"/>
        <v/>
      </c>
      <c r="AN773" s="11" t="str">
        <f t="shared" si="709"/>
        <v/>
      </c>
      <c r="AO773" s="11" t="str">
        <f t="shared" si="709"/>
        <v/>
      </c>
      <c r="AP773" s="21" t="str">
        <f t="shared" si="695"/>
        <v/>
      </c>
    </row>
    <row r="774" ht="16.5" customHeight="1">
      <c r="A774" s="32" t="s">
        <v>4720</v>
      </c>
      <c r="B774" s="32" t="s">
        <v>2594</v>
      </c>
      <c r="C774" s="32" t="s">
        <v>4791</v>
      </c>
      <c r="D774" s="32" t="s">
        <v>4792</v>
      </c>
      <c r="E774" s="32" t="s">
        <v>4793</v>
      </c>
      <c r="F774" s="4" t="s">
        <v>4794</v>
      </c>
      <c r="G774" s="4" t="s">
        <v>4795</v>
      </c>
      <c r="K774" s="18"/>
      <c r="L774" s="20"/>
      <c r="M774" s="20"/>
      <c r="N774" s="20"/>
      <c r="O774" s="20"/>
      <c r="P774" s="20"/>
      <c r="Q774" s="20"/>
      <c r="R774" s="20"/>
      <c r="S774" s="20"/>
      <c r="T774" s="20"/>
      <c r="U774" s="20"/>
      <c r="AF774" s="11" t="str">
        <f t="shared" si="693"/>
        <v/>
      </c>
      <c r="AG774" s="11" t="str">
        <f t="shared" ref="AG774:AO774" si="710">if(not(isblank(M774)),", "&amp;M774,"")</f>
        <v/>
      </c>
      <c r="AH774" s="11" t="str">
        <f t="shared" si="710"/>
        <v/>
      </c>
      <c r="AI774" s="11" t="str">
        <f t="shared" si="710"/>
        <v/>
      </c>
      <c r="AJ774" s="11" t="str">
        <f t="shared" si="710"/>
        <v/>
      </c>
      <c r="AK774" s="11" t="str">
        <f t="shared" si="710"/>
        <v/>
      </c>
      <c r="AL774" s="11" t="str">
        <f t="shared" si="710"/>
        <v/>
      </c>
      <c r="AM774" s="11" t="str">
        <f t="shared" si="710"/>
        <v/>
      </c>
      <c r="AN774" s="11" t="str">
        <f t="shared" si="710"/>
        <v/>
      </c>
      <c r="AO774" s="11" t="str">
        <f t="shared" si="710"/>
        <v/>
      </c>
      <c r="AP774" s="21" t="str">
        <f t="shared" si="695"/>
        <v>chambord-noir, chambord-brosse-noir</v>
      </c>
    </row>
    <row r="775" ht="16.5" customHeight="1">
      <c r="A775" s="32" t="s">
        <v>4720</v>
      </c>
      <c r="B775" s="32" t="s">
        <v>165</v>
      </c>
      <c r="C775" s="32" t="s">
        <v>1712</v>
      </c>
      <c r="D775" s="32" t="s">
        <v>4796</v>
      </c>
      <c r="E775" s="32" t="s">
        <v>4797</v>
      </c>
      <c r="F775" s="4" t="s">
        <v>4798</v>
      </c>
      <c r="G775" s="4" t="s">
        <v>4799</v>
      </c>
      <c r="H775" s="4"/>
      <c r="K775" s="18"/>
      <c r="L775" s="20"/>
      <c r="M775" s="20"/>
      <c r="N775" s="20"/>
      <c r="O775" s="20"/>
      <c r="P775" s="20"/>
      <c r="Q775" s="20"/>
      <c r="R775" s="20"/>
      <c r="S775" s="20"/>
      <c r="T775" s="20"/>
      <c r="U775" s="20"/>
      <c r="AF775" s="11" t="str">
        <f t="shared" si="693"/>
        <v/>
      </c>
      <c r="AG775" s="11" t="str">
        <f t="shared" ref="AG775:AO775" si="711">if(not(isblank(M775)),", "&amp;M775,"")</f>
        <v/>
      </c>
      <c r="AH775" s="11" t="str">
        <f t="shared" si="711"/>
        <v/>
      </c>
      <c r="AI775" s="11" t="str">
        <f t="shared" si="711"/>
        <v/>
      </c>
      <c r="AJ775" s="11" t="str">
        <f t="shared" si="711"/>
        <v/>
      </c>
      <c r="AK775" s="11" t="str">
        <f t="shared" si="711"/>
        <v/>
      </c>
      <c r="AL775" s="11" t="str">
        <f t="shared" si="711"/>
        <v/>
      </c>
      <c r="AM775" s="11" t="str">
        <f t="shared" si="711"/>
        <v/>
      </c>
      <c r="AN775" s="11" t="str">
        <f t="shared" si="711"/>
        <v/>
      </c>
      <c r="AO775" s="11" t="str">
        <f t="shared" si="711"/>
        <v/>
      </c>
      <c r="AP775" s="21" t="str">
        <f t="shared" si="695"/>
        <v>adriatic-velours-corde</v>
      </c>
    </row>
    <row r="776" ht="16.5" customHeight="1">
      <c r="A776" s="32" t="s">
        <v>4720</v>
      </c>
      <c r="B776" s="32" t="s">
        <v>165</v>
      </c>
      <c r="C776" s="32" t="s">
        <v>4799</v>
      </c>
      <c r="D776" s="32" t="s">
        <v>4800</v>
      </c>
      <c r="E776" s="32" t="s">
        <v>4801</v>
      </c>
      <c r="F776" s="4" t="s">
        <v>4802</v>
      </c>
      <c r="G776" s="4" t="s">
        <v>1712</v>
      </c>
      <c r="H776" s="4"/>
      <c r="K776" s="18"/>
      <c r="L776" s="20"/>
      <c r="M776" s="20"/>
      <c r="N776" s="20"/>
      <c r="O776" s="20"/>
      <c r="P776" s="20"/>
      <c r="Q776" s="20"/>
      <c r="R776" s="20"/>
      <c r="S776" s="20"/>
      <c r="T776" s="20"/>
      <c r="U776" s="20"/>
      <c r="AF776" s="11" t="str">
        <f t="shared" si="693"/>
        <v/>
      </c>
      <c r="AG776" s="11" t="str">
        <f t="shared" ref="AG776:AO776" si="712">if(not(isblank(M776)),", "&amp;M776,"")</f>
        <v/>
      </c>
      <c r="AH776" s="11" t="str">
        <f t="shared" si="712"/>
        <v/>
      </c>
      <c r="AI776" s="11" t="str">
        <f t="shared" si="712"/>
        <v/>
      </c>
      <c r="AJ776" s="11" t="str">
        <f t="shared" si="712"/>
        <v/>
      </c>
      <c r="AK776" s="11" t="str">
        <f t="shared" si="712"/>
        <v/>
      </c>
      <c r="AL776" s="11" t="str">
        <f t="shared" si="712"/>
        <v/>
      </c>
      <c r="AM776" s="11" t="str">
        <f t="shared" si="712"/>
        <v/>
      </c>
      <c r="AN776" s="11" t="str">
        <f t="shared" si="712"/>
        <v/>
      </c>
      <c r="AO776" s="11" t="str">
        <f t="shared" si="712"/>
        <v/>
      </c>
      <c r="AP776" s="21" t="str">
        <f t="shared" si="695"/>
        <v>adriatic-lisse-noir</v>
      </c>
    </row>
    <row r="777" ht="16.5" customHeight="1">
      <c r="A777" s="32" t="s">
        <v>4720</v>
      </c>
      <c r="B777" s="32" t="s">
        <v>2594</v>
      </c>
      <c r="C777" s="32" t="s">
        <v>4803</v>
      </c>
      <c r="D777" s="32" t="s">
        <v>4804</v>
      </c>
      <c r="E777" s="32" t="s">
        <v>4805</v>
      </c>
      <c r="F777" s="4" t="s">
        <v>4806</v>
      </c>
      <c r="G777" s="4"/>
      <c r="H777" s="4"/>
      <c r="K777" s="18"/>
      <c r="L777" s="20"/>
      <c r="M777" s="20"/>
      <c r="N777" s="20"/>
      <c r="O777" s="20"/>
      <c r="P777" s="20"/>
      <c r="Q777" s="20"/>
      <c r="R777" s="20"/>
      <c r="S777" s="20"/>
      <c r="T777" s="20"/>
      <c r="U777" s="20"/>
      <c r="AF777" s="11" t="str">
        <f t="shared" si="693"/>
        <v/>
      </c>
      <c r="AG777" s="11" t="str">
        <f t="shared" ref="AG777:AO777" si="713">if(not(isblank(M777)),", "&amp;M777,"")</f>
        <v/>
      </c>
      <c r="AH777" s="11" t="str">
        <f t="shared" si="713"/>
        <v/>
      </c>
      <c r="AI777" s="11" t="str">
        <f t="shared" si="713"/>
        <v/>
      </c>
      <c r="AJ777" s="11" t="str">
        <f t="shared" si="713"/>
        <v/>
      </c>
      <c r="AK777" s="11" t="str">
        <f t="shared" si="713"/>
        <v/>
      </c>
      <c r="AL777" s="11" t="str">
        <f t="shared" si="713"/>
        <v/>
      </c>
      <c r="AM777" s="11" t="str">
        <f t="shared" si="713"/>
        <v/>
      </c>
      <c r="AN777" s="11" t="str">
        <f t="shared" si="713"/>
        <v/>
      </c>
      <c r="AO777" s="11" t="str">
        <f t="shared" si="713"/>
        <v/>
      </c>
      <c r="AP777" s="21" t="str">
        <f t="shared" si="695"/>
        <v/>
      </c>
    </row>
    <row r="778" ht="16.5" customHeight="1">
      <c r="A778" s="32" t="s">
        <v>4720</v>
      </c>
      <c r="B778" s="32" t="s">
        <v>2594</v>
      </c>
      <c r="C778" s="32" t="s">
        <v>1711</v>
      </c>
      <c r="D778" s="32" t="s">
        <v>4807</v>
      </c>
      <c r="E778" s="32" t="s">
        <v>4808</v>
      </c>
      <c r="F778" s="4" t="s">
        <v>4809</v>
      </c>
      <c r="G778" s="4"/>
      <c r="H778" s="4"/>
      <c r="K778" s="18"/>
      <c r="L778" s="20"/>
      <c r="M778" s="20"/>
      <c r="N778" s="20"/>
      <c r="O778" s="20"/>
      <c r="P778" s="20"/>
      <c r="Q778" s="20"/>
      <c r="R778" s="20"/>
      <c r="S778" s="20"/>
      <c r="T778" s="20"/>
      <c r="U778" s="20"/>
      <c r="AF778" s="11" t="str">
        <f t="shared" si="693"/>
        <v/>
      </c>
      <c r="AG778" s="11" t="str">
        <f t="shared" ref="AG778:AO778" si="714">if(not(isblank(M778)),", "&amp;M778,"")</f>
        <v/>
      </c>
      <c r="AH778" s="11" t="str">
        <f t="shared" si="714"/>
        <v/>
      </c>
      <c r="AI778" s="11" t="str">
        <f t="shared" si="714"/>
        <v/>
      </c>
      <c r="AJ778" s="11" t="str">
        <f t="shared" si="714"/>
        <v/>
      </c>
      <c r="AK778" s="11" t="str">
        <f t="shared" si="714"/>
        <v/>
      </c>
      <c r="AL778" s="11" t="str">
        <f t="shared" si="714"/>
        <v/>
      </c>
      <c r="AM778" s="11" t="str">
        <f t="shared" si="714"/>
        <v/>
      </c>
      <c r="AN778" s="11" t="str">
        <f t="shared" si="714"/>
        <v/>
      </c>
      <c r="AO778" s="11" t="str">
        <f t="shared" si="714"/>
        <v/>
      </c>
      <c r="AP778" s="21" t="str">
        <f t="shared" si="695"/>
        <v/>
      </c>
    </row>
    <row r="779" ht="16.5" customHeight="1">
      <c r="A779" s="32" t="s">
        <v>4720</v>
      </c>
      <c r="B779" s="32" t="s">
        <v>2594</v>
      </c>
      <c r="C779" s="32" t="s">
        <v>4810</v>
      </c>
      <c r="D779" s="32" t="s">
        <v>4811</v>
      </c>
      <c r="E779" s="32" t="s">
        <v>4812</v>
      </c>
      <c r="F779" s="4" t="s">
        <v>4813</v>
      </c>
      <c r="G779" s="4" t="s">
        <v>4814</v>
      </c>
      <c r="H779" s="4"/>
      <c r="K779" s="18"/>
      <c r="L779" s="20"/>
      <c r="M779" s="20"/>
      <c r="N779" s="20"/>
      <c r="O779" s="20"/>
      <c r="P779" s="20"/>
      <c r="Q779" s="20"/>
      <c r="R779" s="20"/>
      <c r="S779" s="20"/>
      <c r="T779" s="20"/>
      <c r="U779" s="20"/>
      <c r="AF779" s="11" t="str">
        <f t="shared" si="693"/>
        <v/>
      </c>
      <c r="AG779" s="11" t="str">
        <f t="shared" ref="AG779:AO779" si="715">if(not(isblank(M779)),", "&amp;M779,"")</f>
        <v/>
      </c>
      <c r="AH779" s="11" t="str">
        <f t="shared" si="715"/>
        <v/>
      </c>
      <c r="AI779" s="11" t="str">
        <f t="shared" si="715"/>
        <v/>
      </c>
      <c r="AJ779" s="11" t="str">
        <f t="shared" si="715"/>
        <v/>
      </c>
      <c r="AK779" s="11" t="str">
        <f t="shared" si="715"/>
        <v/>
      </c>
      <c r="AL779" s="11" t="str">
        <f t="shared" si="715"/>
        <v/>
      </c>
      <c r="AM779" s="11" t="str">
        <f t="shared" si="715"/>
        <v/>
      </c>
      <c r="AN779" s="11" t="str">
        <f t="shared" si="715"/>
        <v/>
      </c>
      <c r="AO779" s="11" t="str">
        <f t="shared" si="715"/>
        <v/>
      </c>
      <c r="AP779" s="21" t="str">
        <f t="shared" si="695"/>
        <v>michael-noir, michael-marron</v>
      </c>
    </row>
    <row r="780" ht="16.5" customHeight="1">
      <c r="A780" s="32" t="s">
        <v>4720</v>
      </c>
      <c r="B780" s="32" t="s">
        <v>2624</v>
      </c>
      <c r="C780" s="32" t="s">
        <v>4815</v>
      </c>
      <c r="D780" s="32" t="s">
        <v>4816</v>
      </c>
      <c r="E780" s="32" t="s">
        <v>4817</v>
      </c>
      <c r="F780" s="4" t="s">
        <v>4818</v>
      </c>
      <c r="G780" s="4" t="s">
        <v>4819</v>
      </c>
      <c r="K780" s="18"/>
      <c r="L780" s="20"/>
      <c r="M780" s="20"/>
      <c r="N780" s="20"/>
      <c r="O780" s="20"/>
      <c r="P780" s="20"/>
      <c r="Q780" s="20"/>
      <c r="R780" s="20"/>
      <c r="S780" s="20"/>
      <c r="T780" s="20"/>
      <c r="U780" s="20"/>
      <c r="AF780" s="11" t="str">
        <f t="shared" si="693"/>
        <v/>
      </c>
      <c r="AG780" s="11" t="str">
        <f t="shared" ref="AG780:AO780" si="716">if(not(isblank(M780)),", "&amp;M780,"")</f>
        <v/>
      </c>
      <c r="AH780" s="11" t="str">
        <f t="shared" si="716"/>
        <v/>
      </c>
      <c r="AI780" s="11" t="str">
        <f t="shared" si="716"/>
        <v/>
      </c>
      <c r="AJ780" s="11" t="str">
        <f t="shared" si="716"/>
        <v/>
      </c>
      <c r="AK780" s="11" t="str">
        <f t="shared" si="716"/>
        <v/>
      </c>
      <c r="AL780" s="11" t="str">
        <f t="shared" si="716"/>
        <v/>
      </c>
      <c r="AM780" s="11" t="str">
        <f t="shared" si="716"/>
        <v/>
      </c>
      <c r="AN780" s="11" t="str">
        <f t="shared" si="716"/>
        <v/>
      </c>
      <c r="AO780" s="11" t="str">
        <f t="shared" si="716"/>
        <v/>
      </c>
      <c r="AP780" s="21" t="str">
        <f t="shared" si="695"/>
        <v>michael-lis-noir, michael-femme-lis-marron</v>
      </c>
    </row>
    <row r="781" ht="16.5" customHeight="1">
      <c r="A781" s="32" t="s">
        <v>4720</v>
      </c>
      <c r="B781" s="32" t="s">
        <v>168</v>
      </c>
      <c r="C781" s="32" t="s">
        <v>4776</v>
      </c>
      <c r="D781" s="32" t="s">
        <v>4820</v>
      </c>
      <c r="E781" s="32" t="s">
        <v>4774</v>
      </c>
      <c r="F781" s="4" t="s">
        <v>4775</v>
      </c>
      <c r="G781" s="4" t="s">
        <v>4772</v>
      </c>
      <c r="H781" s="4"/>
      <c r="K781" s="18"/>
      <c r="L781" s="11"/>
      <c r="M781" s="11"/>
      <c r="N781" s="20"/>
      <c r="O781" s="20"/>
      <c r="P781" s="20"/>
      <c r="Q781" s="20"/>
      <c r="R781" s="20"/>
      <c r="S781" s="20"/>
      <c r="T781" s="20"/>
      <c r="U781" s="20"/>
      <c r="AF781" s="11" t="str">
        <f t="shared" si="693"/>
        <v/>
      </c>
      <c r="AG781" s="11" t="str">
        <f t="shared" ref="AG781:AO781" si="717">if(not(isblank(M781)),", "&amp;M781,"")</f>
        <v/>
      </c>
      <c r="AH781" s="11" t="str">
        <f t="shared" si="717"/>
        <v/>
      </c>
      <c r="AI781" s="11" t="str">
        <f t="shared" si="717"/>
        <v/>
      </c>
      <c r="AJ781" s="11" t="str">
        <f t="shared" si="717"/>
        <v/>
      </c>
      <c r="AK781" s="11" t="str">
        <f t="shared" si="717"/>
        <v/>
      </c>
      <c r="AL781" s="11" t="str">
        <f t="shared" si="717"/>
        <v/>
      </c>
      <c r="AM781" s="11" t="str">
        <f t="shared" si="717"/>
        <v/>
      </c>
      <c r="AN781" s="11" t="str">
        <f t="shared" si="717"/>
        <v/>
      </c>
      <c r="AO781" s="11" t="str">
        <f t="shared" si="717"/>
        <v/>
      </c>
      <c r="AP781" s="21" t="str">
        <f t="shared" si="695"/>
        <v>pacific-sport-lis-noir</v>
      </c>
    </row>
    <row r="782" ht="16.5" customHeight="1">
      <c r="A782" s="32" t="s">
        <v>4720</v>
      </c>
      <c r="B782" s="32" t="s">
        <v>2663</v>
      </c>
      <c r="C782" s="32" t="s">
        <v>4821</v>
      </c>
      <c r="D782" s="32" t="s">
        <v>4822</v>
      </c>
      <c r="E782" s="32" t="s">
        <v>4823</v>
      </c>
      <c r="F782" s="4" t="s">
        <v>4824</v>
      </c>
      <c r="G782" s="4" t="s">
        <v>4825</v>
      </c>
      <c r="K782" s="18"/>
      <c r="L782" s="20"/>
      <c r="M782" s="20"/>
      <c r="N782" s="20"/>
      <c r="O782" s="20"/>
      <c r="P782" s="20"/>
      <c r="Q782" s="20"/>
      <c r="R782" s="20"/>
      <c r="S782" s="20"/>
      <c r="T782" s="20"/>
      <c r="U782" s="20"/>
      <c r="AF782" s="11" t="str">
        <f t="shared" si="693"/>
        <v/>
      </c>
      <c r="AG782" s="11" t="str">
        <f t="shared" ref="AG782:AO782" si="718">if(not(isblank(M782)),", "&amp;M782,"")</f>
        <v/>
      </c>
      <c r="AH782" s="11" t="str">
        <f t="shared" si="718"/>
        <v/>
      </c>
      <c r="AI782" s="11" t="str">
        <f t="shared" si="718"/>
        <v/>
      </c>
      <c r="AJ782" s="11" t="str">
        <f t="shared" si="718"/>
        <v/>
      </c>
      <c r="AK782" s="11" t="str">
        <f t="shared" si="718"/>
        <v/>
      </c>
      <c r="AL782" s="11" t="str">
        <f t="shared" si="718"/>
        <v/>
      </c>
      <c r="AM782" s="11" t="str">
        <f t="shared" si="718"/>
        <v/>
      </c>
      <c r="AN782" s="11" t="str">
        <f t="shared" si="718"/>
        <v/>
      </c>
      <c r="AO782" s="11" t="str">
        <f t="shared" si="718"/>
        <v/>
      </c>
      <c r="AP782" s="21" t="str">
        <f t="shared" si="695"/>
        <v>avoriaz-lis-noir, avoriaz-jannu-marron-lis-ecorce</v>
      </c>
    </row>
    <row r="783" ht="16.5" customHeight="1">
      <c r="A783" s="32" t="s">
        <v>4720</v>
      </c>
      <c r="B783" s="32" t="s">
        <v>2594</v>
      </c>
      <c r="C783" s="32" t="s">
        <v>4826</v>
      </c>
      <c r="D783" s="32" t="s">
        <v>4827</v>
      </c>
      <c r="E783" s="32" t="s">
        <v>4828</v>
      </c>
      <c r="F783" s="4" t="s">
        <v>4829</v>
      </c>
      <c r="G783" s="4"/>
      <c r="H783" s="4"/>
      <c r="K783" s="18"/>
      <c r="L783" s="20"/>
      <c r="M783" s="20"/>
      <c r="N783" s="20"/>
      <c r="O783" s="20"/>
      <c r="P783" s="20"/>
      <c r="Q783" s="20"/>
      <c r="R783" s="20"/>
      <c r="S783" s="20"/>
      <c r="T783" s="20"/>
      <c r="U783" s="20"/>
      <c r="AF783" s="11" t="str">
        <f t="shared" si="693"/>
        <v/>
      </c>
      <c r="AG783" s="11" t="str">
        <f t="shared" ref="AG783:AO783" si="719">if(not(isblank(M783)),", "&amp;M783,"")</f>
        <v/>
      </c>
      <c r="AH783" s="11" t="str">
        <f t="shared" si="719"/>
        <v/>
      </c>
      <c r="AI783" s="11" t="str">
        <f t="shared" si="719"/>
        <v/>
      </c>
      <c r="AJ783" s="11" t="str">
        <f t="shared" si="719"/>
        <v/>
      </c>
      <c r="AK783" s="11" t="str">
        <f t="shared" si="719"/>
        <v/>
      </c>
      <c r="AL783" s="11" t="str">
        <f t="shared" si="719"/>
        <v/>
      </c>
      <c r="AM783" s="11" t="str">
        <f t="shared" si="719"/>
        <v/>
      </c>
      <c r="AN783" s="11" t="str">
        <f t="shared" si="719"/>
        <v/>
      </c>
      <c r="AO783" s="11" t="str">
        <f t="shared" si="719"/>
        <v/>
      </c>
      <c r="AP783" s="21" t="str">
        <f t="shared" si="695"/>
        <v/>
      </c>
    </row>
    <row r="784" ht="16.5" customHeight="1">
      <c r="A784" s="32" t="s">
        <v>4720</v>
      </c>
      <c r="B784" s="32" t="s">
        <v>2624</v>
      </c>
      <c r="C784" s="32" t="s">
        <v>4830</v>
      </c>
      <c r="D784" s="32" t="s">
        <v>4831</v>
      </c>
      <c r="E784" s="32" t="s">
        <v>4832</v>
      </c>
      <c r="F784" s="4" t="s">
        <v>4833</v>
      </c>
      <c r="G784" s="4" t="s">
        <v>4819</v>
      </c>
      <c r="K784" s="18"/>
      <c r="L784" s="19" t="s">
        <v>1289</v>
      </c>
      <c r="M784" s="19" t="s">
        <v>1298</v>
      </c>
      <c r="N784" s="20"/>
      <c r="O784" s="20"/>
      <c r="P784" s="20"/>
      <c r="Q784" s="20"/>
      <c r="R784" s="20"/>
      <c r="S784" s="20"/>
      <c r="T784" s="20"/>
      <c r="U784" s="20"/>
      <c r="AF784" s="11" t="str">
        <f t="shared" si="693"/>
        <v>tia-japan-black</v>
      </c>
      <c r="AG784" s="11" t="str">
        <f t="shared" ref="AG784:AO784" si="720">if(not(isblank(M784)),", "&amp;M784,"")</f>
        <v>, tia-japan-indigo</v>
      </c>
      <c r="AH784" s="11" t="str">
        <f t="shared" si="720"/>
        <v/>
      </c>
      <c r="AI784" s="11" t="str">
        <f t="shared" si="720"/>
        <v/>
      </c>
      <c r="AJ784" s="11" t="str">
        <f t="shared" si="720"/>
        <v/>
      </c>
      <c r="AK784" s="11" t="str">
        <f t="shared" si="720"/>
        <v/>
      </c>
      <c r="AL784" s="11" t="str">
        <f t="shared" si="720"/>
        <v/>
      </c>
      <c r="AM784" s="11" t="str">
        <f t="shared" si="720"/>
        <v/>
      </c>
      <c r="AN784" s="11" t="str">
        <f t="shared" si="720"/>
        <v/>
      </c>
      <c r="AO784" s="11" t="str">
        <f t="shared" si="720"/>
        <v/>
      </c>
      <c r="AP784" s="21" t="str">
        <f t="shared" si="695"/>
        <v>tia-japan-black, tia-japan-indigo</v>
      </c>
    </row>
    <row r="785" ht="16.5" customHeight="1">
      <c r="A785" s="32" t="s">
        <v>4720</v>
      </c>
      <c r="B785" s="32" t="s">
        <v>2594</v>
      </c>
      <c r="C785" s="32" t="s">
        <v>4834</v>
      </c>
      <c r="D785" s="32" t="s">
        <v>4835</v>
      </c>
      <c r="E785" s="32" t="s">
        <v>4836</v>
      </c>
      <c r="F785" s="4" t="s">
        <v>4837</v>
      </c>
      <c r="G785" s="4"/>
      <c r="H785" s="4"/>
      <c r="K785" s="18"/>
      <c r="L785" s="19" t="s">
        <v>3368</v>
      </c>
      <c r="M785" s="20"/>
      <c r="N785" s="20"/>
      <c r="O785" s="20"/>
      <c r="P785" s="20"/>
      <c r="Q785" s="20"/>
      <c r="R785" s="20"/>
      <c r="S785" s="20"/>
      <c r="T785" s="20"/>
      <c r="U785" s="20"/>
      <c r="AF785" s="11" t="str">
        <f t="shared" si="693"/>
        <v>abby-white</v>
      </c>
      <c r="AG785" s="11" t="str">
        <f t="shared" ref="AG785:AO785" si="721">if(not(isblank(M785)),", "&amp;M785,"")</f>
        <v/>
      </c>
      <c r="AH785" s="11" t="str">
        <f t="shared" si="721"/>
        <v/>
      </c>
      <c r="AI785" s="11" t="str">
        <f t="shared" si="721"/>
        <v/>
      </c>
      <c r="AJ785" s="11" t="str">
        <f t="shared" si="721"/>
        <v/>
      </c>
      <c r="AK785" s="11" t="str">
        <f t="shared" si="721"/>
        <v/>
      </c>
      <c r="AL785" s="11" t="str">
        <f t="shared" si="721"/>
        <v/>
      </c>
      <c r="AM785" s="11" t="str">
        <f t="shared" si="721"/>
        <v/>
      </c>
      <c r="AN785" s="11" t="str">
        <f t="shared" si="721"/>
        <v/>
      </c>
      <c r="AO785" s="11" t="str">
        <f t="shared" si="721"/>
        <v/>
      </c>
      <c r="AP785" s="21" t="str">
        <f t="shared" si="695"/>
        <v>abby-white</v>
      </c>
    </row>
    <row r="786" ht="16.5" customHeight="1">
      <c r="A786" s="32" t="s">
        <v>4720</v>
      </c>
      <c r="B786" s="32" t="s">
        <v>2663</v>
      </c>
      <c r="C786" s="32" t="s">
        <v>4838</v>
      </c>
      <c r="D786" s="32" t="s">
        <v>4839</v>
      </c>
      <c r="E786" s="32" t="s">
        <v>4789</v>
      </c>
      <c r="F786" s="4" t="s">
        <v>4840</v>
      </c>
      <c r="G786" s="4" t="s">
        <v>4787</v>
      </c>
      <c r="H786" s="4"/>
      <c r="K786" s="18"/>
      <c r="L786" s="20"/>
      <c r="M786" s="20"/>
      <c r="N786" s="20"/>
      <c r="O786" s="20"/>
      <c r="P786" s="20"/>
      <c r="Q786" s="20"/>
      <c r="R786" s="20"/>
      <c r="S786" s="20"/>
      <c r="T786" s="20"/>
      <c r="U786" s="20"/>
      <c r="AF786" s="11" t="str">
        <f t="shared" si="693"/>
        <v/>
      </c>
      <c r="AG786" s="11" t="str">
        <f t="shared" ref="AG786:AO786" si="722">if(not(isblank(M786)),", "&amp;M786,"")</f>
        <v/>
      </c>
      <c r="AH786" s="11" t="str">
        <f t="shared" si="722"/>
        <v/>
      </c>
      <c r="AI786" s="11" t="str">
        <f t="shared" si="722"/>
        <v/>
      </c>
      <c r="AJ786" s="11" t="str">
        <f t="shared" si="722"/>
        <v/>
      </c>
      <c r="AK786" s="11" t="str">
        <f t="shared" si="722"/>
        <v/>
      </c>
      <c r="AL786" s="11" t="str">
        <f t="shared" si="722"/>
        <v/>
      </c>
      <c r="AM786" s="11" t="str">
        <f t="shared" si="722"/>
        <v/>
      </c>
      <c r="AN786" s="11" t="str">
        <f t="shared" si="722"/>
        <v/>
      </c>
      <c r="AO786" s="11" t="str">
        <f t="shared" si="722"/>
        <v/>
      </c>
      <c r="AP786" s="21" t="str">
        <f t="shared" si="695"/>
        <v>bergerac-lis-ecorce</v>
      </c>
    </row>
    <row r="787" ht="16.5" customHeight="1">
      <c r="A787" s="32" t="s">
        <v>4720</v>
      </c>
      <c r="B787" s="32" t="s">
        <v>4841</v>
      </c>
      <c r="C787" s="32" t="s">
        <v>4842</v>
      </c>
      <c r="D787" s="32" t="s">
        <v>4843</v>
      </c>
      <c r="E787" s="36"/>
      <c r="F787" s="4"/>
      <c r="G787" s="4"/>
      <c r="H787" s="4"/>
      <c r="K787" s="18"/>
      <c r="L787" s="20"/>
      <c r="M787" s="20"/>
      <c r="N787" s="20"/>
      <c r="O787" s="20"/>
      <c r="P787" s="20"/>
      <c r="Q787" s="20"/>
      <c r="R787" s="20"/>
      <c r="S787" s="20"/>
      <c r="T787" s="20"/>
      <c r="U787" s="20"/>
      <c r="AP787" s="21"/>
    </row>
    <row r="788" ht="16.5" customHeight="1">
      <c r="A788" s="32" t="s">
        <v>4720</v>
      </c>
      <c r="B788" s="32" t="s">
        <v>2594</v>
      </c>
      <c r="C788" s="32" t="s">
        <v>4844</v>
      </c>
      <c r="D788" s="32" t="s">
        <v>4845</v>
      </c>
      <c r="E788" s="32" t="s">
        <v>4723</v>
      </c>
      <c r="F788" s="4" t="s">
        <v>4846</v>
      </c>
      <c r="G788" s="4" t="s">
        <v>4847</v>
      </c>
      <c r="K788" s="18"/>
      <c r="L788" s="20"/>
      <c r="M788" s="20"/>
      <c r="N788" s="20"/>
      <c r="O788" s="20"/>
      <c r="P788" s="20"/>
      <c r="Q788" s="20"/>
      <c r="R788" s="20"/>
      <c r="S788" s="20"/>
      <c r="T788" s="20"/>
      <c r="U788" s="20"/>
      <c r="AP788" s="21"/>
    </row>
    <row r="789" ht="16.5" customHeight="1">
      <c r="A789" s="32" t="s">
        <v>4848</v>
      </c>
      <c r="B789" s="32" t="s">
        <v>4849</v>
      </c>
      <c r="C789" s="32" t="s">
        <v>4850</v>
      </c>
      <c r="D789" s="32" t="s">
        <v>4851</v>
      </c>
      <c r="E789" s="32" t="s">
        <v>4852</v>
      </c>
      <c r="F789" s="4" t="s">
        <v>4853</v>
      </c>
      <c r="G789" s="4" t="s">
        <v>4854</v>
      </c>
      <c r="H789" s="4"/>
      <c r="K789" s="18"/>
      <c r="L789" s="20"/>
      <c r="M789" s="20"/>
      <c r="N789" s="20"/>
      <c r="O789" s="20"/>
      <c r="P789" s="20"/>
      <c r="Q789" s="20"/>
      <c r="R789" s="20"/>
      <c r="S789" s="20"/>
      <c r="T789" s="20"/>
      <c r="U789" s="20"/>
      <c r="AF789" s="11" t="str">
        <f t="shared" ref="AF789:AF824" si="724">if(not(isblank(L789)),L789,"")</f>
        <v/>
      </c>
      <c r="AG789" s="11" t="str">
        <f t="shared" ref="AG789:AO789" si="723">if(not(isblank(M789)),", "&amp;M789,"")</f>
        <v/>
      </c>
      <c r="AH789" s="11" t="str">
        <f t="shared" si="723"/>
        <v/>
      </c>
      <c r="AI789" s="11" t="str">
        <f t="shared" si="723"/>
        <v/>
      </c>
      <c r="AJ789" s="11" t="str">
        <f t="shared" si="723"/>
        <v/>
      </c>
      <c r="AK789" s="11" t="str">
        <f t="shared" si="723"/>
        <v/>
      </c>
      <c r="AL789" s="11" t="str">
        <f t="shared" si="723"/>
        <v/>
      </c>
      <c r="AM789" s="11" t="str">
        <f t="shared" si="723"/>
        <v/>
      </c>
      <c r="AN789" s="11" t="str">
        <f t="shared" si="723"/>
        <v/>
      </c>
      <c r="AO789" s="11" t="str">
        <f t="shared" si="723"/>
        <v/>
      </c>
      <c r="AP789" s="21" t="str">
        <f t="shared" ref="AP789:AP824" si="726">if(isblank(L789),G789,AF789&amp;AG789&amp;AH789&amp;AI789&amp;AJ789&amp;AK789&amp;AL789&amp;AM789&amp;AN789&amp;AO789)</f>
        <v>primeboots-mia-nappa-black</v>
      </c>
    </row>
    <row r="790" ht="16.5" customHeight="1">
      <c r="A790" s="32" t="s">
        <v>4848</v>
      </c>
      <c r="B790" s="32" t="s">
        <v>4849</v>
      </c>
      <c r="C790" s="32" t="s">
        <v>4854</v>
      </c>
      <c r="D790" s="32" t="s">
        <v>4855</v>
      </c>
      <c r="E790" s="32" t="s">
        <v>4856</v>
      </c>
      <c r="F790" s="4" t="s">
        <v>4857</v>
      </c>
      <c r="G790" s="4" t="s">
        <v>4850</v>
      </c>
      <c r="H790" s="4"/>
      <c r="K790" s="18"/>
      <c r="L790" s="20"/>
      <c r="M790" s="20"/>
      <c r="N790" s="20"/>
      <c r="O790" s="20"/>
      <c r="P790" s="20"/>
      <c r="Q790" s="20"/>
      <c r="R790" s="20"/>
      <c r="S790" s="20"/>
      <c r="T790" s="20"/>
      <c r="U790" s="20"/>
      <c r="AF790" s="11" t="str">
        <f t="shared" si="724"/>
        <v/>
      </c>
      <c r="AG790" s="11" t="str">
        <f t="shared" ref="AG790:AO790" si="725">if(not(isblank(M790)),", "&amp;M790,"")</f>
        <v/>
      </c>
      <c r="AH790" s="11" t="str">
        <f t="shared" si="725"/>
        <v/>
      </c>
      <c r="AI790" s="11" t="str">
        <f t="shared" si="725"/>
        <v/>
      </c>
      <c r="AJ790" s="11" t="str">
        <f t="shared" si="725"/>
        <v/>
      </c>
      <c r="AK790" s="11" t="str">
        <f t="shared" si="725"/>
        <v/>
      </c>
      <c r="AL790" s="11" t="str">
        <f t="shared" si="725"/>
        <v/>
      </c>
      <c r="AM790" s="11" t="str">
        <f t="shared" si="725"/>
        <v/>
      </c>
      <c r="AN790" s="11" t="str">
        <f t="shared" si="725"/>
        <v/>
      </c>
      <c r="AO790" s="11" t="str">
        <f t="shared" si="725"/>
        <v/>
      </c>
      <c r="AP790" s="21" t="str">
        <f t="shared" si="726"/>
        <v>primeboots-mia-python-print-beige</v>
      </c>
    </row>
    <row r="791" ht="16.5" customHeight="1">
      <c r="A791" s="32" t="s">
        <v>4858</v>
      </c>
      <c r="B791" s="32" t="s">
        <v>4409</v>
      </c>
      <c r="C791" s="32" t="s">
        <v>4859</v>
      </c>
      <c r="D791" s="32" t="s">
        <v>4860</v>
      </c>
      <c r="E791" s="32" t="s">
        <v>4861</v>
      </c>
      <c r="F791" s="4" t="s">
        <v>4862</v>
      </c>
      <c r="G791" s="4" t="s">
        <v>4863</v>
      </c>
      <c r="H791" s="4"/>
      <c r="K791" s="18"/>
      <c r="L791" s="20"/>
      <c r="M791" s="20"/>
      <c r="N791" s="20"/>
      <c r="O791" s="20"/>
      <c r="P791" s="20"/>
      <c r="Q791" s="20"/>
      <c r="R791" s="20"/>
      <c r="S791" s="20"/>
      <c r="T791" s="20"/>
      <c r="U791" s="20"/>
      <c r="AF791" s="11" t="str">
        <f t="shared" si="724"/>
        <v/>
      </c>
      <c r="AG791" s="11" t="str">
        <f t="shared" ref="AG791:AO791" si="727">if(not(isblank(M791)),", "&amp;M791,"")</f>
        <v/>
      </c>
      <c r="AH791" s="11" t="str">
        <f t="shared" si="727"/>
        <v/>
      </c>
      <c r="AI791" s="11" t="str">
        <f t="shared" si="727"/>
        <v/>
      </c>
      <c r="AJ791" s="11" t="str">
        <f t="shared" si="727"/>
        <v/>
      </c>
      <c r="AK791" s="11" t="str">
        <f t="shared" si="727"/>
        <v/>
      </c>
      <c r="AL791" s="11" t="str">
        <f t="shared" si="727"/>
        <v/>
      </c>
      <c r="AM791" s="11" t="str">
        <f t="shared" si="727"/>
        <v/>
      </c>
      <c r="AN791" s="11" t="str">
        <f t="shared" si="727"/>
        <v/>
      </c>
      <c r="AO791" s="11" t="str">
        <f t="shared" si="727"/>
        <v/>
      </c>
      <c r="AP791" s="21" t="str">
        <f t="shared" si="726"/>
        <v>97098-boot-cream-oro-russet</v>
      </c>
    </row>
    <row r="792" ht="16.5" customHeight="1">
      <c r="A792" s="32" t="s">
        <v>4858</v>
      </c>
      <c r="B792" s="32" t="s">
        <v>4409</v>
      </c>
      <c r="C792" s="32" t="s">
        <v>4864</v>
      </c>
      <c r="D792" s="32" t="s">
        <v>4865</v>
      </c>
      <c r="E792" s="32" t="s">
        <v>4866</v>
      </c>
      <c r="F792" s="4" t="s">
        <v>4867</v>
      </c>
      <c r="G792" s="4"/>
      <c r="H792" s="4"/>
      <c r="K792" s="18"/>
      <c r="L792" s="20"/>
      <c r="M792" s="20"/>
      <c r="N792" s="20"/>
      <c r="O792" s="20"/>
      <c r="P792" s="20"/>
      <c r="Q792" s="20"/>
      <c r="R792" s="20"/>
      <c r="S792" s="20"/>
      <c r="T792" s="20"/>
      <c r="U792" s="20"/>
      <c r="AF792" s="11" t="str">
        <f t="shared" si="724"/>
        <v/>
      </c>
      <c r="AG792" s="11" t="str">
        <f t="shared" ref="AG792:AO792" si="728">if(not(isblank(M792)),", "&amp;M792,"")</f>
        <v/>
      </c>
      <c r="AH792" s="11" t="str">
        <f t="shared" si="728"/>
        <v/>
      </c>
      <c r="AI792" s="11" t="str">
        <f t="shared" si="728"/>
        <v/>
      </c>
      <c r="AJ792" s="11" t="str">
        <f t="shared" si="728"/>
        <v/>
      </c>
      <c r="AK792" s="11" t="str">
        <f t="shared" si="728"/>
        <v/>
      </c>
      <c r="AL792" s="11" t="str">
        <f t="shared" si="728"/>
        <v/>
      </c>
      <c r="AM792" s="11" t="str">
        <f t="shared" si="728"/>
        <v/>
      </c>
      <c r="AN792" s="11" t="str">
        <f t="shared" si="728"/>
        <v/>
      </c>
      <c r="AO792" s="11" t="str">
        <f t="shared" si="728"/>
        <v/>
      </c>
      <c r="AP792" s="21" t="str">
        <f t="shared" si="726"/>
        <v/>
      </c>
    </row>
    <row r="793" ht="16.5" customHeight="1">
      <c r="A793" s="32" t="s">
        <v>4858</v>
      </c>
      <c r="B793" s="32" t="s">
        <v>4409</v>
      </c>
      <c r="C793" s="32" t="s">
        <v>4868</v>
      </c>
      <c r="D793" s="32" t="s">
        <v>4869</v>
      </c>
      <c r="E793" s="32" t="s">
        <v>4870</v>
      </c>
      <c r="F793" s="4" t="s">
        <v>4871</v>
      </c>
      <c r="G793" s="4"/>
      <c r="H793" s="4"/>
      <c r="K793" s="18"/>
      <c r="L793" s="20"/>
      <c r="M793" s="20"/>
      <c r="N793" s="20"/>
      <c r="O793" s="20"/>
      <c r="P793" s="20"/>
      <c r="Q793" s="20"/>
      <c r="R793" s="20"/>
      <c r="S793" s="20"/>
      <c r="T793" s="20"/>
      <c r="U793" s="20"/>
      <c r="AF793" s="11" t="str">
        <f t="shared" si="724"/>
        <v/>
      </c>
      <c r="AG793" s="11" t="str">
        <f t="shared" ref="AG793:AO793" si="729">if(not(isblank(M793)),", "&amp;M793,"")</f>
        <v/>
      </c>
      <c r="AH793" s="11" t="str">
        <f t="shared" si="729"/>
        <v/>
      </c>
      <c r="AI793" s="11" t="str">
        <f t="shared" si="729"/>
        <v/>
      </c>
      <c r="AJ793" s="11" t="str">
        <f t="shared" si="729"/>
        <v/>
      </c>
      <c r="AK793" s="11" t="str">
        <f t="shared" si="729"/>
        <v/>
      </c>
      <c r="AL793" s="11" t="str">
        <f t="shared" si="729"/>
        <v/>
      </c>
      <c r="AM793" s="11" t="str">
        <f t="shared" si="729"/>
        <v/>
      </c>
      <c r="AN793" s="11" t="str">
        <f t="shared" si="729"/>
        <v/>
      </c>
      <c r="AO793" s="11" t="str">
        <f t="shared" si="729"/>
        <v/>
      </c>
      <c r="AP793" s="21" t="str">
        <f t="shared" si="726"/>
        <v/>
      </c>
    </row>
    <row r="794" ht="16.5" customHeight="1">
      <c r="A794" s="32" t="s">
        <v>4858</v>
      </c>
      <c r="B794" s="32" t="s">
        <v>4409</v>
      </c>
      <c r="C794" s="32" t="s">
        <v>4872</v>
      </c>
      <c r="D794" s="32" t="s">
        <v>4873</v>
      </c>
      <c r="E794" s="32" t="s">
        <v>4874</v>
      </c>
      <c r="F794" s="4" t="s">
        <v>4875</v>
      </c>
      <c r="G794" s="4"/>
      <c r="H794" s="4"/>
      <c r="K794" s="18"/>
      <c r="L794" s="20"/>
      <c r="M794" s="20"/>
      <c r="N794" s="20"/>
      <c r="O794" s="20"/>
      <c r="P794" s="20"/>
      <c r="Q794" s="20"/>
      <c r="R794" s="20"/>
      <c r="S794" s="20"/>
      <c r="T794" s="20"/>
      <c r="U794" s="20"/>
      <c r="AF794" s="11" t="str">
        <f t="shared" si="724"/>
        <v/>
      </c>
      <c r="AG794" s="11" t="str">
        <f t="shared" ref="AG794:AO794" si="730">if(not(isblank(M794)),", "&amp;M794,"")</f>
        <v/>
      </c>
      <c r="AH794" s="11" t="str">
        <f t="shared" si="730"/>
        <v/>
      </c>
      <c r="AI794" s="11" t="str">
        <f t="shared" si="730"/>
        <v/>
      </c>
      <c r="AJ794" s="11" t="str">
        <f t="shared" si="730"/>
        <v/>
      </c>
      <c r="AK794" s="11" t="str">
        <f t="shared" si="730"/>
        <v/>
      </c>
      <c r="AL794" s="11" t="str">
        <f t="shared" si="730"/>
        <v/>
      </c>
      <c r="AM794" s="11" t="str">
        <f t="shared" si="730"/>
        <v/>
      </c>
      <c r="AN794" s="11" t="str">
        <f t="shared" si="730"/>
        <v/>
      </c>
      <c r="AO794" s="11" t="str">
        <f t="shared" si="730"/>
        <v/>
      </c>
      <c r="AP794" s="21" t="str">
        <f t="shared" si="726"/>
        <v/>
      </c>
    </row>
    <row r="795" ht="16.5" customHeight="1">
      <c r="A795" s="32" t="s">
        <v>4858</v>
      </c>
      <c r="B795" s="32" t="s">
        <v>2663</v>
      </c>
      <c r="C795" s="32" t="s">
        <v>4876</v>
      </c>
      <c r="D795" s="32" t="s">
        <v>4877</v>
      </c>
      <c r="E795" s="32" t="s">
        <v>4878</v>
      </c>
      <c r="F795" s="4" t="s">
        <v>4879</v>
      </c>
      <c r="G795" s="4"/>
      <c r="H795" s="4"/>
      <c r="K795" s="18"/>
      <c r="L795" s="20"/>
      <c r="M795" s="20"/>
      <c r="N795" s="20"/>
      <c r="O795" s="20"/>
      <c r="P795" s="20"/>
      <c r="Q795" s="20"/>
      <c r="R795" s="20"/>
      <c r="S795" s="20"/>
      <c r="T795" s="20"/>
      <c r="U795" s="20"/>
      <c r="AF795" s="11" t="str">
        <f t="shared" si="724"/>
        <v/>
      </c>
      <c r="AG795" s="11" t="str">
        <f t="shared" ref="AG795:AO795" si="731">if(not(isblank(M795)),", "&amp;M795,"")</f>
        <v/>
      </c>
      <c r="AH795" s="11" t="str">
        <f t="shared" si="731"/>
        <v/>
      </c>
      <c r="AI795" s="11" t="str">
        <f t="shared" si="731"/>
        <v/>
      </c>
      <c r="AJ795" s="11" t="str">
        <f t="shared" si="731"/>
        <v/>
      </c>
      <c r="AK795" s="11" t="str">
        <f t="shared" si="731"/>
        <v/>
      </c>
      <c r="AL795" s="11" t="str">
        <f t="shared" si="731"/>
        <v/>
      </c>
      <c r="AM795" s="11" t="str">
        <f t="shared" si="731"/>
        <v/>
      </c>
      <c r="AN795" s="11" t="str">
        <f t="shared" si="731"/>
        <v/>
      </c>
      <c r="AO795" s="11" t="str">
        <f t="shared" si="731"/>
        <v/>
      </c>
      <c r="AP795" s="21" t="str">
        <f t="shared" si="726"/>
        <v/>
      </c>
    </row>
    <row r="796" ht="16.5" customHeight="1">
      <c r="A796" s="32" t="s">
        <v>4858</v>
      </c>
      <c r="B796" s="32" t="s">
        <v>2663</v>
      </c>
      <c r="C796" s="32" t="s">
        <v>4880</v>
      </c>
      <c r="D796" s="32" t="s">
        <v>4881</v>
      </c>
      <c r="E796" s="32" t="s">
        <v>4882</v>
      </c>
      <c r="F796" s="4" t="s">
        <v>4883</v>
      </c>
      <c r="G796" s="4" t="s">
        <v>4884</v>
      </c>
      <c r="H796" s="4"/>
      <c r="K796" s="18"/>
      <c r="L796" s="20"/>
      <c r="M796" s="20"/>
      <c r="N796" s="20"/>
      <c r="O796" s="20"/>
      <c r="P796" s="20"/>
      <c r="Q796" s="20"/>
      <c r="R796" s="20"/>
      <c r="S796" s="20"/>
      <c r="T796" s="20"/>
      <c r="U796" s="20"/>
      <c r="AF796" s="11" t="str">
        <f t="shared" si="724"/>
        <v/>
      </c>
      <c r="AG796" s="11" t="str">
        <f t="shared" ref="AG796:AO796" si="732">if(not(isblank(M796)),", "&amp;M796,"")</f>
        <v/>
      </c>
      <c r="AH796" s="11" t="str">
        <f t="shared" si="732"/>
        <v/>
      </c>
      <c r="AI796" s="11" t="str">
        <f t="shared" si="732"/>
        <v/>
      </c>
      <c r="AJ796" s="11" t="str">
        <f t="shared" si="732"/>
        <v/>
      </c>
      <c r="AK796" s="11" t="str">
        <f t="shared" si="732"/>
        <v/>
      </c>
      <c r="AL796" s="11" t="str">
        <f t="shared" si="732"/>
        <v/>
      </c>
      <c r="AM796" s="11" t="str">
        <f t="shared" si="732"/>
        <v/>
      </c>
      <c r="AN796" s="11" t="str">
        <f t="shared" si="732"/>
        <v/>
      </c>
      <c r="AO796" s="11" t="str">
        <f t="shared" si="732"/>
        <v/>
      </c>
      <c r="AP796" s="21" t="str">
        <f t="shared" si="726"/>
        <v>8085-iron-ranger-copper-rough</v>
      </c>
    </row>
    <row r="797" ht="16.5" customHeight="1">
      <c r="A797" s="32" t="s">
        <v>4858</v>
      </c>
      <c r="B797" s="32" t="s">
        <v>2663</v>
      </c>
      <c r="C797" s="32" t="s">
        <v>4884</v>
      </c>
      <c r="D797" s="32" t="s">
        <v>4885</v>
      </c>
      <c r="E797" s="32" t="s">
        <v>4886</v>
      </c>
      <c r="F797" s="4" t="s">
        <v>4887</v>
      </c>
      <c r="G797" s="4" t="s">
        <v>4880</v>
      </c>
      <c r="H797" s="4"/>
      <c r="K797" s="18"/>
      <c r="L797" s="20"/>
      <c r="M797" s="20"/>
      <c r="N797" s="20"/>
      <c r="O797" s="20"/>
      <c r="P797" s="20"/>
      <c r="Q797" s="20"/>
      <c r="R797" s="20"/>
      <c r="S797" s="20"/>
      <c r="T797" s="20"/>
      <c r="U797" s="20"/>
      <c r="AF797" s="11" t="str">
        <f t="shared" si="724"/>
        <v/>
      </c>
      <c r="AG797" s="11" t="str">
        <f t="shared" ref="AG797:AO797" si="733">if(not(isblank(M797)),", "&amp;M797,"")</f>
        <v/>
      </c>
      <c r="AH797" s="11" t="str">
        <f t="shared" si="733"/>
        <v/>
      </c>
      <c r="AI797" s="11" t="str">
        <f t="shared" si="733"/>
        <v/>
      </c>
      <c r="AJ797" s="11" t="str">
        <f t="shared" si="733"/>
        <v/>
      </c>
      <c r="AK797" s="11" t="str">
        <f t="shared" si="733"/>
        <v/>
      </c>
      <c r="AL797" s="11" t="str">
        <f t="shared" si="733"/>
        <v/>
      </c>
      <c r="AM797" s="11" t="str">
        <f t="shared" si="733"/>
        <v/>
      </c>
      <c r="AN797" s="11" t="str">
        <f t="shared" si="733"/>
        <v/>
      </c>
      <c r="AO797" s="11" t="str">
        <f t="shared" si="733"/>
        <v/>
      </c>
      <c r="AP797" s="21" t="str">
        <f t="shared" si="726"/>
        <v>8084-iron-ranger-black-harness</v>
      </c>
    </row>
    <row r="798" ht="16.5" customHeight="1">
      <c r="A798" s="32" t="s">
        <v>4858</v>
      </c>
      <c r="B798" s="32" t="s">
        <v>4409</v>
      </c>
      <c r="C798" s="32" t="s">
        <v>4888</v>
      </c>
      <c r="D798" s="32" t="s">
        <v>4889</v>
      </c>
      <c r="E798" s="32" t="s">
        <v>4890</v>
      </c>
      <c r="F798" s="4" t="s">
        <v>4891</v>
      </c>
      <c r="G798" s="4"/>
      <c r="H798" s="4"/>
      <c r="K798" s="18"/>
      <c r="L798" s="20"/>
      <c r="M798" s="20"/>
      <c r="N798" s="20"/>
      <c r="O798" s="20"/>
      <c r="P798" s="20"/>
      <c r="Q798" s="20"/>
      <c r="R798" s="20"/>
      <c r="S798" s="20"/>
      <c r="T798" s="20"/>
      <c r="U798" s="20"/>
      <c r="AF798" s="11" t="str">
        <f t="shared" si="724"/>
        <v/>
      </c>
      <c r="AG798" s="11" t="str">
        <f t="shared" ref="AG798:AO798" si="734">if(not(isblank(M798)),", "&amp;M798,"")</f>
        <v/>
      </c>
      <c r="AH798" s="11" t="str">
        <f t="shared" si="734"/>
        <v/>
      </c>
      <c r="AI798" s="11" t="str">
        <f t="shared" si="734"/>
        <v/>
      </c>
      <c r="AJ798" s="11" t="str">
        <f t="shared" si="734"/>
        <v/>
      </c>
      <c r="AK798" s="11" t="str">
        <f t="shared" si="734"/>
        <v/>
      </c>
      <c r="AL798" s="11" t="str">
        <f t="shared" si="734"/>
        <v/>
      </c>
      <c r="AM798" s="11" t="str">
        <f t="shared" si="734"/>
        <v/>
      </c>
      <c r="AN798" s="11" t="str">
        <f t="shared" si="734"/>
        <v/>
      </c>
      <c r="AO798" s="11" t="str">
        <f t="shared" si="734"/>
        <v/>
      </c>
      <c r="AP798" s="21" t="str">
        <f t="shared" si="726"/>
        <v/>
      </c>
    </row>
    <row r="799" ht="16.5" customHeight="1">
      <c r="A799" s="32" t="s">
        <v>4858</v>
      </c>
      <c r="B799" s="32" t="s">
        <v>4409</v>
      </c>
      <c r="C799" s="32" t="s">
        <v>4863</v>
      </c>
      <c r="D799" s="32" t="s">
        <v>4892</v>
      </c>
      <c r="E799" s="32" t="s">
        <v>4893</v>
      </c>
      <c r="F799" s="4" t="s">
        <v>4894</v>
      </c>
      <c r="G799" s="4" t="s">
        <v>4859</v>
      </c>
      <c r="H799" s="4"/>
      <c r="K799" s="18"/>
      <c r="L799" s="20"/>
      <c r="M799" s="20"/>
      <c r="N799" s="20"/>
      <c r="O799" s="20"/>
      <c r="P799" s="20"/>
      <c r="Q799" s="20"/>
      <c r="R799" s="20"/>
      <c r="S799" s="20"/>
      <c r="T799" s="20"/>
      <c r="U799" s="20"/>
      <c r="AF799" s="11" t="str">
        <f t="shared" si="724"/>
        <v/>
      </c>
      <c r="AG799" s="11" t="str">
        <f t="shared" ref="AG799:AO799" si="735">if(not(isblank(M799)),", "&amp;M799,"")</f>
        <v/>
      </c>
      <c r="AH799" s="11" t="str">
        <f t="shared" si="735"/>
        <v/>
      </c>
      <c r="AI799" s="11" t="str">
        <f t="shared" si="735"/>
        <v/>
      </c>
      <c r="AJ799" s="11" t="str">
        <f t="shared" si="735"/>
        <v/>
      </c>
      <c r="AK799" s="11" t="str">
        <f t="shared" si="735"/>
        <v/>
      </c>
      <c r="AL799" s="11" t="str">
        <f t="shared" si="735"/>
        <v/>
      </c>
      <c r="AM799" s="11" t="str">
        <f t="shared" si="735"/>
        <v/>
      </c>
      <c r="AN799" s="11" t="str">
        <f t="shared" si="735"/>
        <v/>
      </c>
      <c r="AO799" s="11" t="str">
        <f t="shared" si="735"/>
        <v/>
      </c>
      <c r="AP799" s="21" t="str">
        <f t="shared" si="726"/>
        <v>boot-cream</v>
      </c>
    </row>
    <row r="800" ht="16.5" customHeight="1">
      <c r="A800" s="32" t="s">
        <v>4858</v>
      </c>
      <c r="B800" s="32" t="s">
        <v>4409</v>
      </c>
      <c r="C800" s="32" t="s">
        <v>4895</v>
      </c>
      <c r="D800" s="32" t="s">
        <v>4896</v>
      </c>
      <c r="E800" s="32" t="s">
        <v>4897</v>
      </c>
      <c r="F800" s="4" t="s">
        <v>4898</v>
      </c>
      <c r="G800" s="4"/>
      <c r="H800" s="4"/>
      <c r="K800" s="18"/>
      <c r="L800" s="20"/>
      <c r="M800" s="20"/>
      <c r="N800" s="20"/>
      <c r="O800" s="20"/>
      <c r="P800" s="20"/>
      <c r="Q800" s="20"/>
      <c r="R800" s="20"/>
      <c r="S800" s="20"/>
      <c r="T800" s="20"/>
      <c r="U800" s="20"/>
      <c r="AF800" s="11" t="str">
        <f t="shared" si="724"/>
        <v/>
      </c>
      <c r="AG800" s="11" t="str">
        <f t="shared" ref="AG800:AO800" si="736">if(not(isblank(M800)),", "&amp;M800,"")</f>
        <v/>
      </c>
      <c r="AH800" s="11" t="str">
        <f t="shared" si="736"/>
        <v/>
      </c>
      <c r="AI800" s="11" t="str">
        <f t="shared" si="736"/>
        <v/>
      </c>
      <c r="AJ800" s="11" t="str">
        <f t="shared" si="736"/>
        <v/>
      </c>
      <c r="AK800" s="11" t="str">
        <f t="shared" si="736"/>
        <v/>
      </c>
      <c r="AL800" s="11" t="str">
        <f t="shared" si="736"/>
        <v/>
      </c>
      <c r="AM800" s="11" t="str">
        <f t="shared" si="736"/>
        <v/>
      </c>
      <c r="AN800" s="11" t="str">
        <f t="shared" si="736"/>
        <v/>
      </c>
      <c r="AO800" s="11" t="str">
        <f t="shared" si="736"/>
        <v/>
      </c>
      <c r="AP800" s="21" t="str">
        <f t="shared" si="726"/>
        <v/>
      </c>
    </row>
    <row r="801" ht="16.5" customHeight="1">
      <c r="A801" s="32" t="s">
        <v>4858</v>
      </c>
      <c r="B801" s="32" t="s">
        <v>4409</v>
      </c>
      <c r="C801" s="32" t="s">
        <v>4899</v>
      </c>
      <c r="D801" s="32" t="s">
        <v>4900</v>
      </c>
      <c r="E801" s="32" t="s">
        <v>4901</v>
      </c>
      <c r="F801" s="4" t="s">
        <v>4902</v>
      </c>
      <c r="G801" s="4" t="s">
        <v>4903</v>
      </c>
      <c r="K801" s="18"/>
      <c r="L801" s="20"/>
      <c r="M801" s="20"/>
      <c r="N801" s="20"/>
      <c r="O801" s="20"/>
      <c r="P801" s="20"/>
      <c r="Q801" s="20"/>
      <c r="R801" s="20"/>
      <c r="S801" s="20"/>
      <c r="T801" s="20"/>
      <c r="U801" s="20"/>
      <c r="AF801" s="11" t="str">
        <f t="shared" si="724"/>
        <v/>
      </c>
      <c r="AG801" s="11" t="str">
        <f t="shared" ref="AG801:AO801" si="737">if(not(isblank(M801)),", "&amp;M801,"")</f>
        <v/>
      </c>
      <c r="AH801" s="11" t="str">
        <f t="shared" si="737"/>
        <v/>
      </c>
      <c r="AI801" s="11" t="str">
        <f t="shared" si="737"/>
        <v/>
      </c>
      <c r="AJ801" s="11" t="str">
        <f t="shared" si="737"/>
        <v/>
      </c>
      <c r="AK801" s="11" t="str">
        <f t="shared" si="737"/>
        <v/>
      </c>
      <c r="AL801" s="11" t="str">
        <f t="shared" si="737"/>
        <v/>
      </c>
      <c r="AM801" s="11" t="str">
        <f t="shared" si="737"/>
        <v/>
      </c>
      <c r="AN801" s="11" t="str">
        <f t="shared" si="737"/>
        <v/>
      </c>
      <c r="AO801" s="11" t="str">
        <f t="shared" si="737"/>
        <v/>
      </c>
      <c r="AP801" s="21" t="str">
        <f t="shared" si="726"/>
        <v>ext-rw-97157, 97158-taslan-brown-black-48-shoe-lace</v>
      </c>
    </row>
    <row r="802" ht="16.5" customHeight="1">
      <c r="A802" s="32" t="s">
        <v>4858</v>
      </c>
      <c r="B802" s="32" t="s">
        <v>4409</v>
      </c>
      <c r="C802" s="32" t="s">
        <v>4904</v>
      </c>
      <c r="D802" s="32" t="s">
        <v>4905</v>
      </c>
      <c r="E802" s="32" t="s">
        <v>4906</v>
      </c>
      <c r="F802" s="4" t="s">
        <v>4907</v>
      </c>
      <c r="G802" s="4" t="s">
        <v>4908</v>
      </c>
      <c r="K802" s="18"/>
      <c r="L802" s="20"/>
      <c r="M802" s="20"/>
      <c r="N802" s="20"/>
      <c r="O802" s="20"/>
      <c r="P802" s="20"/>
      <c r="Q802" s="20"/>
      <c r="R802" s="20"/>
      <c r="S802" s="20"/>
      <c r="T802" s="20"/>
      <c r="U802" s="20"/>
      <c r="AF802" s="11" t="str">
        <f t="shared" si="724"/>
        <v/>
      </c>
      <c r="AG802" s="11" t="str">
        <f t="shared" ref="AG802:AO802" si="738">if(not(isblank(M802)),", "&amp;M802,"")</f>
        <v/>
      </c>
      <c r="AH802" s="11" t="str">
        <f t="shared" si="738"/>
        <v/>
      </c>
      <c r="AI802" s="11" t="str">
        <f t="shared" si="738"/>
        <v/>
      </c>
      <c r="AJ802" s="11" t="str">
        <f t="shared" si="738"/>
        <v/>
      </c>
      <c r="AK802" s="11" t="str">
        <f t="shared" si="738"/>
        <v/>
      </c>
      <c r="AL802" s="11" t="str">
        <f t="shared" si="738"/>
        <v/>
      </c>
      <c r="AM802" s="11" t="str">
        <f t="shared" si="738"/>
        <v/>
      </c>
      <c r="AN802" s="11" t="str">
        <f t="shared" si="738"/>
        <v/>
      </c>
      <c r="AO802" s="11" t="str">
        <f t="shared" si="738"/>
        <v/>
      </c>
      <c r="AP802" s="21" t="str">
        <f t="shared" si="726"/>
        <v>97150-taslan-gold-tan-48-shoe-lace, 97158-taslan-brown-black-48-shoe-lace</v>
      </c>
    </row>
    <row r="803" ht="16.5" customHeight="1">
      <c r="A803" s="32" t="s">
        <v>4858</v>
      </c>
      <c r="B803" s="32" t="s">
        <v>4409</v>
      </c>
      <c r="C803" s="32" t="s">
        <v>4909</v>
      </c>
      <c r="D803" s="32" t="s">
        <v>4910</v>
      </c>
      <c r="E803" s="32" t="s">
        <v>4911</v>
      </c>
      <c r="F803" s="4" t="s">
        <v>4912</v>
      </c>
      <c r="G803" s="4" t="s">
        <v>4913</v>
      </c>
      <c r="K803" s="18"/>
      <c r="L803" s="20"/>
      <c r="M803" s="20"/>
      <c r="N803" s="20"/>
      <c r="O803" s="20"/>
      <c r="P803" s="20"/>
      <c r="Q803" s="20"/>
      <c r="R803" s="20"/>
      <c r="S803" s="20"/>
      <c r="T803" s="20"/>
      <c r="U803" s="20"/>
      <c r="AF803" s="11" t="str">
        <f t="shared" si="724"/>
        <v/>
      </c>
      <c r="AG803" s="11" t="str">
        <f t="shared" ref="AG803:AO803" si="739">if(not(isblank(M803)),", "&amp;M803,"")</f>
        <v/>
      </c>
      <c r="AH803" s="11" t="str">
        <f t="shared" si="739"/>
        <v/>
      </c>
      <c r="AI803" s="11" t="str">
        <f t="shared" si="739"/>
        <v/>
      </c>
      <c r="AJ803" s="11" t="str">
        <f t="shared" si="739"/>
        <v/>
      </c>
      <c r="AK803" s="11" t="str">
        <f t="shared" si="739"/>
        <v/>
      </c>
      <c r="AL803" s="11" t="str">
        <f t="shared" si="739"/>
        <v/>
      </c>
      <c r="AM803" s="11" t="str">
        <f t="shared" si="739"/>
        <v/>
      </c>
      <c r="AN803" s="11" t="str">
        <f t="shared" si="739"/>
        <v/>
      </c>
      <c r="AO803" s="11" t="str">
        <f t="shared" si="739"/>
        <v/>
      </c>
      <c r="AP803" s="21" t="str">
        <f t="shared" si="726"/>
        <v>ext-rw-97157, 97150-taslan-gold-tan-48-shoe-lace</v>
      </c>
    </row>
    <row r="804" ht="16.5" customHeight="1">
      <c r="A804" s="32" t="s">
        <v>4858</v>
      </c>
      <c r="B804" s="32" t="s">
        <v>4409</v>
      </c>
      <c r="C804" s="32" t="s">
        <v>4914</v>
      </c>
      <c r="D804" s="32" t="s">
        <v>4915</v>
      </c>
      <c r="E804" s="32" t="s">
        <v>4916</v>
      </c>
      <c r="F804" s="4" t="s">
        <v>4917</v>
      </c>
      <c r="G804" s="4"/>
      <c r="H804" s="4"/>
      <c r="K804" s="18"/>
      <c r="L804" s="20"/>
      <c r="M804" s="20"/>
      <c r="N804" s="20"/>
      <c r="O804" s="20"/>
      <c r="P804" s="20"/>
      <c r="Q804" s="20"/>
      <c r="R804" s="20"/>
      <c r="S804" s="20"/>
      <c r="T804" s="20"/>
      <c r="U804" s="20"/>
      <c r="AF804" s="11" t="str">
        <f t="shared" si="724"/>
        <v/>
      </c>
      <c r="AG804" s="11" t="str">
        <f t="shared" ref="AG804:AO804" si="740">if(not(isblank(M804)),", "&amp;M804,"")</f>
        <v/>
      </c>
      <c r="AH804" s="11" t="str">
        <f t="shared" si="740"/>
        <v/>
      </c>
      <c r="AI804" s="11" t="str">
        <f t="shared" si="740"/>
        <v/>
      </c>
      <c r="AJ804" s="11" t="str">
        <f t="shared" si="740"/>
        <v/>
      </c>
      <c r="AK804" s="11" t="str">
        <f t="shared" si="740"/>
        <v/>
      </c>
      <c r="AL804" s="11" t="str">
        <f t="shared" si="740"/>
        <v/>
      </c>
      <c r="AM804" s="11" t="str">
        <f t="shared" si="740"/>
        <v/>
      </c>
      <c r="AN804" s="11" t="str">
        <f t="shared" si="740"/>
        <v/>
      </c>
      <c r="AO804" s="11" t="str">
        <f t="shared" si="740"/>
        <v/>
      </c>
      <c r="AP804" s="21" t="str">
        <f t="shared" si="726"/>
        <v/>
      </c>
    </row>
    <row r="805" ht="16.5" customHeight="1">
      <c r="A805" s="32" t="s">
        <v>4918</v>
      </c>
      <c r="B805" s="32" t="s">
        <v>3083</v>
      </c>
      <c r="C805" s="32" t="s">
        <v>4919</v>
      </c>
      <c r="D805" s="32" t="s">
        <v>4920</v>
      </c>
      <c r="E805" s="32" t="s">
        <v>4921</v>
      </c>
      <c r="F805" s="4" t="s">
        <v>4922</v>
      </c>
      <c r="G805" s="4"/>
      <c r="H805" s="4"/>
      <c r="K805" s="18"/>
      <c r="L805" s="19" t="s">
        <v>4068</v>
      </c>
      <c r="M805" s="20"/>
      <c r="N805" s="20"/>
      <c r="O805" s="20"/>
      <c r="P805" s="20"/>
      <c r="Q805" s="20"/>
      <c r="R805" s="20"/>
      <c r="S805" s="20"/>
      <c r="T805" s="20"/>
      <c r="U805" s="20"/>
      <c r="AF805" s="11" t="str">
        <f t="shared" si="724"/>
        <v>keller-chestnut-overdye</v>
      </c>
      <c r="AG805" s="11" t="str">
        <f t="shared" ref="AG805:AO805" si="741">if(not(isblank(M805)),", "&amp;M805,"")</f>
        <v/>
      </c>
      <c r="AH805" s="11" t="str">
        <f t="shared" si="741"/>
        <v/>
      </c>
      <c r="AI805" s="11" t="str">
        <f t="shared" si="741"/>
        <v/>
      </c>
      <c r="AJ805" s="11" t="str">
        <f t="shared" si="741"/>
        <v/>
      </c>
      <c r="AK805" s="11" t="str">
        <f t="shared" si="741"/>
        <v/>
      </c>
      <c r="AL805" s="11" t="str">
        <f t="shared" si="741"/>
        <v/>
      </c>
      <c r="AM805" s="11" t="str">
        <f t="shared" si="741"/>
        <v/>
      </c>
      <c r="AN805" s="11" t="str">
        <f t="shared" si="741"/>
        <v/>
      </c>
      <c r="AO805" s="11" t="str">
        <f t="shared" si="741"/>
        <v/>
      </c>
      <c r="AP805" s="21" t="str">
        <f t="shared" si="726"/>
        <v>keller-chestnut-overdye</v>
      </c>
    </row>
    <row r="806" ht="16.5" customHeight="1">
      <c r="A806" s="32" t="s">
        <v>4923</v>
      </c>
      <c r="B806" s="32" t="s">
        <v>2206</v>
      </c>
      <c r="C806" s="32" t="s">
        <v>4924</v>
      </c>
      <c r="D806" s="32" t="s">
        <v>4925</v>
      </c>
      <c r="E806" s="32" t="s">
        <v>4926</v>
      </c>
      <c r="F806" s="7" t="s">
        <v>4927</v>
      </c>
      <c r="G806" s="4" t="s">
        <v>4928</v>
      </c>
      <c r="K806" s="18"/>
      <c r="L806" s="19" t="s">
        <v>4929</v>
      </c>
      <c r="M806" s="19" t="s">
        <v>4930</v>
      </c>
      <c r="N806" s="19" t="s">
        <v>4931</v>
      </c>
      <c r="O806" s="19" t="s">
        <v>4932</v>
      </c>
      <c r="P806" s="19" t="s">
        <v>4933</v>
      </c>
      <c r="Q806" s="19"/>
      <c r="R806" s="20"/>
      <c r="S806" s="20"/>
      <c r="T806" s="20"/>
      <c r="U806" s="20"/>
      <c r="AF806" s="11" t="str">
        <f t="shared" si="724"/>
        <v>double-face-merino-wool-cotton-oatmeal</v>
      </c>
      <c r="AG806" s="11" t="str">
        <f t="shared" ref="AG806:AO806" si="742">if(not(isblank(M806)),", "&amp;M806,"")</f>
        <v>, double-face-merino-wool-cotton-mid-grey</v>
      </c>
      <c r="AH806" s="11" t="str">
        <f t="shared" si="742"/>
        <v>, double-face-merino-wool-cotton-army-green</v>
      </c>
      <c r="AI806" s="11" t="str">
        <f t="shared" si="742"/>
        <v>, double-face-merino-wool-cotton-camel</v>
      </c>
      <c r="AJ806" s="11" t="str">
        <f t="shared" si="742"/>
        <v>, double-face-merino-wool-cotton-deep-ocean</v>
      </c>
      <c r="AK806" s="11" t="str">
        <f t="shared" si="742"/>
        <v/>
      </c>
      <c r="AL806" s="11" t="str">
        <f t="shared" si="742"/>
        <v/>
      </c>
      <c r="AM806" s="11" t="str">
        <f t="shared" si="742"/>
        <v/>
      </c>
      <c r="AN806" s="11" t="str">
        <f t="shared" si="742"/>
        <v/>
      </c>
      <c r="AO806" s="11" t="str">
        <f t="shared" si="742"/>
        <v/>
      </c>
      <c r="AP806" s="21" t="str">
        <f t="shared" si="726"/>
        <v>double-face-merino-wool-cotton-oatmeal, double-face-merino-wool-cotton-mid-grey, double-face-merino-wool-cotton-army-green, double-face-merino-wool-cotton-camel, double-face-merino-wool-cotton-deep-ocean</v>
      </c>
    </row>
    <row r="807" ht="16.5" customHeight="1">
      <c r="A807" s="32" t="s">
        <v>4923</v>
      </c>
      <c r="B807" s="32" t="s">
        <v>4934</v>
      </c>
      <c r="C807" s="32" t="s">
        <v>4933</v>
      </c>
      <c r="D807" s="32" t="s">
        <v>4935</v>
      </c>
      <c r="E807" s="32" t="s">
        <v>4926</v>
      </c>
      <c r="F807" s="7" t="s">
        <v>4927</v>
      </c>
      <c r="G807" s="4" t="s">
        <v>4936</v>
      </c>
      <c r="K807" s="18"/>
      <c r="L807" s="19" t="s">
        <v>4929</v>
      </c>
      <c r="M807" s="19" t="s">
        <v>4930</v>
      </c>
      <c r="N807" s="19" t="s">
        <v>4931</v>
      </c>
      <c r="O807" s="19" t="s">
        <v>4924</v>
      </c>
      <c r="P807" s="19" t="s">
        <v>4932</v>
      </c>
      <c r="Q807" s="19"/>
      <c r="R807" s="20"/>
      <c r="S807" s="20"/>
      <c r="T807" s="20"/>
      <c r="U807" s="20"/>
      <c r="AF807" s="11" t="str">
        <f t="shared" si="724"/>
        <v>double-face-merino-wool-cotton-oatmeal</v>
      </c>
      <c r="AG807" s="11" t="str">
        <f t="shared" ref="AG807:AO807" si="743">if(not(isblank(M807)),", "&amp;M807,"")</f>
        <v>, double-face-merino-wool-cotton-mid-grey</v>
      </c>
      <c r="AH807" s="11" t="str">
        <f t="shared" si="743"/>
        <v>, double-face-merino-wool-cotton-army-green</v>
      </c>
      <c r="AI807" s="11" t="str">
        <f t="shared" si="743"/>
        <v>, double-face-merino-wool-cotton-blue-brown</v>
      </c>
      <c r="AJ807" s="11" t="str">
        <f t="shared" si="743"/>
        <v>, double-face-merino-wool-cotton-camel</v>
      </c>
      <c r="AK807" s="11" t="str">
        <f t="shared" si="743"/>
        <v/>
      </c>
      <c r="AL807" s="11" t="str">
        <f t="shared" si="743"/>
        <v/>
      </c>
      <c r="AM807" s="11" t="str">
        <f t="shared" si="743"/>
        <v/>
      </c>
      <c r="AN807" s="11" t="str">
        <f t="shared" si="743"/>
        <v/>
      </c>
      <c r="AO807" s="11" t="str">
        <f t="shared" si="743"/>
        <v/>
      </c>
      <c r="AP807" s="21" t="str">
        <f t="shared" si="726"/>
        <v>double-face-merino-wool-cotton-oatmeal, double-face-merino-wool-cotton-mid-grey, double-face-merino-wool-cotton-army-green, double-face-merino-wool-cotton-blue-brown, double-face-merino-wool-cotton-camel</v>
      </c>
    </row>
    <row r="808" ht="16.5" customHeight="1">
      <c r="A808" s="32" t="s">
        <v>4923</v>
      </c>
      <c r="B808" s="32" t="s">
        <v>4934</v>
      </c>
      <c r="C808" s="32" t="s">
        <v>4930</v>
      </c>
      <c r="D808" s="32" t="s">
        <v>4937</v>
      </c>
      <c r="E808" s="32" t="s">
        <v>4926</v>
      </c>
      <c r="F808" s="7" t="s">
        <v>4927</v>
      </c>
      <c r="G808" s="4" t="s">
        <v>4938</v>
      </c>
      <c r="K808" s="18"/>
      <c r="L808" s="19" t="s">
        <v>4929</v>
      </c>
      <c r="M808" s="19" t="s">
        <v>4931</v>
      </c>
      <c r="N808" s="19" t="s">
        <v>4924</v>
      </c>
      <c r="O808" s="19" t="s">
        <v>4932</v>
      </c>
      <c r="P808" s="19" t="s">
        <v>4933</v>
      </c>
      <c r="Q808" s="19"/>
      <c r="R808" s="20"/>
      <c r="S808" s="20"/>
      <c r="T808" s="20"/>
      <c r="U808" s="20"/>
      <c r="AF808" s="11" t="str">
        <f t="shared" si="724"/>
        <v>double-face-merino-wool-cotton-oatmeal</v>
      </c>
      <c r="AG808" s="11" t="str">
        <f t="shared" ref="AG808:AO808" si="744">if(not(isblank(M808)),", "&amp;M808,"")</f>
        <v>, double-face-merino-wool-cotton-army-green</v>
      </c>
      <c r="AH808" s="11" t="str">
        <f t="shared" si="744"/>
        <v>, double-face-merino-wool-cotton-blue-brown</v>
      </c>
      <c r="AI808" s="11" t="str">
        <f t="shared" si="744"/>
        <v>, double-face-merino-wool-cotton-camel</v>
      </c>
      <c r="AJ808" s="11" t="str">
        <f t="shared" si="744"/>
        <v>, double-face-merino-wool-cotton-deep-ocean</v>
      </c>
      <c r="AK808" s="11" t="str">
        <f t="shared" si="744"/>
        <v/>
      </c>
      <c r="AL808" s="11" t="str">
        <f t="shared" si="744"/>
        <v/>
      </c>
      <c r="AM808" s="11" t="str">
        <f t="shared" si="744"/>
        <v/>
      </c>
      <c r="AN808" s="11" t="str">
        <f t="shared" si="744"/>
        <v/>
      </c>
      <c r="AO808" s="11" t="str">
        <f t="shared" si="744"/>
        <v/>
      </c>
      <c r="AP808" s="21" t="str">
        <f t="shared" si="726"/>
        <v>double-face-merino-wool-cotton-oatmeal, double-face-merino-wool-cotton-army-green, double-face-merino-wool-cotton-blue-brown, double-face-merino-wool-cotton-camel, double-face-merino-wool-cotton-deep-ocean</v>
      </c>
    </row>
    <row r="809" ht="16.5" customHeight="1">
      <c r="A809" s="32" t="s">
        <v>4923</v>
      </c>
      <c r="B809" s="32" t="s">
        <v>4934</v>
      </c>
      <c r="C809" s="32" t="s">
        <v>4929</v>
      </c>
      <c r="D809" s="32" t="s">
        <v>4939</v>
      </c>
      <c r="E809" s="32" t="s">
        <v>4926</v>
      </c>
      <c r="F809" s="7" t="s">
        <v>4927</v>
      </c>
      <c r="G809" s="4" t="s">
        <v>4940</v>
      </c>
      <c r="K809" s="18"/>
      <c r="L809" s="19" t="s">
        <v>4930</v>
      </c>
      <c r="M809" s="19" t="s">
        <v>4931</v>
      </c>
      <c r="N809" s="19" t="s">
        <v>4924</v>
      </c>
      <c r="O809" s="19" t="s">
        <v>4932</v>
      </c>
      <c r="P809" s="19" t="s">
        <v>4933</v>
      </c>
      <c r="Q809" s="19"/>
      <c r="R809" s="20"/>
      <c r="S809" s="20"/>
      <c r="T809" s="20"/>
      <c r="U809" s="20"/>
      <c r="AF809" s="11" t="str">
        <f t="shared" si="724"/>
        <v>double-face-merino-wool-cotton-mid-grey</v>
      </c>
      <c r="AG809" s="11" t="str">
        <f t="shared" ref="AG809:AO809" si="745">if(not(isblank(M809)),", "&amp;M809,"")</f>
        <v>, double-face-merino-wool-cotton-army-green</v>
      </c>
      <c r="AH809" s="11" t="str">
        <f t="shared" si="745"/>
        <v>, double-face-merino-wool-cotton-blue-brown</v>
      </c>
      <c r="AI809" s="11" t="str">
        <f t="shared" si="745"/>
        <v>, double-face-merino-wool-cotton-camel</v>
      </c>
      <c r="AJ809" s="11" t="str">
        <f t="shared" si="745"/>
        <v>, double-face-merino-wool-cotton-deep-ocean</v>
      </c>
      <c r="AK809" s="11" t="str">
        <f t="shared" si="745"/>
        <v/>
      </c>
      <c r="AL809" s="11" t="str">
        <f t="shared" si="745"/>
        <v/>
      </c>
      <c r="AM809" s="11" t="str">
        <f t="shared" si="745"/>
        <v/>
      </c>
      <c r="AN809" s="11" t="str">
        <f t="shared" si="745"/>
        <v/>
      </c>
      <c r="AO809" s="11" t="str">
        <f t="shared" si="745"/>
        <v/>
      </c>
      <c r="AP809" s="21" t="str">
        <f t="shared" si="726"/>
        <v>double-face-merino-wool-cotton-mid-grey, double-face-merino-wool-cotton-army-green, double-face-merino-wool-cotton-blue-brown, double-face-merino-wool-cotton-camel, double-face-merino-wool-cotton-deep-ocean</v>
      </c>
    </row>
    <row r="810" ht="16.5" customHeight="1">
      <c r="A810" s="32" t="s">
        <v>4923</v>
      </c>
      <c r="B810" s="32" t="s">
        <v>2206</v>
      </c>
      <c r="C810" s="32" t="s">
        <v>4941</v>
      </c>
      <c r="D810" s="32" t="s">
        <v>4942</v>
      </c>
      <c r="E810" s="32" t="s">
        <v>4943</v>
      </c>
      <c r="F810" s="4" t="s">
        <v>4944</v>
      </c>
      <c r="G810" s="4"/>
      <c r="H810" s="4"/>
      <c r="K810" s="18"/>
      <c r="L810" s="20"/>
      <c r="M810" s="20"/>
      <c r="N810" s="20"/>
      <c r="O810" s="20"/>
      <c r="P810" s="20"/>
      <c r="Q810" s="20"/>
      <c r="R810" s="20"/>
      <c r="S810" s="20"/>
      <c r="T810" s="20"/>
      <c r="U810" s="20"/>
      <c r="AF810" s="11" t="str">
        <f t="shared" si="724"/>
        <v/>
      </c>
      <c r="AG810" s="11" t="str">
        <f t="shared" ref="AG810:AO810" si="746">if(not(isblank(M810)),", "&amp;M810,"")</f>
        <v/>
      </c>
      <c r="AH810" s="11" t="str">
        <f t="shared" si="746"/>
        <v/>
      </c>
      <c r="AI810" s="11" t="str">
        <f t="shared" si="746"/>
        <v/>
      </c>
      <c r="AJ810" s="11" t="str">
        <f t="shared" si="746"/>
        <v/>
      </c>
      <c r="AK810" s="11" t="str">
        <f t="shared" si="746"/>
        <v/>
      </c>
      <c r="AL810" s="11" t="str">
        <f t="shared" si="746"/>
        <v/>
      </c>
      <c r="AM810" s="11" t="str">
        <f t="shared" si="746"/>
        <v/>
      </c>
      <c r="AN810" s="11" t="str">
        <f t="shared" si="746"/>
        <v/>
      </c>
      <c r="AO810" s="11" t="str">
        <f t="shared" si="746"/>
        <v/>
      </c>
      <c r="AP810" s="21" t="str">
        <f t="shared" si="726"/>
        <v/>
      </c>
    </row>
    <row r="811" ht="16.5" customHeight="1">
      <c r="A811" s="32" t="s">
        <v>4923</v>
      </c>
      <c r="B811" s="32" t="s">
        <v>2206</v>
      </c>
      <c r="C811" s="32" t="s">
        <v>4945</v>
      </c>
      <c r="D811" s="32" t="s">
        <v>4946</v>
      </c>
      <c r="E811" s="32" t="s">
        <v>4947</v>
      </c>
      <c r="F811" s="4" t="s">
        <v>4948</v>
      </c>
      <c r="G811" s="4" t="s">
        <v>4949</v>
      </c>
      <c r="H811" s="4"/>
      <c r="K811" s="18"/>
      <c r="L811" s="20"/>
      <c r="M811" s="20"/>
      <c r="N811" s="20"/>
      <c r="O811" s="20"/>
      <c r="P811" s="20"/>
      <c r="Q811" s="20"/>
      <c r="R811" s="20"/>
      <c r="S811" s="20"/>
      <c r="T811" s="20"/>
      <c r="U811" s="20"/>
      <c r="AF811" s="11" t="str">
        <f t="shared" si="724"/>
        <v/>
      </c>
      <c r="AG811" s="11" t="str">
        <f t="shared" ref="AG811:AO811" si="747">if(not(isblank(M811)),", "&amp;M811,"")</f>
        <v/>
      </c>
      <c r="AH811" s="11" t="str">
        <f t="shared" si="747"/>
        <v/>
      </c>
      <c r="AI811" s="11" t="str">
        <f t="shared" si="747"/>
        <v/>
      </c>
      <c r="AJ811" s="11" t="str">
        <f t="shared" si="747"/>
        <v/>
      </c>
      <c r="AK811" s="11" t="str">
        <f t="shared" si="747"/>
        <v/>
      </c>
      <c r="AL811" s="11" t="str">
        <f t="shared" si="747"/>
        <v/>
      </c>
      <c r="AM811" s="11" t="str">
        <f t="shared" si="747"/>
        <v/>
      </c>
      <c r="AN811" s="11" t="str">
        <f t="shared" si="747"/>
        <v/>
      </c>
      <c r="AO811" s="11" t="str">
        <f t="shared" si="747"/>
        <v/>
      </c>
      <c r="AP811" s="21" t="str">
        <f t="shared" si="726"/>
        <v>guernsey-pattern-crew-green</v>
      </c>
    </row>
    <row r="812" ht="16.5" customHeight="1">
      <c r="A812" s="32" t="s">
        <v>4923</v>
      </c>
      <c r="B812" s="32" t="s">
        <v>4934</v>
      </c>
      <c r="C812" s="32" t="s">
        <v>4950</v>
      </c>
      <c r="D812" s="32" t="s">
        <v>4951</v>
      </c>
      <c r="E812" s="32" t="s">
        <v>4952</v>
      </c>
      <c r="F812" s="4" t="s">
        <v>4953</v>
      </c>
      <c r="G812" s="4" t="s">
        <v>4954</v>
      </c>
      <c r="K812" s="18"/>
      <c r="L812" s="19" t="s">
        <v>4393</v>
      </c>
      <c r="M812" s="19" t="s">
        <v>4709</v>
      </c>
      <c r="N812" s="20"/>
      <c r="O812" s="20"/>
      <c r="P812" s="20"/>
      <c r="Q812" s="20"/>
      <c r="R812" s="20"/>
      <c r="S812" s="20"/>
      <c r="T812" s="20"/>
      <c r="U812" s="20"/>
      <c r="AF812" s="11" t="str">
        <f t="shared" si="724"/>
        <v>ys1038-robin-navy</v>
      </c>
      <c r="AG812" s="11" t="str">
        <f t="shared" ref="AG812:AO812" si="748">if(not(isblank(M812)),", "&amp;M812,"")</f>
        <v>, ys1038-robin-burgundy</v>
      </c>
      <c r="AH812" s="11" t="str">
        <f t="shared" si="748"/>
        <v/>
      </c>
      <c r="AI812" s="11" t="str">
        <f t="shared" si="748"/>
        <v/>
      </c>
      <c r="AJ812" s="11" t="str">
        <f t="shared" si="748"/>
        <v/>
      </c>
      <c r="AK812" s="11" t="str">
        <f t="shared" si="748"/>
        <v/>
      </c>
      <c r="AL812" s="11" t="str">
        <f t="shared" si="748"/>
        <v/>
      </c>
      <c r="AM812" s="11" t="str">
        <f t="shared" si="748"/>
        <v/>
      </c>
      <c r="AN812" s="11" t="str">
        <f t="shared" si="748"/>
        <v/>
      </c>
      <c r="AO812" s="11" t="str">
        <f t="shared" si="748"/>
        <v/>
      </c>
      <c r="AP812" s="21" t="str">
        <f t="shared" si="726"/>
        <v>ys1038-robin-navy, ys1038-robin-burgundy</v>
      </c>
    </row>
    <row r="813" ht="16.5" customHeight="1">
      <c r="A813" s="32" t="s">
        <v>4923</v>
      </c>
      <c r="B813" s="32" t="s">
        <v>4934</v>
      </c>
      <c r="C813" s="32" t="s">
        <v>4955</v>
      </c>
      <c r="D813" s="32" t="s">
        <v>4956</v>
      </c>
      <c r="E813" s="32" t="s">
        <v>4952</v>
      </c>
      <c r="F813" s="4" t="s">
        <v>4957</v>
      </c>
      <c r="G813" s="4" t="s">
        <v>4958</v>
      </c>
      <c r="K813" s="18"/>
      <c r="L813" s="19" t="s">
        <v>4394</v>
      </c>
      <c r="M813" s="19" t="s">
        <v>4709</v>
      </c>
      <c r="N813" s="20"/>
      <c r="O813" s="20"/>
      <c r="P813" s="20"/>
      <c r="Q813" s="20"/>
      <c r="R813" s="20"/>
      <c r="S813" s="20"/>
      <c r="T813" s="20"/>
      <c r="U813" s="20"/>
      <c r="AF813" s="11" t="str">
        <f t="shared" si="724"/>
        <v>ys1038-robin-charcoal</v>
      </c>
      <c r="AG813" s="11" t="str">
        <f t="shared" ref="AG813:AO813" si="749">if(not(isblank(M813)),", "&amp;M813,"")</f>
        <v>, ys1038-robin-burgundy</v>
      </c>
      <c r="AH813" s="11" t="str">
        <f t="shared" si="749"/>
        <v/>
      </c>
      <c r="AI813" s="11" t="str">
        <f t="shared" si="749"/>
        <v/>
      </c>
      <c r="AJ813" s="11" t="str">
        <f t="shared" si="749"/>
        <v/>
      </c>
      <c r="AK813" s="11" t="str">
        <f t="shared" si="749"/>
        <v/>
      </c>
      <c r="AL813" s="11" t="str">
        <f t="shared" si="749"/>
        <v/>
      </c>
      <c r="AM813" s="11" t="str">
        <f t="shared" si="749"/>
        <v/>
      </c>
      <c r="AN813" s="11" t="str">
        <f t="shared" si="749"/>
        <v/>
      </c>
      <c r="AO813" s="11" t="str">
        <f t="shared" si="749"/>
        <v/>
      </c>
      <c r="AP813" s="21" t="str">
        <f t="shared" si="726"/>
        <v>ys1038-robin-charcoal, ys1038-robin-burgundy</v>
      </c>
    </row>
    <row r="814" ht="16.5" customHeight="1">
      <c r="A814" s="32" t="s">
        <v>4923</v>
      </c>
      <c r="B814" s="32" t="s">
        <v>4934</v>
      </c>
      <c r="C814" s="32" t="s">
        <v>4959</v>
      </c>
      <c r="D814" s="32" t="s">
        <v>4960</v>
      </c>
      <c r="E814" s="32" t="s">
        <v>4952</v>
      </c>
      <c r="F814" s="4" t="s">
        <v>4961</v>
      </c>
      <c r="G814" s="4" t="s">
        <v>4962</v>
      </c>
      <c r="K814" s="18"/>
      <c r="L814" s="20"/>
      <c r="M814" s="20"/>
      <c r="N814" s="20"/>
      <c r="O814" s="20"/>
      <c r="P814" s="20"/>
      <c r="Q814" s="20"/>
      <c r="R814" s="20"/>
      <c r="S814" s="20"/>
      <c r="T814" s="20"/>
      <c r="U814" s="20"/>
      <c r="AF814" s="11" t="str">
        <f t="shared" si="724"/>
        <v/>
      </c>
      <c r="AG814" s="11" t="str">
        <f t="shared" ref="AG814:AO814" si="750">if(not(isblank(M814)),", "&amp;M814,"")</f>
        <v/>
      </c>
      <c r="AH814" s="11" t="str">
        <f t="shared" si="750"/>
        <v/>
      </c>
      <c r="AI814" s="11" t="str">
        <f t="shared" si="750"/>
        <v/>
      </c>
      <c r="AJ814" s="11" t="str">
        <f t="shared" si="750"/>
        <v/>
      </c>
      <c r="AK814" s="11" t="str">
        <f t="shared" si="750"/>
        <v/>
      </c>
      <c r="AL814" s="11" t="str">
        <f t="shared" si="750"/>
        <v/>
      </c>
      <c r="AM814" s="11" t="str">
        <f t="shared" si="750"/>
        <v/>
      </c>
      <c r="AN814" s="11" t="str">
        <f t="shared" si="750"/>
        <v/>
      </c>
      <c r="AO814" s="11" t="str">
        <f t="shared" si="750"/>
        <v/>
      </c>
      <c r="AP814" s="21" t="str">
        <f t="shared" si="726"/>
        <v>everyday-pile-ankle-socks-black, everyday-pile-ankle-socks-l-gray, everyday-pile-ankle-socks-smalt-blue</v>
      </c>
    </row>
    <row r="815" ht="16.5" customHeight="1">
      <c r="A815" s="32" t="s">
        <v>4923</v>
      </c>
      <c r="B815" s="32" t="s">
        <v>4934</v>
      </c>
      <c r="C815" s="32" t="s">
        <v>4963</v>
      </c>
      <c r="D815" s="32" t="s">
        <v>4964</v>
      </c>
      <c r="E815" s="32" t="s">
        <v>4952</v>
      </c>
      <c r="F815" s="4" t="s">
        <v>4965</v>
      </c>
      <c r="G815" s="4" t="s">
        <v>4966</v>
      </c>
      <c r="K815" s="18"/>
      <c r="L815" s="20"/>
      <c r="M815" s="20"/>
      <c r="N815" s="20"/>
      <c r="O815" s="20"/>
      <c r="P815" s="20"/>
      <c r="Q815" s="20"/>
      <c r="R815" s="20"/>
      <c r="S815" s="20"/>
      <c r="T815" s="20"/>
      <c r="U815" s="20"/>
      <c r="AF815" s="11" t="str">
        <f t="shared" si="724"/>
        <v/>
      </c>
      <c r="AG815" s="11" t="str">
        <f t="shared" ref="AG815:AO815" si="751">if(not(isblank(M815)),", "&amp;M815,"")</f>
        <v/>
      </c>
      <c r="AH815" s="11" t="str">
        <f t="shared" si="751"/>
        <v/>
      </c>
      <c r="AI815" s="11" t="str">
        <f t="shared" si="751"/>
        <v/>
      </c>
      <c r="AJ815" s="11" t="str">
        <f t="shared" si="751"/>
        <v/>
      </c>
      <c r="AK815" s="11" t="str">
        <f t="shared" si="751"/>
        <v/>
      </c>
      <c r="AL815" s="11" t="str">
        <f t="shared" si="751"/>
        <v/>
      </c>
      <c r="AM815" s="11" t="str">
        <f t="shared" si="751"/>
        <v/>
      </c>
      <c r="AN815" s="11" t="str">
        <f t="shared" si="751"/>
        <v/>
      </c>
      <c r="AO815" s="11" t="str">
        <f t="shared" si="751"/>
        <v/>
      </c>
      <c r="AP815" s="21" t="str">
        <f t="shared" si="726"/>
        <v>everyday-pile-ankle-socks-black, everyday-pile-ankle-socks-l-gray, everyday-pile-ankle-socks-lime</v>
      </c>
    </row>
    <row r="816" ht="16.5" customHeight="1">
      <c r="A816" s="32" t="s">
        <v>4923</v>
      </c>
      <c r="B816" s="32" t="s">
        <v>4934</v>
      </c>
      <c r="C816" s="32" t="s">
        <v>4967</v>
      </c>
      <c r="D816" s="32" t="s">
        <v>4968</v>
      </c>
      <c r="E816" s="32" t="s">
        <v>4969</v>
      </c>
      <c r="F816" s="4" t="s">
        <v>4970</v>
      </c>
      <c r="G816" s="4" t="s">
        <v>4971</v>
      </c>
      <c r="K816" s="18"/>
      <c r="L816" s="20"/>
      <c r="M816" s="20"/>
      <c r="N816" s="20"/>
      <c r="O816" s="20"/>
      <c r="P816" s="20"/>
      <c r="Q816" s="20"/>
      <c r="R816" s="20"/>
      <c r="S816" s="20"/>
      <c r="T816" s="20"/>
      <c r="U816" s="20"/>
      <c r="AF816" s="11" t="str">
        <f t="shared" si="724"/>
        <v/>
      </c>
      <c r="AG816" s="11" t="str">
        <f t="shared" ref="AG816:AO816" si="752">if(not(isblank(M816)),", "&amp;M816,"")</f>
        <v/>
      </c>
      <c r="AH816" s="11" t="str">
        <f t="shared" si="752"/>
        <v/>
      </c>
      <c r="AI816" s="11" t="str">
        <f t="shared" si="752"/>
        <v/>
      </c>
      <c r="AJ816" s="11" t="str">
        <f t="shared" si="752"/>
        <v/>
      </c>
      <c r="AK816" s="11" t="str">
        <f t="shared" si="752"/>
        <v/>
      </c>
      <c r="AL816" s="11" t="str">
        <f t="shared" si="752"/>
        <v/>
      </c>
      <c r="AM816" s="11" t="str">
        <f t="shared" si="752"/>
        <v/>
      </c>
      <c r="AN816" s="11" t="str">
        <f t="shared" si="752"/>
        <v/>
      </c>
      <c r="AO816" s="11" t="str">
        <f t="shared" si="752"/>
        <v/>
      </c>
      <c r="AP816" s="21" t="str">
        <f t="shared" si="726"/>
        <v>fine-pile-striped-crew-socks-green-orange, fine-pile-striped-crew-socks-wht-grn-orn, fine-pile-striped-crew-socks-wht-orn-blu</v>
      </c>
    </row>
    <row r="817" ht="16.5" customHeight="1">
      <c r="A817" s="32" t="s">
        <v>4923</v>
      </c>
      <c r="B817" s="32" t="s">
        <v>4934</v>
      </c>
      <c r="C817" s="32" t="s">
        <v>4972</v>
      </c>
      <c r="D817" s="32" t="s">
        <v>4973</v>
      </c>
      <c r="E817" s="32" t="s">
        <v>4969</v>
      </c>
      <c r="F817" s="4" t="s">
        <v>4974</v>
      </c>
      <c r="G817" s="4" t="s">
        <v>4975</v>
      </c>
      <c r="K817" s="18"/>
      <c r="L817" s="20"/>
      <c r="M817" s="20"/>
      <c r="N817" s="20"/>
      <c r="O817" s="20"/>
      <c r="P817" s="20"/>
      <c r="Q817" s="20"/>
      <c r="R817" s="20"/>
      <c r="S817" s="20"/>
      <c r="T817" s="20"/>
      <c r="U817" s="20"/>
      <c r="AF817" s="11" t="str">
        <f t="shared" si="724"/>
        <v/>
      </c>
      <c r="AG817" s="11" t="str">
        <f t="shared" ref="AG817:AO817" si="753">if(not(isblank(M817)),", "&amp;M817,"")</f>
        <v/>
      </c>
      <c r="AH817" s="11" t="str">
        <f t="shared" si="753"/>
        <v/>
      </c>
      <c r="AI817" s="11" t="str">
        <f t="shared" si="753"/>
        <v/>
      </c>
      <c r="AJ817" s="11" t="str">
        <f t="shared" si="753"/>
        <v/>
      </c>
      <c r="AK817" s="11" t="str">
        <f t="shared" si="753"/>
        <v/>
      </c>
      <c r="AL817" s="11" t="str">
        <f t="shared" si="753"/>
        <v/>
      </c>
      <c r="AM817" s="11" t="str">
        <f t="shared" si="753"/>
        <v/>
      </c>
      <c r="AN817" s="11" t="str">
        <f t="shared" si="753"/>
        <v/>
      </c>
      <c r="AO817" s="11" t="str">
        <f t="shared" si="753"/>
        <v/>
      </c>
      <c r="AP817" s="21" t="str">
        <f t="shared" si="726"/>
        <v>fine-pile-striped-crew-socks-blue-pink, fine-pile-striped-crew-socks-wht-grn-orn, fine-pile-striped-crew-socks-wht-orn-blu</v>
      </c>
    </row>
    <row r="818" ht="16.5" customHeight="1">
      <c r="A818" s="32" t="s">
        <v>4923</v>
      </c>
      <c r="B818" s="32" t="s">
        <v>4934</v>
      </c>
      <c r="C818" s="32" t="s">
        <v>4976</v>
      </c>
      <c r="D818" s="32" t="s">
        <v>4977</v>
      </c>
      <c r="E818" s="32" t="s">
        <v>4969</v>
      </c>
      <c r="F818" s="4" t="s">
        <v>4978</v>
      </c>
      <c r="G818" s="4" t="s">
        <v>4979</v>
      </c>
      <c r="K818" s="18"/>
      <c r="L818" s="20"/>
      <c r="M818" s="20"/>
      <c r="N818" s="20"/>
      <c r="O818" s="20"/>
      <c r="P818" s="20"/>
      <c r="Q818" s="20"/>
      <c r="R818" s="20"/>
      <c r="S818" s="20"/>
      <c r="T818" s="20"/>
      <c r="U818" s="20"/>
      <c r="AF818" s="11" t="str">
        <f t="shared" si="724"/>
        <v/>
      </c>
      <c r="AG818" s="11" t="str">
        <f t="shared" ref="AG818:AO818" si="754">if(not(isblank(M818)),", "&amp;M818,"")</f>
        <v/>
      </c>
      <c r="AH818" s="11" t="str">
        <f t="shared" si="754"/>
        <v/>
      </c>
      <c r="AI818" s="11" t="str">
        <f t="shared" si="754"/>
        <v/>
      </c>
      <c r="AJ818" s="11" t="str">
        <f t="shared" si="754"/>
        <v/>
      </c>
      <c r="AK818" s="11" t="str">
        <f t="shared" si="754"/>
        <v/>
      </c>
      <c r="AL818" s="11" t="str">
        <f t="shared" si="754"/>
        <v/>
      </c>
      <c r="AM818" s="11" t="str">
        <f t="shared" si="754"/>
        <v/>
      </c>
      <c r="AN818" s="11" t="str">
        <f t="shared" si="754"/>
        <v/>
      </c>
      <c r="AO818" s="11" t="str">
        <f t="shared" si="754"/>
        <v/>
      </c>
      <c r="AP818" s="21" t="str">
        <f t="shared" si="726"/>
        <v>fine-pile-striped-crew-socks-wht-orn-blu, fine-pile-striped-crew-socks-green-orange, fine-pile-striped-crew-socks-blue-pink</v>
      </c>
    </row>
    <row r="819" ht="16.5" customHeight="1">
      <c r="A819" s="32" t="s">
        <v>4923</v>
      </c>
      <c r="B819" s="32" t="s">
        <v>4934</v>
      </c>
      <c r="C819" s="32" t="s">
        <v>4980</v>
      </c>
      <c r="D819" s="32" t="s">
        <v>4981</v>
      </c>
      <c r="E819" s="32" t="s">
        <v>4969</v>
      </c>
      <c r="F819" s="4" t="s">
        <v>4982</v>
      </c>
      <c r="G819" s="4" t="s">
        <v>4983</v>
      </c>
      <c r="K819" s="18"/>
      <c r="L819" s="20"/>
      <c r="M819" s="20"/>
      <c r="N819" s="20"/>
      <c r="O819" s="20"/>
      <c r="P819" s="20"/>
      <c r="Q819" s="20"/>
      <c r="R819" s="20"/>
      <c r="S819" s="20"/>
      <c r="T819" s="20"/>
      <c r="U819" s="20"/>
      <c r="AF819" s="11" t="str">
        <f t="shared" si="724"/>
        <v/>
      </c>
      <c r="AG819" s="11" t="str">
        <f t="shared" ref="AG819:AO819" si="755">if(not(isblank(M819)),", "&amp;M819,"")</f>
        <v/>
      </c>
      <c r="AH819" s="11" t="str">
        <f t="shared" si="755"/>
        <v/>
      </c>
      <c r="AI819" s="11" t="str">
        <f t="shared" si="755"/>
        <v/>
      </c>
      <c r="AJ819" s="11" t="str">
        <f t="shared" si="755"/>
        <v/>
      </c>
      <c r="AK819" s="11" t="str">
        <f t="shared" si="755"/>
        <v/>
      </c>
      <c r="AL819" s="11" t="str">
        <f t="shared" si="755"/>
        <v/>
      </c>
      <c r="AM819" s="11" t="str">
        <f t="shared" si="755"/>
        <v/>
      </c>
      <c r="AN819" s="11" t="str">
        <f t="shared" si="755"/>
        <v/>
      </c>
      <c r="AO819" s="11" t="str">
        <f t="shared" si="755"/>
        <v/>
      </c>
      <c r="AP819" s="21" t="str">
        <f t="shared" si="726"/>
        <v>fine-pile-striped-crew-socks-wht-grn-orn, fine-pile-striped-crew-socks-green-orange, fine-pile-striped-crew-socks-blue-pink</v>
      </c>
    </row>
    <row r="820" ht="16.5" customHeight="1">
      <c r="A820" s="32" t="s">
        <v>4923</v>
      </c>
      <c r="B820" s="32" t="s">
        <v>4934</v>
      </c>
      <c r="C820" s="32" t="s">
        <v>4984</v>
      </c>
      <c r="D820" s="32" t="s">
        <v>4985</v>
      </c>
      <c r="E820" s="32" t="s">
        <v>4986</v>
      </c>
      <c r="F820" s="4" t="s">
        <v>4987</v>
      </c>
      <c r="G820" s="4" t="s">
        <v>4988</v>
      </c>
      <c r="K820" s="18"/>
      <c r="L820" s="20"/>
      <c r="M820" s="20"/>
      <c r="N820" s="20"/>
      <c r="O820" s="20"/>
      <c r="P820" s="20"/>
      <c r="Q820" s="20"/>
      <c r="R820" s="20"/>
      <c r="S820" s="20"/>
      <c r="T820" s="20"/>
      <c r="U820" s="20"/>
      <c r="AF820" s="11" t="str">
        <f t="shared" si="724"/>
        <v/>
      </c>
      <c r="AG820" s="11" t="str">
        <f t="shared" ref="AG820:AO820" si="756">if(not(isblank(M820)),", "&amp;M820,"")</f>
        <v/>
      </c>
      <c r="AH820" s="11" t="str">
        <f t="shared" si="756"/>
        <v/>
      </c>
      <c r="AI820" s="11" t="str">
        <f t="shared" si="756"/>
        <v/>
      </c>
      <c r="AJ820" s="11" t="str">
        <f t="shared" si="756"/>
        <v/>
      </c>
      <c r="AK820" s="11" t="str">
        <f t="shared" si="756"/>
        <v/>
      </c>
      <c r="AL820" s="11" t="str">
        <f t="shared" si="756"/>
        <v/>
      </c>
      <c r="AM820" s="11" t="str">
        <f t="shared" si="756"/>
        <v/>
      </c>
      <c r="AN820" s="11" t="str">
        <f t="shared" si="756"/>
        <v/>
      </c>
      <c r="AO820" s="11" t="str">
        <f t="shared" si="756"/>
        <v/>
      </c>
      <c r="AP820" s="21" t="str">
        <f t="shared" si="726"/>
        <v>hemp-organic-cotton-stripe-socks-sunset-gold, hemp-organic-cotton-stripe-socks-white-sand</v>
      </c>
    </row>
    <row r="821" ht="16.5" customHeight="1">
      <c r="A821" s="32" t="s">
        <v>4923</v>
      </c>
      <c r="B821" s="32" t="s">
        <v>4934</v>
      </c>
      <c r="C821" s="32" t="s">
        <v>4989</v>
      </c>
      <c r="D821" s="32" t="s">
        <v>4990</v>
      </c>
      <c r="E821" s="32" t="s">
        <v>4986</v>
      </c>
      <c r="F821" s="4" t="s">
        <v>4991</v>
      </c>
      <c r="G821" s="4" t="s">
        <v>4992</v>
      </c>
      <c r="K821" s="18"/>
      <c r="L821" s="20"/>
      <c r="M821" s="20"/>
      <c r="N821" s="20"/>
      <c r="O821" s="20"/>
      <c r="P821" s="20"/>
      <c r="Q821" s="20"/>
      <c r="R821" s="20"/>
      <c r="S821" s="20"/>
      <c r="T821" s="20"/>
      <c r="U821" s="20"/>
      <c r="AF821" s="11" t="str">
        <f t="shared" si="724"/>
        <v/>
      </c>
      <c r="AG821" s="11" t="str">
        <f t="shared" ref="AG821:AO821" si="757">if(not(isblank(M821)),", "&amp;M821,"")</f>
        <v/>
      </c>
      <c r="AH821" s="11" t="str">
        <f t="shared" si="757"/>
        <v/>
      </c>
      <c r="AI821" s="11" t="str">
        <f t="shared" si="757"/>
        <v/>
      </c>
      <c r="AJ821" s="11" t="str">
        <f t="shared" si="757"/>
        <v/>
      </c>
      <c r="AK821" s="11" t="str">
        <f t="shared" si="757"/>
        <v/>
      </c>
      <c r="AL821" s="11" t="str">
        <f t="shared" si="757"/>
        <v/>
      </c>
      <c r="AM821" s="11" t="str">
        <f t="shared" si="757"/>
        <v/>
      </c>
      <c r="AN821" s="11" t="str">
        <f t="shared" si="757"/>
        <v/>
      </c>
      <c r="AO821" s="11" t="str">
        <f t="shared" si="757"/>
        <v/>
      </c>
      <c r="AP821" s="21" t="str">
        <f t="shared" si="726"/>
        <v>hemp-organic-cotton-stripe-socks-morning-blue, hemp-organic-cotton-stripe-socks-white-sand</v>
      </c>
    </row>
    <row r="822" ht="16.5" customHeight="1">
      <c r="A822" s="32" t="s">
        <v>4923</v>
      </c>
      <c r="B822" s="32" t="s">
        <v>4934</v>
      </c>
      <c r="C822" s="32" t="s">
        <v>4993</v>
      </c>
      <c r="D822" s="32" t="s">
        <v>4994</v>
      </c>
      <c r="E822" s="32" t="s">
        <v>4986</v>
      </c>
      <c r="F822" s="4" t="s">
        <v>4995</v>
      </c>
      <c r="G822" s="4" t="s">
        <v>4996</v>
      </c>
      <c r="K822" s="18"/>
      <c r="L822" s="20"/>
      <c r="M822" s="20"/>
      <c r="N822" s="20"/>
      <c r="O822" s="20"/>
      <c r="P822" s="20"/>
      <c r="Q822" s="20"/>
      <c r="R822" s="20"/>
      <c r="S822" s="20"/>
      <c r="T822" s="20"/>
      <c r="U822" s="20"/>
      <c r="AF822" s="11" t="str">
        <f t="shared" si="724"/>
        <v/>
      </c>
      <c r="AG822" s="11" t="str">
        <f t="shared" ref="AG822:AO822" si="758">if(not(isblank(M822)),", "&amp;M822,"")</f>
        <v/>
      </c>
      <c r="AH822" s="11" t="str">
        <f t="shared" si="758"/>
        <v/>
      </c>
      <c r="AI822" s="11" t="str">
        <f t="shared" si="758"/>
        <v/>
      </c>
      <c r="AJ822" s="11" t="str">
        <f t="shared" si="758"/>
        <v/>
      </c>
      <c r="AK822" s="11" t="str">
        <f t="shared" si="758"/>
        <v/>
      </c>
      <c r="AL822" s="11" t="str">
        <f t="shared" si="758"/>
        <v/>
      </c>
      <c r="AM822" s="11" t="str">
        <f t="shared" si="758"/>
        <v/>
      </c>
      <c r="AN822" s="11" t="str">
        <f t="shared" si="758"/>
        <v/>
      </c>
      <c r="AO822" s="11" t="str">
        <f t="shared" si="758"/>
        <v/>
      </c>
      <c r="AP822" s="21" t="str">
        <f t="shared" si="726"/>
        <v>hemp-organic-cotton-stripe-socks-morning-blue, hemp-organic-cotton-stripe-socks-sunset-gold</v>
      </c>
    </row>
    <row r="823" ht="16.5" customHeight="1">
      <c r="A823" s="32" t="s">
        <v>4923</v>
      </c>
      <c r="B823" s="32" t="s">
        <v>2206</v>
      </c>
      <c r="C823" s="32" t="s">
        <v>4997</v>
      </c>
      <c r="D823" s="32" t="s">
        <v>4998</v>
      </c>
      <c r="E823" s="32" t="s">
        <v>4999</v>
      </c>
      <c r="F823" s="4" t="s">
        <v>5000</v>
      </c>
      <c r="G823" s="4" t="s">
        <v>5001</v>
      </c>
      <c r="K823" s="18"/>
      <c r="L823" s="20"/>
      <c r="M823" s="20"/>
      <c r="N823" s="20"/>
      <c r="O823" s="20"/>
      <c r="P823" s="20"/>
      <c r="Q823" s="20"/>
      <c r="R823" s="20"/>
      <c r="S823" s="20"/>
      <c r="T823" s="20"/>
      <c r="U823" s="20"/>
      <c r="AF823" s="11" t="str">
        <f t="shared" si="724"/>
        <v/>
      </c>
      <c r="AG823" s="11" t="str">
        <f t="shared" ref="AG823:AO823" si="759">if(not(isblank(M823)),", "&amp;M823,"")</f>
        <v/>
      </c>
      <c r="AH823" s="11" t="str">
        <f t="shared" si="759"/>
        <v/>
      </c>
      <c r="AI823" s="11" t="str">
        <f t="shared" si="759"/>
        <v/>
      </c>
      <c r="AJ823" s="11" t="str">
        <f t="shared" si="759"/>
        <v/>
      </c>
      <c r="AK823" s="11" t="str">
        <f t="shared" si="759"/>
        <v/>
      </c>
      <c r="AL823" s="11" t="str">
        <f t="shared" si="759"/>
        <v/>
      </c>
      <c r="AM823" s="11" t="str">
        <f t="shared" si="759"/>
        <v/>
      </c>
      <c r="AN823" s="11" t="str">
        <f t="shared" si="759"/>
        <v/>
      </c>
      <c r="AO823" s="11" t="str">
        <f t="shared" si="759"/>
        <v/>
      </c>
      <c r="AP823" s="21" t="str">
        <f t="shared" si="726"/>
        <v>linen-organic-cotton-ribbed-ankle-socks-red-blue-stripe</v>
      </c>
    </row>
    <row r="824" ht="16.5" customHeight="1">
      <c r="A824" s="32" t="s">
        <v>4923</v>
      </c>
      <c r="B824" s="32" t="s">
        <v>2206</v>
      </c>
      <c r="C824" s="32" t="s">
        <v>5001</v>
      </c>
      <c r="D824" s="32" t="s">
        <v>5002</v>
      </c>
      <c r="E824" s="32" t="s">
        <v>4999</v>
      </c>
      <c r="F824" s="4" t="s">
        <v>5003</v>
      </c>
      <c r="G824" s="4" t="s">
        <v>4997</v>
      </c>
      <c r="K824" s="18"/>
      <c r="L824" s="20"/>
      <c r="M824" s="20"/>
      <c r="N824" s="20"/>
      <c r="O824" s="20"/>
      <c r="P824" s="20"/>
      <c r="Q824" s="20"/>
      <c r="R824" s="20"/>
      <c r="S824" s="20"/>
      <c r="T824" s="20"/>
      <c r="U824" s="20"/>
      <c r="AF824" s="11" t="str">
        <f t="shared" si="724"/>
        <v/>
      </c>
      <c r="AG824" s="11" t="str">
        <f t="shared" ref="AG824:AO824" si="760">if(not(isblank(M824)),", "&amp;M824,"")</f>
        <v/>
      </c>
      <c r="AH824" s="11" t="str">
        <f t="shared" si="760"/>
        <v/>
      </c>
      <c r="AI824" s="11" t="str">
        <f t="shared" si="760"/>
        <v/>
      </c>
      <c r="AJ824" s="11" t="str">
        <f t="shared" si="760"/>
        <v/>
      </c>
      <c r="AK824" s="11" t="str">
        <f t="shared" si="760"/>
        <v/>
      </c>
      <c r="AL824" s="11" t="str">
        <f t="shared" si="760"/>
        <v/>
      </c>
      <c r="AM824" s="11" t="str">
        <f t="shared" si="760"/>
        <v/>
      </c>
      <c r="AN824" s="11" t="str">
        <f t="shared" si="760"/>
        <v/>
      </c>
      <c r="AO824" s="11" t="str">
        <f t="shared" si="760"/>
        <v/>
      </c>
      <c r="AP824" s="21" t="str">
        <f t="shared" si="726"/>
        <v>linen-organic-cotton-ribbed-ankle-socks-greyge-stripe</v>
      </c>
    </row>
    <row r="825" ht="16.5" customHeight="1">
      <c r="A825" s="32" t="s">
        <v>4923</v>
      </c>
      <c r="B825" s="32" t="s">
        <v>4934</v>
      </c>
      <c r="C825" s="32" t="s">
        <v>5004</v>
      </c>
      <c r="D825" s="32" t="s">
        <v>5005</v>
      </c>
      <c r="E825" s="32" t="s">
        <v>5006</v>
      </c>
      <c r="F825" s="7" t="s">
        <v>5007</v>
      </c>
      <c r="G825" s="4"/>
      <c r="H825" s="4"/>
      <c r="K825" s="18"/>
      <c r="L825" s="19" t="s">
        <v>5008</v>
      </c>
      <c r="M825" s="19" t="s">
        <v>5009</v>
      </c>
      <c r="N825" s="19" t="s">
        <v>5010</v>
      </c>
      <c r="O825" s="19" t="s">
        <v>5011</v>
      </c>
      <c r="P825" s="20"/>
      <c r="Q825" s="20"/>
      <c r="R825" s="20"/>
      <c r="S825" s="20"/>
      <c r="T825" s="20"/>
      <c r="U825" s="20"/>
      <c r="AP825" s="21"/>
    </row>
    <row r="826" ht="16.5" customHeight="1">
      <c r="A826" s="32" t="s">
        <v>4923</v>
      </c>
      <c r="B826" s="32" t="s">
        <v>4934</v>
      </c>
      <c r="C826" s="32" t="s">
        <v>5008</v>
      </c>
      <c r="D826" s="32" t="s">
        <v>5012</v>
      </c>
      <c r="E826" s="32" t="s">
        <v>5006</v>
      </c>
      <c r="F826" s="7" t="s">
        <v>5007</v>
      </c>
      <c r="G826" s="4"/>
      <c r="H826" s="4"/>
      <c r="K826" s="18"/>
      <c r="L826" s="19" t="s">
        <v>5004</v>
      </c>
      <c r="M826" s="19" t="s">
        <v>5009</v>
      </c>
      <c r="N826" s="19" t="s">
        <v>5010</v>
      </c>
      <c r="O826" s="19" t="s">
        <v>5011</v>
      </c>
      <c r="P826" s="20"/>
      <c r="Q826" s="20"/>
      <c r="R826" s="20"/>
      <c r="S826" s="20"/>
      <c r="T826" s="20"/>
      <c r="U826" s="20"/>
      <c r="AP826" s="21"/>
    </row>
    <row r="827" ht="16.5" customHeight="1">
      <c r="A827" s="32" t="s">
        <v>4923</v>
      </c>
      <c r="B827" s="32" t="s">
        <v>4934</v>
      </c>
      <c r="C827" s="32" t="s">
        <v>4931</v>
      </c>
      <c r="D827" s="32" t="s">
        <v>5013</v>
      </c>
      <c r="E827" s="32" t="s">
        <v>5014</v>
      </c>
      <c r="F827" s="7" t="s">
        <v>4927</v>
      </c>
      <c r="G827" s="4"/>
      <c r="H827" s="4"/>
      <c r="K827" s="18"/>
      <c r="L827" s="19" t="s">
        <v>4929</v>
      </c>
      <c r="M827" s="19" t="s">
        <v>4930</v>
      </c>
      <c r="N827" s="19" t="s">
        <v>4924</v>
      </c>
      <c r="O827" s="19" t="s">
        <v>4932</v>
      </c>
      <c r="P827" s="19" t="s">
        <v>4933</v>
      </c>
      <c r="Q827" s="19"/>
      <c r="R827" s="20"/>
      <c r="S827" s="20"/>
      <c r="T827" s="20"/>
      <c r="U827" s="20"/>
      <c r="AP827" s="21"/>
    </row>
    <row r="828" ht="16.5" customHeight="1">
      <c r="A828" s="32" t="s">
        <v>4923</v>
      </c>
      <c r="B828" s="32" t="s">
        <v>4934</v>
      </c>
      <c r="C828" s="32" t="s">
        <v>4932</v>
      </c>
      <c r="D828" s="32" t="s">
        <v>5015</v>
      </c>
      <c r="E828" s="32" t="s">
        <v>5014</v>
      </c>
      <c r="F828" s="7" t="s">
        <v>4927</v>
      </c>
      <c r="G828" s="4"/>
      <c r="H828" s="4"/>
      <c r="K828" s="18"/>
      <c r="L828" s="19" t="s">
        <v>4929</v>
      </c>
      <c r="M828" s="19" t="s">
        <v>4930</v>
      </c>
      <c r="N828" s="19" t="s">
        <v>4931</v>
      </c>
      <c r="O828" s="19" t="s">
        <v>4924</v>
      </c>
      <c r="P828" s="19" t="s">
        <v>4933</v>
      </c>
      <c r="Q828" s="19"/>
      <c r="R828" s="20"/>
      <c r="S828" s="20"/>
      <c r="T828" s="20"/>
      <c r="U828" s="20"/>
      <c r="AP828" s="21"/>
    </row>
    <row r="829" ht="16.5" customHeight="1">
      <c r="A829" s="32" t="s">
        <v>4923</v>
      </c>
      <c r="B829" s="32" t="s">
        <v>4613</v>
      </c>
      <c r="C829" s="32" t="s">
        <v>5016</v>
      </c>
      <c r="D829" s="32" t="s">
        <v>5017</v>
      </c>
      <c r="E829" s="32" t="s">
        <v>5018</v>
      </c>
      <c r="F829" s="7" t="s">
        <v>5019</v>
      </c>
      <c r="G829" s="4"/>
      <c r="H829" s="4"/>
      <c r="K829" s="18"/>
      <c r="L829" s="19" t="s">
        <v>5020</v>
      </c>
      <c r="M829" s="19" t="s">
        <v>5021</v>
      </c>
      <c r="N829" s="19"/>
      <c r="O829" s="20"/>
      <c r="P829" s="20"/>
      <c r="Q829" s="20"/>
      <c r="R829" s="20"/>
      <c r="S829" s="20"/>
      <c r="T829" s="20"/>
      <c r="U829" s="20"/>
      <c r="AP829" s="21"/>
    </row>
    <row r="830" ht="16.5" customHeight="1">
      <c r="A830" s="32" t="s">
        <v>4923</v>
      </c>
      <c r="B830" s="32" t="s">
        <v>4613</v>
      </c>
      <c r="C830" s="32" t="s">
        <v>5020</v>
      </c>
      <c r="D830" s="32" t="s">
        <v>5022</v>
      </c>
      <c r="E830" s="32" t="s">
        <v>5018</v>
      </c>
      <c r="F830" s="7" t="s">
        <v>5019</v>
      </c>
      <c r="G830" s="4"/>
      <c r="H830" s="4"/>
      <c r="K830" s="18"/>
      <c r="L830" s="19" t="s">
        <v>5016</v>
      </c>
      <c r="M830" s="19" t="s">
        <v>5021</v>
      </c>
      <c r="N830" s="19"/>
      <c r="O830" s="20"/>
      <c r="P830" s="20"/>
      <c r="Q830" s="20"/>
      <c r="R830" s="20"/>
      <c r="S830" s="20"/>
      <c r="T830" s="20"/>
      <c r="U830" s="20"/>
      <c r="AP830" s="21"/>
    </row>
    <row r="831" ht="16.5" customHeight="1">
      <c r="A831" s="32" t="s">
        <v>4923</v>
      </c>
      <c r="B831" s="32" t="s">
        <v>4613</v>
      </c>
      <c r="C831" s="32" t="s">
        <v>5021</v>
      </c>
      <c r="D831" s="32" t="s">
        <v>5023</v>
      </c>
      <c r="E831" s="32" t="s">
        <v>5018</v>
      </c>
      <c r="F831" s="7" t="s">
        <v>5019</v>
      </c>
      <c r="G831" s="4"/>
      <c r="H831" s="4"/>
      <c r="K831" s="18"/>
      <c r="L831" s="19" t="s">
        <v>5016</v>
      </c>
      <c r="M831" s="19" t="s">
        <v>5020</v>
      </c>
      <c r="N831" s="19"/>
      <c r="O831" s="20"/>
      <c r="P831" s="20"/>
      <c r="Q831" s="20"/>
      <c r="R831" s="20"/>
      <c r="S831" s="20"/>
      <c r="T831" s="20"/>
      <c r="U831" s="20"/>
      <c r="AP831" s="21"/>
    </row>
    <row r="832" ht="16.5" customHeight="1">
      <c r="A832" s="32" t="s">
        <v>4923</v>
      </c>
      <c r="B832" s="32" t="s">
        <v>4934</v>
      </c>
      <c r="C832" s="32" t="s">
        <v>5009</v>
      </c>
      <c r="D832" s="32" t="s">
        <v>5024</v>
      </c>
      <c r="E832" s="32" t="s">
        <v>5025</v>
      </c>
      <c r="F832" s="7" t="s">
        <v>5026</v>
      </c>
      <c r="G832" s="4"/>
      <c r="H832" s="4"/>
      <c r="K832" s="18"/>
      <c r="L832" s="19" t="s">
        <v>5010</v>
      </c>
      <c r="M832" s="19" t="s">
        <v>5011</v>
      </c>
      <c r="N832" s="19" t="s">
        <v>5004</v>
      </c>
      <c r="O832" s="19" t="s">
        <v>5008</v>
      </c>
      <c r="P832" s="20"/>
      <c r="Q832" s="20"/>
      <c r="R832" s="20"/>
      <c r="S832" s="20"/>
      <c r="T832" s="20"/>
      <c r="U832" s="20"/>
      <c r="AP832" s="21"/>
    </row>
    <row r="833" ht="16.5" customHeight="1">
      <c r="A833" s="32" t="s">
        <v>4923</v>
      </c>
      <c r="B833" s="32" t="s">
        <v>4934</v>
      </c>
      <c r="C833" s="32" t="s">
        <v>5010</v>
      </c>
      <c r="D833" s="32" t="s">
        <v>5027</v>
      </c>
      <c r="E833" s="32" t="s">
        <v>5025</v>
      </c>
      <c r="F833" s="7" t="s">
        <v>5026</v>
      </c>
      <c r="G833" s="4"/>
      <c r="H833" s="4"/>
      <c r="K833" s="18"/>
      <c r="L833" s="19" t="s">
        <v>5009</v>
      </c>
      <c r="M833" s="19" t="s">
        <v>5011</v>
      </c>
      <c r="N833" s="19" t="s">
        <v>5004</v>
      </c>
      <c r="O833" s="19" t="s">
        <v>5008</v>
      </c>
      <c r="P833" s="20"/>
      <c r="Q833" s="20"/>
      <c r="R833" s="20"/>
      <c r="S833" s="20"/>
      <c r="T833" s="20"/>
      <c r="U833" s="20"/>
      <c r="AP833" s="21"/>
    </row>
    <row r="834" ht="16.5" customHeight="1">
      <c r="A834" s="32" t="s">
        <v>4923</v>
      </c>
      <c r="B834" s="32" t="s">
        <v>4934</v>
      </c>
      <c r="C834" s="32" t="s">
        <v>5011</v>
      </c>
      <c r="D834" s="32" t="s">
        <v>5028</v>
      </c>
      <c r="E834" s="32" t="s">
        <v>5025</v>
      </c>
      <c r="F834" s="7" t="s">
        <v>5026</v>
      </c>
      <c r="G834" s="4"/>
      <c r="H834" s="4"/>
      <c r="K834" s="18"/>
      <c r="L834" s="19" t="s">
        <v>5009</v>
      </c>
      <c r="M834" s="19" t="s">
        <v>5010</v>
      </c>
      <c r="N834" s="19" t="s">
        <v>5004</v>
      </c>
      <c r="O834" s="19" t="s">
        <v>5008</v>
      </c>
      <c r="P834" s="20"/>
      <c r="Q834" s="20"/>
      <c r="R834" s="20"/>
      <c r="S834" s="20"/>
      <c r="T834" s="20"/>
      <c r="U834" s="20"/>
      <c r="AP834" s="21"/>
    </row>
    <row r="835" ht="16.5" customHeight="1">
      <c r="A835" s="32" t="s">
        <v>4923</v>
      </c>
      <c r="B835" s="32" t="s">
        <v>2206</v>
      </c>
      <c r="C835" s="32" t="s">
        <v>5029</v>
      </c>
      <c r="D835" s="32" t="s">
        <v>5030</v>
      </c>
      <c r="E835" s="32" t="s">
        <v>5031</v>
      </c>
      <c r="F835" s="7" t="s">
        <v>5032</v>
      </c>
      <c r="G835" s="4"/>
      <c r="H835" s="4"/>
      <c r="K835" s="18"/>
      <c r="L835" s="50" t="s">
        <v>5033</v>
      </c>
      <c r="M835" s="50" t="s">
        <v>5034</v>
      </c>
      <c r="N835" s="19" t="s">
        <v>5035</v>
      </c>
      <c r="O835" s="19"/>
      <c r="P835" s="20"/>
      <c r="Q835" s="20"/>
      <c r="R835" s="20"/>
      <c r="S835" s="20"/>
      <c r="T835" s="20"/>
      <c r="U835" s="20"/>
      <c r="AP835" s="21"/>
    </row>
    <row r="836" ht="16.5" customHeight="1">
      <c r="A836" s="32" t="s">
        <v>4923</v>
      </c>
      <c r="B836" s="32" t="s">
        <v>2206</v>
      </c>
      <c r="C836" s="32" t="s">
        <v>5033</v>
      </c>
      <c r="D836" s="32" t="s">
        <v>5036</v>
      </c>
      <c r="E836" s="32" t="s">
        <v>5031</v>
      </c>
      <c r="F836" s="7" t="s">
        <v>5032</v>
      </c>
      <c r="G836" s="4"/>
      <c r="H836" s="4"/>
      <c r="K836" s="18"/>
      <c r="L836" s="19" t="s">
        <v>5029</v>
      </c>
      <c r="M836" s="50" t="s">
        <v>5034</v>
      </c>
      <c r="N836" s="19" t="s">
        <v>5035</v>
      </c>
      <c r="O836" s="19"/>
      <c r="P836" s="20"/>
      <c r="Q836" s="20"/>
      <c r="R836" s="20"/>
      <c r="S836" s="20"/>
      <c r="T836" s="20"/>
      <c r="U836" s="20"/>
      <c r="AP836" s="21"/>
    </row>
    <row r="837" ht="16.5" customHeight="1">
      <c r="A837" s="32" t="s">
        <v>4923</v>
      </c>
      <c r="B837" s="32" t="s">
        <v>2206</v>
      </c>
      <c r="C837" s="32" t="s">
        <v>5034</v>
      </c>
      <c r="D837" s="32" t="s">
        <v>5037</v>
      </c>
      <c r="E837" s="32" t="s">
        <v>5031</v>
      </c>
      <c r="F837" s="7" t="s">
        <v>5032</v>
      </c>
      <c r="G837" s="4"/>
      <c r="H837" s="4"/>
      <c r="K837" s="18"/>
      <c r="L837" s="19" t="s">
        <v>5029</v>
      </c>
      <c r="M837" s="50" t="s">
        <v>5033</v>
      </c>
      <c r="N837" s="19" t="s">
        <v>5035</v>
      </c>
      <c r="O837" s="19"/>
      <c r="P837" s="20"/>
      <c r="Q837" s="20"/>
      <c r="R837" s="20"/>
      <c r="S837" s="20"/>
      <c r="T837" s="20"/>
      <c r="U837" s="20"/>
      <c r="AP837" s="21"/>
    </row>
    <row r="838" ht="16.5" customHeight="1">
      <c r="A838" s="32" t="s">
        <v>4923</v>
      </c>
      <c r="B838" s="32" t="s">
        <v>2206</v>
      </c>
      <c r="C838" s="32" t="s">
        <v>5035</v>
      </c>
      <c r="D838" s="32" t="s">
        <v>5038</v>
      </c>
      <c r="E838" s="32" t="s">
        <v>5031</v>
      </c>
      <c r="F838" s="7" t="s">
        <v>5032</v>
      </c>
      <c r="G838" s="4"/>
      <c r="H838" s="4"/>
      <c r="K838" s="18"/>
      <c r="L838" s="19" t="s">
        <v>5029</v>
      </c>
      <c r="M838" s="50" t="s">
        <v>5033</v>
      </c>
      <c r="N838" s="50" t="s">
        <v>5034</v>
      </c>
      <c r="O838" s="19"/>
      <c r="P838" s="20"/>
      <c r="Q838" s="20"/>
      <c r="R838" s="20"/>
      <c r="S838" s="20"/>
      <c r="T838" s="20"/>
      <c r="U838" s="20"/>
      <c r="AP838" s="21"/>
    </row>
    <row r="839" ht="16.5" customHeight="1">
      <c r="A839" s="32" t="s">
        <v>4923</v>
      </c>
      <c r="B839" s="32" t="s">
        <v>4934</v>
      </c>
      <c r="C839" s="32" t="s">
        <v>5039</v>
      </c>
      <c r="D839" s="32" t="s">
        <v>5040</v>
      </c>
      <c r="E839" s="32" t="s">
        <v>5041</v>
      </c>
      <c r="F839" s="7" t="s">
        <v>5042</v>
      </c>
      <c r="G839" s="4"/>
      <c r="H839" s="4"/>
      <c r="K839" s="18"/>
      <c r="L839" s="19" t="s">
        <v>5043</v>
      </c>
      <c r="M839" s="20"/>
      <c r="N839" s="20"/>
      <c r="O839" s="20"/>
      <c r="P839" s="20"/>
      <c r="Q839" s="20"/>
      <c r="R839" s="20"/>
      <c r="S839" s="20"/>
      <c r="T839" s="20"/>
      <c r="U839" s="20"/>
      <c r="AP839" s="21"/>
    </row>
    <row r="840" ht="16.5" customHeight="1">
      <c r="A840" s="32" t="s">
        <v>4923</v>
      </c>
      <c r="B840" s="32" t="s">
        <v>4934</v>
      </c>
      <c r="C840" s="32" t="s">
        <v>5043</v>
      </c>
      <c r="D840" s="32" t="s">
        <v>5044</v>
      </c>
      <c r="E840" s="32" t="s">
        <v>5041</v>
      </c>
      <c r="F840" s="7" t="s">
        <v>5042</v>
      </c>
      <c r="G840" s="4"/>
      <c r="H840" s="4"/>
      <c r="K840" s="18"/>
      <c r="L840" s="19" t="s">
        <v>5039</v>
      </c>
      <c r="M840" s="20"/>
      <c r="N840" s="20"/>
      <c r="O840" s="20"/>
      <c r="P840" s="20"/>
      <c r="Q840" s="20"/>
      <c r="R840" s="20"/>
      <c r="S840" s="20"/>
      <c r="T840" s="20"/>
      <c r="U840" s="20"/>
      <c r="AP840" s="21"/>
    </row>
    <row r="841" ht="16.5" customHeight="1">
      <c r="A841" s="32" t="s">
        <v>4923</v>
      </c>
      <c r="B841" s="32" t="s">
        <v>2206</v>
      </c>
      <c r="C841" s="32" t="s">
        <v>5045</v>
      </c>
      <c r="D841" s="32" t="s">
        <v>5046</v>
      </c>
      <c r="E841" s="32" t="s">
        <v>5047</v>
      </c>
      <c r="F841" s="7" t="s">
        <v>5048</v>
      </c>
      <c r="G841" s="4"/>
      <c r="H841" s="4"/>
      <c r="K841" s="18"/>
      <c r="L841" s="19" t="s">
        <v>5049</v>
      </c>
      <c r="M841" s="20"/>
      <c r="N841" s="20"/>
      <c r="O841" s="20"/>
      <c r="P841" s="20"/>
      <c r="Q841" s="20"/>
      <c r="R841" s="20"/>
      <c r="S841" s="20"/>
      <c r="T841" s="20"/>
      <c r="U841" s="20"/>
      <c r="AP841" s="21"/>
    </row>
    <row r="842" ht="16.5" customHeight="1">
      <c r="A842" s="32" t="s">
        <v>4923</v>
      </c>
      <c r="B842" s="32" t="s">
        <v>2206</v>
      </c>
      <c r="C842" s="32" t="s">
        <v>5049</v>
      </c>
      <c r="D842" s="32" t="s">
        <v>5050</v>
      </c>
      <c r="E842" s="32" t="s">
        <v>5047</v>
      </c>
      <c r="F842" s="7" t="s">
        <v>5048</v>
      </c>
      <c r="G842" s="4"/>
      <c r="H842" s="4"/>
      <c r="K842" s="18"/>
      <c r="L842" s="19" t="s">
        <v>5045</v>
      </c>
      <c r="M842" s="20"/>
      <c r="N842" s="20"/>
      <c r="O842" s="20"/>
      <c r="P842" s="20"/>
      <c r="Q842" s="20"/>
      <c r="R842" s="20"/>
      <c r="S842" s="20"/>
      <c r="T842" s="20"/>
      <c r="U842" s="20"/>
      <c r="AP842" s="21"/>
    </row>
    <row r="843" ht="16.5" customHeight="1">
      <c r="A843" s="32" t="s">
        <v>5051</v>
      </c>
      <c r="B843" s="32" t="s">
        <v>4409</v>
      </c>
      <c r="C843" s="32" t="s">
        <v>5052</v>
      </c>
      <c r="D843" s="32" t="s">
        <v>5053</v>
      </c>
      <c r="E843" s="32" t="s">
        <v>5054</v>
      </c>
      <c r="F843" s="7" t="s">
        <v>5055</v>
      </c>
      <c r="G843" s="4"/>
      <c r="H843" s="4"/>
      <c r="K843" s="18"/>
      <c r="L843" s="20"/>
      <c r="M843" s="20"/>
      <c r="N843" s="20"/>
      <c r="O843" s="20"/>
      <c r="P843" s="20"/>
      <c r="Q843" s="20"/>
      <c r="R843" s="20"/>
      <c r="S843" s="20"/>
      <c r="T843" s="20"/>
      <c r="U843" s="20"/>
      <c r="AF843" s="11" t="str">
        <f t="shared" ref="AF843:AF899" si="762">if(not(isblank(L843)),L843,"")</f>
        <v/>
      </c>
      <c r="AG843" s="11" t="str">
        <f t="shared" ref="AG843:AO843" si="761">if(not(isblank(M843)),", "&amp;M843,"")</f>
        <v/>
      </c>
      <c r="AH843" s="11" t="str">
        <f t="shared" si="761"/>
        <v/>
      </c>
      <c r="AI843" s="11" t="str">
        <f t="shared" si="761"/>
        <v/>
      </c>
      <c r="AJ843" s="11" t="str">
        <f t="shared" si="761"/>
        <v/>
      </c>
      <c r="AK843" s="11" t="str">
        <f t="shared" si="761"/>
        <v/>
      </c>
      <c r="AL843" s="11" t="str">
        <f t="shared" si="761"/>
        <v/>
      </c>
      <c r="AM843" s="11" t="str">
        <f t="shared" si="761"/>
        <v/>
      </c>
      <c r="AN843" s="11" t="str">
        <f t="shared" si="761"/>
        <v/>
      </c>
      <c r="AO843" s="11" t="str">
        <f t="shared" si="761"/>
        <v/>
      </c>
      <c r="AP843" s="21" t="str">
        <f t="shared" ref="AP843:AP899" si="764">if(isblank(L843),G843,AF843&amp;AG843&amp;AH843&amp;AI843&amp;AJ843&amp;AK843&amp;AL843&amp;AM843&amp;AN843&amp;AO843)</f>
        <v/>
      </c>
    </row>
    <row r="844" ht="16.5" customHeight="1">
      <c r="A844" s="32" t="s">
        <v>5051</v>
      </c>
      <c r="B844" s="32" t="s">
        <v>4409</v>
      </c>
      <c r="C844" s="32" t="s">
        <v>5056</v>
      </c>
      <c r="D844" s="32" t="s">
        <v>5057</v>
      </c>
      <c r="E844" s="32" t="s">
        <v>5058</v>
      </c>
      <c r="F844" s="7" t="s">
        <v>5059</v>
      </c>
      <c r="G844" s="4" t="s">
        <v>5060</v>
      </c>
      <c r="K844" s="18"/>
      <c r="L844" s="20"/>
      <c r="M844" s="20"/>
      <c r="N844" s="20"/>
      <c r="O844" s="20"/>
      <c r="P844" s="20"/>
      <c r="Q844" s="20"/>
      <c r="R844" s="20"/>
      <c r="S844" s="20"/>
      <c r="T844" s="20"/>
      <c r="U844" s="20"/>
      <c r="AF844" s="11" t="str">
        <f t="shared" si="762"/>
        <v/>
      </c>
      <c r="AG844" s="11" t="str">
        <f t="shared" ref="AG844:AO844" si="763">if(not(isblank(M844)),", "&amp;M844,"")</f>
        <v/>
      </c>
      <c r="AH844" s="11" t="str">
        <f t="shared" si="763"/>
        <v/>
      </c>
      <c r="AI844" s="11" t="str">
        <f t="shared" si="763"/>
        <v/>
      </c>
      <c r="AJ844" s="11" t="str">
        <f t="shared" si="763"/>
        <v/>
      </c>
      <c r="AK844" s="11" t="str">
        <f t="shared" si="763"/>
        <v/>
      </c>
      <c r="AL844" s="11" t="str">
        <f t="shared" si="763"/>
        <v/>
      </c>
      <c r="AM844" s="11" t="str">
        <f t="shared" si="763"/>
        <v/>
      </c>
      <c r="AN844" s="11" t="str">
        <f t="shared" si="763"/>
        <v/>
      </c>
      <c r="AO844" s="11" t="str">
        <f t="shared" si="763"/>
        <v/>
      </c>
      <c r="AP844" s="21" t="str">
        <f t="shared" si="764"/>
        <v>creme-1925-neutral, creme-1925-dark-brown, creme-1925-medium-brown, creme-1925-light-brown</v>
      </c>
    </row>
    <row r="845" ht="16.5" customHeight="1">
      <c r="A845" s="32" t="s">
        <v>5051</v>
      </c>
      <c r="B845" s="32" t="s">
        <v>4409</v>
      </c>
      <c r="C845" s="32" t="s">
        <v>5061</v>
      </c>
      <c r="D845" s="32" t="s">
        <v>5062</v>
      </c>
      <c r="E845" s="32" t="s">
        <v>5063</v>
      </c>
      <c r="F845" s="7" t="s">
        <v>5059</v>
      </c>
      <c r="G845" s="4" t="s">
        <v>5064</v>
      </c>
      <c r="K845" s="18"/>
      <c r="L845" s="20"/>
      <c r="M845" s="20"/>
      <c r="N845" s="20"/>
      <c r="O845" s="20"/>
      <c r="P845" s="20"/>
      <c r="Q845" s="20"/>
      <c r="R845" s="20"/>
      <c r="S845" s="20"/>
      <c r="T845" s="20"/>
      <c r="U845" s="20"/>
      <c r="AF845" s="11" t="str">
        <f t="shared" si="762"/>
        <v/>
      </c>
      <c r="AG845" s="11" t="str">
        <f t="shared" ref="AG845:AO845" si="765">if(not(isblank(M845)),", "&amp;M845,"")</f>
        <v/>
      </c>
      <c r="AH845" s="11" t="str">
        <f t="shared" si="765"/>
        <v/>
      </c>
      <c r="AI845" s="11" t="str">
        <f t="shared" si="765"/>
        <v/>
      </c>
      <c r="AJ845" s="11" t="str">
        <f t="shared" si="765"/>
        <v/>
      </c>
      <c r="AK845" s="11" t="str">
        <f t="shared" si="765"/>
        <v/>
      </c>
      <c r="AL845" s="11" t="str">
        <f t="shared" si="765"/>
        <v/>
      </c>
      <c r="AM845" s="11" t="str">
        <f t="shared" si="765"/>
        <v/>
      </c>
      <c r="AN845" s="11" t="str">
        <f t="shared" si="765"/>
        <v/>
      </c>
      <c r="AO845" s="11" t="str">
        <f t="shared" si="765"/>
        <v/>
      </c>
      <c r="AP845" s="21" t="str">
        <f t="shared" si="764"/>
        <v>creme-1925-neutral, creme-1925-black, creme-1925-medium-brown, creme-1925-light-brown</v>
      </c>
    </row>
    <row r="846" ht="16.5" customHeight="1">
      <c r="A846" s="32" t="s">
        <v>5051</v>
      </c>
      <c r="B846" s="32" t="s">
        <v>4409</v>
      </c>
      <c r="C846" s="32" t="s">
        <v>5065</v>
      </c>
      <c r="D846" s="32" t="s">
        <v>5066</v>
      </c>
      <c r="E846" s="32" t="s">
        <v>5063</v>
      </c>
      <c r="F846" s="7" t="s">
        <v>5059</v>
      </c>
      <c r="G846" s="4" t="s">
        <v>5067</v>
      </c>
      <c r="K846" s="18"/>
      <c r="L846" s="20"/>
      <c r="M846" s="20"/>
      <c r="N846" s="20"/>
      <c r="O846" s="20"/>
      <c r="P846" s="20"/>
      <c r="Q846" s="20"/>
      <c r="R846" s="20"/>
      <c r="S846" s="20"/>
      <c r="T846" s="20"/>
      <c r="U846" s="20"/>
      <c r="AF846" s="11" t="str">
        <f t="shared" si="762"/>
        <v/>
      </c>
      <c r="AG846" s="11" t="str">
        <f t="shared" ref="AG846:AO846" si="766">if(not(isblank(M846)),", "&amp;M846,"")</f>
        <v/>
      </c>
      <c r="AH846" s="11" t="str">
        <f t="shared" si="766"/>
        <v/>
      </c>
      <c r="AI846" s="11" t="str">
        <f t="shared" si="766"/>
        <v/>
      </c>
      <c r="AJ846" s="11" t="str">
        <f t="shared" si="766"/>
        <v/>
      </c>
      <c r="AK846" s="11" t="str">
        <f t="shared" si="766"/>
        <v/>
      </c>
      <c r="AL846" s="11" t="str">
        <f t="shared" si="766"/>
        <v/>
      </c>
      <c r="AM846" s="11" t="str">
        <f t="shared" si="766"/>
        <v/>
      </c>
      <c r="AN846" s="11" t="str">
        <f t="shared" si="766"/>
        <v/>
      </c>
      <c r="AO846" s="11" t="str">
        <f t="shared" si="766"/>
        <v/>
      </c>
      <c r="AP846" s="21" t="str">
        <f t="shared" si="764"/>
        <v>creme-1925-neutral, creme-1925-black, creme-1925-dark-brown, creme-1925-medium-brown</v>
      </c>
    </row>
    <row r="847" ht="16.5" customHeight="1">
      <c r="A847" s="32" t="s">
        <v>5051</v>
      </c>
      <c r="B847" s="32" t="s">
        <v>4409</v>
      </c>
      <c r="C847" s="32" t="s">
        <v>5068</v>
      </c>
      <c r="D847" s="32" t="s">
        <v>5069</v>
      </c>
      <c r="E847" s="32" t="s">
        <v>5063</v>
      </c>
      <c r="F847" s="7" t="s">
        <v>5059</v>
      </c>
      <c r="G847" s="4" t="s">
        <v>5070</v>
      </c>
      <c r="K847" s="18"/>
      <c r="L847" s="20"/>
      <c r="M847" s="20"/>
      <c r="N847" s="20"/>
      <c r="O847" s="20"/>
      <c r="P847" s="20"/>
      <c r="Q847" s="20"/>
      <c r="R847" s="20"/>
      <c r="S847" s="20"/>
      <c r="T847" s="20"/>
      <c r="U847" s="20"/>
      <c r="AF847" s="11" t="str">
        <f t="shared" si="762"/>
        <v/>
      </c>
      <c r="AG847" s="11" t="str">
        <f t="shared" ref="AG847:AO847" si="767">if(not(isblank(M847)),", "&amp;M847,"")</f>
        <v/>
      </c>
      <c r="AH847" s="11" t="str">
        <f t="shared" si="767"/>
        <v/>
      </c>
      <c r="AI847" s="11" t="str">
        <f t="shared" si="767"/>
        <v/>
      </c>
      <c r="AJ847" s="11" t="str">
        <f t="shared" si="767"/>
        <v/>
      </c>
      <c r="AK847" s="11" t="str">
        <f t="shared" si="767"/>
        <v/>
      </c>
      <c r="AL847" s="11" t="str">
        <f t="shared" si="767"/>
        <v/>
      </c>
      <c r="AM847" s="11" t="str">
        <f t="shared" si="767"/>
        <v/>
      </c>
      <c r="AN847" s="11" t="str">
        <f t="shared" si="767"/>
        <v/>
      </c>
      <c r="AO847" s="11" t="str">
        <f t="shared" si="767"/>
        <v/>
      </c>
      <c r="AP847" s="21" t="str">
        <f t="shared" si="764"/>
        <v>creme-1925-neutral, creme-1925-black, creme-1925-dark-brown, creme-1925-light-brown</v>
      </c>
    </row>
    <row r="848" ht="16.5" customHeight="1">
      <c r="A848" s="32" t="s">
        <v>5051</v>
      </c>
      <c r="B848" s="32" t="s">
        <v>4409</v>
      </c>
      <c r="C848" s="32" t="s">
        <v>5071</v>
      </c>
      <c r="D848" s="32" t="s">
        <v>5072</v>
      </c>
      <c r="E848" s="32" t="s">
        <v>5073</v>
      </c>
      <c r="F848" s="7" t="s">
        <v>5059</v>
      </c>
      <c r="G848" s="4" t="s">
        <v>5074</v>
      </c>
      <c r="K848" s="18"/>
      <c r="L848" s="20"/>
      <c r="M848" s="20"/>
      <c r="N848" s="20"/>
      <c r="O848" s="20"/>
      <c r="P848" s="20"/>
      <c r="Q848" s="20"/>
      <c r="R848" s="20"/>
      <c r="S848" s="20"/>
      <c r="T848" s="20"/>
      <c r="U848" s="20"/>
      <c r="AF848" s="11" t="str">
        <f t="shared" si="762"/>
        <v/>
      </c>
      <c r="AG848" s="11" t="str">
        <f t="shared" ref="AG848:AO848" si="768">if(not(isblank(M848)),", "&amp;M848,"")</f>
        <v/>
      </c>
      <c r="AH848" s="11" t="str">
        <f t="shared" si="768"/>
        <v/>
      </c>
      <c r="AI848" s="11" t="str">
        <f t="shared" si="768"/>
        <v/>
      </c>
      <c r="AJ848" s="11" t="str">
        <f t="shared" si="768"/>
        <v/>
      </c>
      <c r="AK848" s="11" t="str">
        <f t="shared" si="768"/>
        <v/>
      </c>
      <c r="AL848" s="11" t="str">
        <f t="shared" si="768"/>
        <v/>
      </c>
      <c r="AM848" s="11" t="str">
        <f t="shared" si="768"/>
        <v/>
      </c>
      <c r="AN848" s="11" t="str">
        <f t="shared" si="768"/>
        <v/>
      </c>
      <c r="AO848" s="11" t="str">
        <f t="shared" si="768"/>
        <v/>
      </c>
      <c r="AP848" s="21" t="str">
        <f t="shared" si="764"/>
        <v>creme-1925-black, creme-1925-dark-brown, creme-1925-medium-brown, creme-1925-light-brown</v>
      </c>
    </row>
    <row r="849" ht="16.5" customHeight="1">
      <c r="A849" s="32" t="s">
        <v>5051</v>
      </c>
      <c r="B849" s="32" t="s">
        <v>4409</v>
      </c>
      <c r="C849" s="32" t="s">
        <v>5075</v>
      </c>
      <c r="D849" s="32" t="s">
        <v>5076</v>
      </c>
      <c r="E849" s="32" t="s">
        <v>5077</v>
      </c>
      <c r="F849" s="4" t="s">
        <v>5078</v>
      </c>
      <c r="G849" s="4"/>
      <c r="H849" s="4"/>
      <c r="K849" s="18"/>
      <c r="L849" s="20"/>
      <c r="M849" s="20"/>
      <c r="N849" s="20"/>
      <c r="O849" s="20"/>
      <c r="P849" s="20"/>
      <c r="Q849" s="20"/>
      <c r="R849" s="20"/>
      <c r="S849" s="20"/>
      <c r="T849" s="20"/>
      <c r="U849" s="20"/>
      <c r="AF849" s="11" t="str">
        <f t="shared" si="762"/>
        <v/>
      </c>
      <c r="AG849" s="11" t="str">
        <f t="shared" ref="AG849:AO849" si="769">if(not(isblank(M849)),", "&amp;M849,"")</f>
        <v/>
      </c>
      <c r="AH849" s="11" t="str">
        <f t="shared" si="769"/>
        <v/>
      </c>
      <c r="AI849" s="11" t="str">
        <f t="shared" si="769"/>
        <v/>
      </c>
      <c r="AJ849" s="11" t="str">
        <f t="shared" si="769"/>
        <v/>
      </c>
      <c r="AK849" s="11" t="str">
        <f t="shared" si="769"/>
        <v/>
      </c>
      <c r="AL849" s="11" t="str">
        <f t="shared" si="769"/>
        <v/>
      </c>
      <c r="AM849" s="11" t="str">
        <f t="shared" si="769"/>
        <v/>
      </c>
      <c r="AN849" s="11" t="str">
        <f t="shared" si="769"/>
        <v/>
      </c>
      <c r="AO849" s="11" t="str">
        <f t="shared" si="769"/>
        <v/>
      </c>
      <c r="AP849" s="21" t="str">
        <f t="shared" si="764"/>
        <v/>
      </c>
    </row>
    <row r="850" ht="16.5" customHeight="1">
      <c r="A850" s="32" t="s">
        <v>5051</v>
      </c>
      <c r="B850" s="32" t="s">
        <v>4409</v>
      </c>
      <c r="C850" s="32" t="s">
        <v>5079</v>
      </c>
      <c r="D850" s="32" t="s">
        <v>5080</v>
      </c>
      <c r="E850" s="32" t="s">
        <v>5081</v>
      </c>
      <c r="F850" s="4" t="s">
        <v>5082</v>
      </c>
      <c r="G850" s="4" t="s">
        <v>5083</v>
      </c>
      <c r="H850" s="4"/>
      <c r="K850" s="18"/>
      <c r="L850" s="20"/>
      <c r="M850" s="20"/>
      <c r="N850" s="20"/>
      <c r="O850" s="20"/>
      <c r="P850" s="20"/>
      <c r="Q850" s="20"/>
      <c r="R850" s="20"/>
      <c r="S850" s="20"/>
      <c r="T850" s="20"/>
      <c r="U850" s="20"/>
      <c r="AF850" s="11" t="str">
        <f t="shared" si="762"/>
        <v/>
      </c>
      <c r="AG850" s="11" t="str">
        <f t="shared" ref="AG850:AO850" si="770">if(not(isblank(M850)),", "&amp;M850,"")</f>
        <v/>
      </c>
      <c r="AH850" s="11" t="str">
        <f t="shared" si="770"/>
        <v/>
      </c>
      <c r="AI850" s="11" t="str">
        <f t="shared" si="770"/>
        <v/>
      </c>
      <c r="AJ850" s="11" t="str">
        <f t="shared" si="770"/>
        <v/>
      </c>
      <c r="AK850" s="11" t="str">
        <f t="shared" si="770"/>
        <v/>
      </c>
      <c r="AL850" s="11" t="str">
        <f t="shared" si="770"/>
        <v/>
      </c>
      <c r="AM850" s="11" t="str">
        <f t="shared" si="770"/>
        <v/>
      </c>
      <c r="AN850" s="11" t="str">
        <f t="shared" si="770"/>
        <v/>
      </c>
      <c r="AO850" s="11" t="str">
        <f t="shared" si="770"/>
        <v/>
      </c>
      <c r="AP850" s="21" t="str">
        <f t="shared" si="764"/>
        <v>polishing-brush-white-bristles</v>
      </c>
    </row>
    <row r="851" ht="16.5" customHeight="1">
      <c r="A851" s="32" t="s">
        <v>5051</v>
      </c>
      <c r="B851" s="32" t="s">
        <v>4409</v>
      </c>
      <c r="C851" s="32" t="s">
        <v>5083</v>
      </c>
      <c r="D851" s="32" t="s">
        <v>5084</v>
      </c>
      <c r="E851" s="32" t="s">
        <v>5085</v>
      </c>
      <c r="F851" s="4" t="s">
        <v>5086</v>
      </c>
      <c r="G851" s="4" t="s">
        <v>5079</v>
      </c>
      <c r="H851" s="4"/>
      <c r="K851" s="18"/>
      <c r="L851" s="20"/>
      <c r="M851" s="20"/>
      <c r="N851" s="20"/>
      <c r="O851" s="20"/>
      <c r="P851" s="20"/>
      <c r="Q851" s="20"/>
      <c r="R851" s="20"/>
      <c r="S851" s="20"/>
      <c r="T851" s="20"/>
      <c r="U851" s="20"/>
      <c r="AF851" s="11" t="str">
        <f t="shared" si="762"/>
        <v/>
      </c>
      <c r="AG851" s="11" t="str">
        <f t="shared" ref="AG851:AO851" si="771">if(not(isblank(M851)),", "&amp;M851,"")</f>
        <v/>
      </c>
      <c r="AH851" s="11" t="str">
        <f t="shared" si="771"/>
        <v/>
      </c>
      <c r="AI851" s="11" t="str">
        <f t="shared" si="771"/>
        <v/>
      </c>
      <c r="AJ851" s="11" t="str">
        <f t="shared" si="771"/>
        <v/>
      </c>
      <c r="AK851" s="11" t="str">
        <f t="shared" si="771"/>
        <v/>
      </c>
      <c r="AL851" s="11" t="str">
        <f t="shared" si="771"/>
        <v/>
      </c>
      <c r="AM851" s="11" t="str">
        <f t="shared" si="771"/>
        <v/>
      </c>
      <c r="AN851" s="11" t="str">
        <f t="shared" si="771"/>
        <v/>
      </c>
      <c r="AO851" s="11" t="str">
        <f t="shared" si="771"/>
        <v/>
      </c>
      <c r="AP851" s="21" t="str">
        <f t="shared" si="764"/>
        <v>polishing-brush-black-bristles</v>
      </c>
    </row>
    <row r="852" ht="16.5" customHeight="1">
      <c r="A852" s="32" t="s">
        <v>5051</v>
      </c>
      <c r="B852" s="32" t="s">
        <v>4409</v>
      </c>
      <c r="C852" s="32" t="s">
        <v>5087</v>
      </c>
      <c r="D852" s="32" t="s">
        <v>5088</v>
      </c>
      <c r="E852" s="32" t="s">
        <v>5089</v>
      </c>
      <c r="F852" s="7" t="s">
        <v>5090</v>
      </c>
      <c r="G852" s="4"/>
      <c r="H852" s="4"/>
      <c r="K852" s="18"/>
      <c r="L852" s="20"/>
      <c r="M852" s="20"/>
      <c r="N852" s="20"/>
      <c r="O852" s="20"/>
      <c r="P852" s="20"/>
      <c r="Q852" s="20"/>
      <c r="R852" s="20"/>
      <c r="S852" s="20"/>
      <c r="T852" s="20"/>
      <c r="U852" s="20"/>
      <c r="AF852" s="11" t="str">
        <f t="shared" si="762"/>
        <v/>
      </c>
      <c r="AG852" s="11" t="str">
        <f t="shared" ref="AG852:AO852" si="772">if(not(isblank(M852)),", "&amp;M852,"")</f>
        <v/>
      </c>
      <c r="AH852" s="11" t="str">
        <f t="shared" si="772"/>
        <v/>
      </c>
      <c r="AI852" s="11" t="str">
        <f t="shared" si="772"/>
        <v/>
      </c>
      <c r="AJ852" s="11" t="str">
        <f t="shared" si="772"/>
        <v/>
      </c>
      <c r="AK852" s="11" t="str">
        <f t="shared" si="772"/>
        <v/>
      </c>
      <c r="AL852" s="11" t="str">
        <f t="shared" si="772"/>
        <v/>
      </c>
      <c r="AM852" s="11" t="str">
        <f t="shared" si="772"/>
        <v/>
      </c>
      <c r="AN852" s="11" t="str">
        <f t="shared" si="772"/>
        <v/>
      </c>
      <c r="AO852" s="11" t="str">
        <f t="shared" si="772"/>
        <v/>
      </c>
      <c r="AP852" s="21" t="str">
        <f t="shared" si="764"/>
        <v/>
      </c>
    </row>
    <row r="853" ht="16.5" customHeight="1">
      <c r="A853" s="32" t="s">
        <v>5051</v>
      </c>
      <c r="B853" s="32" t="s">
        <v>4409</v>
      </c>
      <c r="C853" s="32" t="s">
        <v>5091</v>
      </c>
      <c r="D853" s="32" t="s">
        <v>5092</v>
      </c>
      <c r="E853" s="32" t="s">
        <v>5093</v>
      </c>
      <c r="F853" s="4" t="s">
        <v>5094</v>
      </c>
      <c r="G853" s="4"/>
      <c r="H853" s="4"/>
      <c r="K853" s="18"/>
      <c r="L853" s="20"/>
      <c r="M853" s="20"/>
      <c r="N853" s="20"/>
      <c r="O853" s="20"/>
      <c r="P853" s="20"/>
      <c r="Q853" s="20"/>
      <c r="R853" s="20"/>
      <c r="S853" s="20"/>
      <c r="T853" s="20"/>
      <c r="U853" s="20"/>
      <c r="AF853" s="11" t="str">
        <f t="shared" si="762"/>
        <v/>
      </c>
      <c r="AG853" s="11" t="str">
        <f t="shared" ref="AG853:AO853" si="773">if(not(isblank(M853)),", "&amp;M853,"")</f>
        <v/>
      </c>
      <c r="AH853" s="11" t="str">
        <f t="shared" si="773"/>
        <v/>
      </c>
      <c r="AI853" s="11" t="str">
        <f t="shared" si="773"/>
        <v/>
      </c>
      <c r="AJ853" s="11" t="str">
        <f t="shared" si="773"/>
        <v/>
      </c>
      <c r="AK853" s="11" t="str">
        <f t="shared" si="773"/>
        <v/>
      </c>
      <c r="AL853" s="11" t="str">
        <f t="shared" si="773"/>
        <v/>
      </c>
      <c r="AM853" s="11" t="str">
        <f t="shared" si="773"/>
        <v/>
      </c>
      <c r="AN853" s="11" t="str">
        <f t="shared" si="773"/>
        <v/>
      </c>
      <c r="AO853" s="11" t="str">
        <f t="shared" si="773"/>
        <v/>
      </c>
      <c r="AP853" s="21" t="str">
        <f t="shared" si="764"/>
        <v/>
      </c>
    </row>
    <row r="854" ht="16.5" customHeight="1">
      <c r="A854" s="32" t="s">
        <v>5051</v>
      </c>
      <c r="B854" s="32" t="s">
        <v>4409</v>
      </c>
      <c r="C854" s="32" t="s">
        <v>5095</v>
      </c>
      <c r="D854" s="32" t="s">
        <v>5096</v>
      </c>
      <c r="E854" s="32" t="s">
        <v>5097</v>
      </c>
      <c r="F854" s="7" t="s">
        <v>5098</v>
      </c>
      <c r="G854" s="4"/>
      <c r="H854" s="4"/>
      <c r="K854" s="18"/>
      <c r="L854" s="20"/>
      <c r="M854" s="20"/>
      <c r="N854" s="20"/>
      <c r="O854" s="20"/>
      <c r="P854" s="20"/>
      <c r="Q854" s="20"/>
      <c r="R854" s="20"/>
      <c r="S854" s="20"/>
      <c r="T854" s="20"/>
      <c r="U854" s="20"/>
      <c r="AF854" s="11" t="str">
        <f t="shared" si="762"/>
        <v/>
      </c>
      <c r="AG854" s="11" t="str">
        <f t="shared" ref="AG854:AO854" si="774">if(not(isblank(M854)),", "&amp;M854,"")</f>
        <v/>
      </c>
      <c r="AH854" s="11" t="str">
        <f t="shared" si="774"/>
        <v/>
      </c>
      <c r="AI854" s="11" t="str">
        <f t="shared" si="774"/>
        <v/>
      </c>
      <c r="AJ854" s="11" t="str">
        <f t="shared" si="774"/>
        <v/>
      </c>
      <c r="AK854" s="11" t="str">
        <f t="shared" si="774"/>
        <v/>
      </c>
      <c r="AL854" s="11" t="str">
        <f t="shared" si="774"/>
        <v/>
      </c>
      <c r="AM854" s="11" t="str">
        <f t="shared" si="774"/>
        <v/>
      </c>
      <c r="AN854" s="11" t="str">
        <f t="shared" si="774"/>
        <v/>
      </c>
      <c r="AO854" s="11" t="str">
        <f t="shared" si="774"/>
        <v/>
      </c>
      <c r="AP854" s="21" t="str">
        <f t="shared" si="764"/>
        <v/>
      </c>
    </row>
    <row r="855" ht="16.5" customHeight="1">
      <c r="A855" s="32" t="s">
        <v>5051</v>
      </c>
      <c r="B855" s="32" t="s">
        <v>4409</v>
      </c>
      <c r="C855" s="32" t="s">
        <v>5099</v>
      </c>
      <c r="D855" s="32" t="s">
        <v>5100</v>
      </c>
      <c r="E855" s="32" t="s">
        <v>5101</v>
      </c>
      <c r="F855" s="4" t="s">
        <v>5102</v>
      </c>
      <c r="G855" s="4"/>
      <c r="H855" s="4"/>
      <c r="K855" s="18"/>
      <c r="L855" s="20"/>
      <c r="M855" s="20"/>
      <c r="N855" s="20"/>
      <c r="O855" s="20"/>
      <c r="P855" s="20"/>
      <c r="Q855" s="20"/>
      <c r="R855" s="20"/>
      <c r="S855" s="20"/>
      <c r="T855" s="20"/>
      <c r="U855" s="20"/>
      <c r="AF855" s="11" t="str">
        <f t="shared" si="762"/>
        <v/>
      </c>
      <c r="AG855" s="11" t="str">
        <f t="shared" ref="AG855:AO855" si="775">if(not(isblank(M855)),", "&amp;M855,"")</f>
        <v/>
      </c>
      <c r="AH855" s="11" t="str">
        <f t="shared" si="775"/>
        <v/>
      </c>
      <c r="AI855" s="11" t="str">
        <f t="shared" si="775"/>
        <v/>
      </c>
      <c r="AJ855" s="11" t="str">
        <f t="shared" si="775"/>
        <v/>
      </c>
      <c r="AK855" s="11" t="str">
        <f t="shared" si="775"/>
        <v/>
      </c>
      <c r="AL855" s="11" t="str">
        <f t="shared" si="775"/>
        <v/>
      </c>
      <c r="AM855" s="11" t="str">
        <f t="shared" si="775"/>
        <v/>
      </c>
      <c r="AN855" s="11" t="str">
        <f t="shared" si="775"/>
        <v/>
      </c>
      <c r="AO855" s="11" t="str">
        <f t="shared" si="775"/>
        <v/>
      </c>
      <c r="AP855" s="21" t="str">
        <f t="shared" si="764"/>
        <v/>
      </c>
    </row>
    <row r="856" ht="16.5" customHeight="1">
      <c r="A856" s="32" t="s">
        <v>5051</v>
      </c>
      <c r="B856" s="32" t="s">
        <v>4409</v>
      </c>
      <c r="C856" s="32" t="s">
        <v>5103</v>
      </c>
      <c r="D856" s="32" t="s">
        <v>5104</v>
      </c>
      <c r="E856" s="32" t="s">
        <v>5105</v>
      </c>
      <c r="F856" s="4" t="s">
        <v>5106</v>
      </c>
      <c r="G856" s="4" t="s">
        <v>5107</v>
      </c>
      <c r="K856" s="18"/>
      <c r="L856" s="20"/>
      <c r="M856" s="20"/>
      <c r="N856" s="20"/>
      <c r="O856" s="20"/>
      <c r="P856" s="20"/>
      <c r="Q856" s="20"/>
      <c r="R856" s="20"/>
      <c r="S856" s="20"/>
      <c r="T856" s="20"/>
      <c r="U856" s="20"/>
      <c r="AF856" s="11" t="str">
        <f t="shared" si="762"/>
        <v/>
      </c>
      <c r="AG856" s="11" t="str">
        <f t="shared" ref="AG856:AO856" si="776">if(not(isblank(M856)),", "&amp;M856,"")</f>
        <v/>
      </c>
      <c r="AH856" s="11" t="str">
        <f t="shared" si="776"/>
        <v/>
      </c>
      <c r="AI856" s="11" t="str">
        <f t="shared" si="776"/>
        <v/>
      </c>
      <c r="AJ856" s="11" t="str">
        <f t="shared" si="776"/>
        <v/>
      </c>
      <c r="AK856" s="11" t="str">
        <f t="shared" si="776"/>
        <v/>
      </c>
      <c r="AL856" s="11" t="str">
        <f t="shared" si="776"/>
        <v/>
      </c>
      <c r="AM856" s="11" t="str">
        <f t="shared" si="776"/>
        <v/>
      </c>
      <c r="AN856" s="11" t="str">
        <f t="shared" si="776"/>
        <v/>
      </c>
      <c r="AO856" s="11" t="str">
        <f t="shared" si="776"/>
        <v/>
      </c>
      <c r="AP856" s="21" t="str">
        <f t="shared" si="764"/>
        <v>pate-de-luxe-1925-dark-brown, pate-de-luxe-1925-mid-brown, pate-de-luxe-1925-neutral</v>
      </c>
    </row>
    <row r="857" ht="16.5" customHeight="1">
      <c r="A857" s="32" t="s">
        <v>5051</v>
      </c>
      <c r="B857" s="32" t="s">
        <v>4409</v>
      </c>
      <c r="C857" s="32" t="s">
        <v>5108</v>
      </c>
      <c r="D857" s="32" t="s">
        <v>5109</v>
      </c>
      <c r="E857" s="32" t="s">
        <v>5105</v>
      </c>
      <c r="F857" s="4" t="s">
        <v>5110</v>
      </c>
      <c r="G857" s="4" t="s">
        <v>5111</v>
      </c>
      <c r="K857" s="18"/>
      <c r="L857" s="20"/>
      <c r="M857" s="20"/>
      <c r="N857" s="20"/>
      <c r="O857" s="20"/>
      <c r="P857" s="20"/>
      <c r="Q857" s="20"/>
      <c r="R857" s="20"/>
      <c r="S857" s="20"/>
      <c r="T857" s="20"/>
      <c r="U857" s="20"/>
      <c r="AF857" s="11" t="str">
        <f t="shared" si="762"/>
        <v/>
      </c>
      <c r="AG857" s="11" t="str">
        <f t="shared" ref="AG857:AO857" si="777">if(not(isblank(M857)),", "&amp;M857,"")</f>
        <v/>
      </c>
      <c r="AH857" s="11" t="str">
        <f t="shared" si="777"/>
        <v/>
      </c>
      <c r="AI857" s="11" t="str">
        <f t="shared" si="777"/>
        <v/>
      </c>
      <c r="AJ857" s="11" t="str">
        <f t="shared" si="777"/>
        <v/>
      </c>
      <c r="AK857" s="11" t="str">
        <f t="shared" si="777"/>
        <v/>
      </c>
      <c r="AL857" s="11" t="str">
        <f t="shared" si="777"/>
        <v/>
      </c>
      <c r="AM857" s="11" t="str">
        <f t="shared" si="777"/>
        <v/>
      </c>
      <c r="AN857" s="11" t="str">
        <f t="shared" si="777"/>
        <v/>
      </c>
      <c r="AO857" s="11" t="str">
        <f t="shared" si="777"/>
        <v/>
      </c>
      <c r="AP857" s="21" t="str">
        <f t="shared" si="764"/>
        <v>pate-de-luxe-1925-black, pate-de-luxe-1925-dark-brown, pate-de-luxe-1925-mid-brown</v>
      </c>
    </row>
    <row r="858" ht="16.5" customHeight="1">
      <c r="A858" s="32" t="s">
        <v>5051</v>
      </c>
      <c r="B858" s="32" t="s">
        <v>4409</v>
      </c>
      <c r="C858" s="32" t="s">
        <v>5112</v>
      </c>
      <c r="D858" s="32" t="s">
        <v>5113</v>
      </c>
      <c r="E858" s="32" t="s">
        <v>5105</v>
      </c>
      <c r="F858" s="4" t="s">
        <v>5114</v>
      </c>
      <c r="G858" s="4" t="s">
        <v>5115</v>
      </c>
      <c r="K858" s="18"/>
      <c r="L858" s="20"/>
      <c r="M858" s="20"/>
      <c r="N858" s="20"/>
      <c r="O858" s="20"/>
      <c r="P858" s="20"/>
      <c r="Q858" s="20"/>
      <c r="R858" s="20"/>
      <c r="S858" s="20"/>
      <c r="T858" s="20"/>
      <c r="U858" s="20"/>
      <c r="AF858" s="11" t="str">
        <f t="shared" si="762"/>
        <v/>
      </c>
      <c r="AG858" s="11" t="str">
        <f t="shared" ref="AG858:AO858" si="778">if(not(isblank(M858)),", "&amp;M858,"")</f>
        <v/>
      </c>
      <c r="AH858" s="11" t="str">
        <f t="shared" si="778"/>
        <v/>
      </c>
      <c r="AI858" s="11" t="str">
        <f t="shared" si="778"/>
        <v/>
      </c>
      <c r="AJ858" s="11" t="str">
        <f t="shared" si="778"/>
        <v/>
      </c>
      <c r="AK858" s="11" t="str">
        <f t="shared" si="778"/>
        <v/>
      </c>
      <c r="AL858" s="11" t="str">
        <f t="shared" si="778"/>
        <v/>
      </c>
      <c r="AM858" s="11" t="str">
        <f t="shared" si="778"/>
        <v/>
      </c>
      <c r="AN858" s="11" t="str">
        <f t="shared" si="778"/>
        <v/>
      </c>
      <c r="AO858" s="11" t="str">
        <f t="shared" si="778"/>
        <v/>
      </c>
      <c r="AP858" s="21" t="str">
        <f t="shared" si="764"/>
        <v>pate-de-luxe-1925-black, pate-de-luxe-1925-mid-brown, pate-de-luxe-1925-neutral</v>
      </c>
    </row>
    <row r="859" ht="16.5" customHeight="1">
      <c r="A859" s="32" t="s">
        <v>5051</v>
      </c>
      <c r="B859" s="32" t="s">
        <v>4409</v>
      </c>
      <c r="C859" s="32" t="s">
        <v>5116</v>
      </c>
      <c r="D859" s="32" t="s">
        <v>5117</v>
      </c>
      <c r="E859" s="32" t="s">
        <v>5118</v>
      </c>
      <c r="F859" s="4" t="s">
        <v>5119</v>
      </c>
      <c r="G859" s="4" t="s">
        <v>5120</v>
      </c>
      <c r="K859" s="18"/>
      <c r="L859" s="20"/>
      <c r="M859" s="20"/>
      <c r="N859" s="20"/>
      <c r="O859" s="20"/>
      <c r="P859" s="20"/>
      <c r="Q859" s="20"/>
      <c r="R859" s="20"/>
      <c r="S859" s="20"/>
      <c r="T859" s="20"/>
      <c r="U859" s="20"/>
      <c r="AF859" s="11" t="str">
        <f t="shared" si="762"/>
        <v/>
      </c>
      <c r="AG859" s="11" t="str">
        <f t="shared" ref="AG859:AO859" si="779">if(not(isblank(M859)),", "&amp;M859,"")</f>
        <v/>
      </c>
      <c r="AH859" s="11" t="str">
        <f t="shared" si="779"/>
        <v/>
      </c>
      <c r="AI859" s="11" t="str">
        <f t="shared" si="779"/>
        <v/>
      </c>
      <c r="AJ859" s="11" t="str">
        <f t="shared" si="779"/>
        <v/>
      </c>
      <c r="AK859" s="11" t="str">
        <f t="shared" si="779"/>
        <v/>
      </c>
      <c r="AL859" s="11" t="str">
        <f t="shared" si="779"/>
        <v/>
      </c>
      <c r="AM859" s="11" t="str">
        <f t="shared" si="779"/>
        <v/>
      </c>
      <c r="AN859" s="11" t="str">
        <f t="shared" si="779"/>
        <v/>
      </c>
      <c r="AO859" s="11" t="str">
        <f t="shared" si="779"/>
        <v/>
      </c>
      <c r="AP859" s="21" t="str">
        <f t="shared" si="764"/>
        <v>pate-de-luxe-1925-black, pate-de-luxe-1925-dark-brown, pate-de-luxe-1925-neutral</v>
      </c>
    </row>
    <row r="860" ht="16.5" customHeight="1">
      <c r="A860" s="32" t="s">
        <v>5051</v>
      </c>
      <c r="B860" s="32" t="s">
        <v>4409</v>
      </c>
      <c r="C860" s="32" t="s">
        <v>5121</v>
      </c>
      <c r="D860" s="32" t="s">
        <v>5122</v>
      </c>
      <c r="E860" s="32" t="s">
        <v>5123</v>
      </c>
      <c r="F860" s="4" t="s">
        <v>5124</v>
      </c>
      <c r="G860" s="4"/>
      <c r="H860" s="4"/>
      <c r="K860" s="18"/>
      <c r="L860" s="20"/>
      <c r="M860" s="20"/>
      <c r="N860" s="20"/>
      <c r="O860" s="20"/>
      <c r="P860" s="20"/>
      <c r="Q860" s="20"/>
      <c r="R860" s="20"/>
      <c r="S860" s="20"/>
      <c r="T860" s="20"/>
      <c r="U860" s="20"/>
      <c r="AF860" s="11" t="str">
        <f t="shared" si="762"/>
        <v/>
      </c>
      <c r="AG860" s="11" t="str">
        <f t="shared" ref="AG860:AO860" si="780">if(not(isblank(M860)),", "&amp;M860,"")</f>
        <v/>
      </c>
      <c r="AH860" s="11" t="str">
        <f t="shared" si="780"/>
        <v/>
      </c>
      <c r="AI860" s="11" t="str">
        <f t="shared" si="780"/>
        <v/>
      </c>
      <c r="AJ860" s="11" t="str">
        <f t="shared" si="780"/>
        <v/>
      </c>
      <c r="AK860" s="11" t="str">
        <f t="shared" si="780"/>
        <v/>
      </c>
      <c r="AL860" s="11" t="str">
        <f t="shared" si="780"/>
        <v/>
      </c>
      <c r="AM860" s="11" t="str">
        <f t="shared" si="780"/>
        <v/>
      </c>
      <c r="AN860" s="11" t="str">
        <f t="shared" si="780"/>
        <v/>
      </c>
      <c r="AO860" s="11" t="str">
        <f t="shared" si="780"/>
        <v/>
      </c>
      <c r="AP860" s="21" t="str">
        <f t="shared" si="764"/>
        <v/>
      </c>
    </row>
    <row r="861" ht="16.5" customHeight="1">
      <c r="A861" s="32" t="s">
        <v>5051</v>
      </c>
      <c r="B861" s="32" t="s">
        <v>4409</v>
      </c>
      <c r="C861" s="32" t="s">
        <v>5125</v>
      </c>
      <c r="D861" s="32" t="s">
        <v>5126</v>
      </c>
      <c r="E861" s="32" t="s">
        <v>5127</v>
      </c>
      <c r="F861" s="4" t="s">
        <v>5128</v>
      </c>
      <c r="G861" s="4"/>
      <c r="H861" s="4"/>
      <c r="K861" s="18"/>
      <c r="L861" s="20"/>
      <c r="M861" s="20"/>
      <c r="N861" s="20"/>
      <c r="O861" s="20"/>
      <c r="P861" s="20"/>
      <c r="Q861" s="20"/>
      <c r="R861" s="20"/>
      <c r="S861" s="20"/>
      <c r="T861" s="20"/>
      <c r="U861" s="20"/>
      <c r="AF861" s="11" t="str">
        <f t="shared" si="762"/>
        <v/>
      </c>
      <c r="AG861" s="11" t="str">
        <f t="shared" ref="AG861:AO861" si="781">if(not(isblank(M861)),", "&amp;M861,"")</f>
        <v/>
      </c>
      <c r="AH861" s="11" t="str">
        <f t="shared" si="781"/>
        <v/>
      </c>
      <c r="AI861" s="11" t="str">
        <f t="shared" si="781"/>
        <v/>
      </c>
      <c r="AJ861" s="11" t="str">
        <f t="shared" si="781"/>
        <v/>
      </c>
      <c r="AK861" s="11" t="str">
        <f t="shared" si="781"/>
        <v/>
      </c>
      <c r="AL861" s="11" t="str">
        <f t="shared" si="781"/>
        <v/>
      </c>
      <c r="AM861" s="11" t="str">
        <f t="shared" si="781"/>
        <v/>
      </c>
      <c r="AN861" s="11" t="str">
        <f t="shared" si="781"/>
        <v/>
      </c>
      <c r="AO861" s="11" t="str">
        <f t="shared" si="781"/>
        <v/>
      </c>
      <c r="AP861" s="21" t="str">
        <f t="shared" si="764"/>
        <v/>
      </c>
    </row>
    <row r="862" ht="16.5" customHeight="1">
      <c r="A862" s="32" t="s">
        <v>5129</v>
      </c>
      <c r="B862" s="32" t="s">
        <v>2348</v>
      </c>
      <c r="C862" s="32" t="s">
        <v>5130</v>
      </c>
      <c r="D862" s="54" t="s">
        <v>5131</v>
      </c>
      <c r="E862" s="32" t="s">
        <v>5132</v>
      </c>
      <c r="F862" s="4" t="s">
        <v>5133</v>
      </c>
      <c r="G862" s="4"/>
      <c r="H862" s="4"/>
      <c r="J862" s="11" t="s">
        <v>1712</v>
      </c>
      <c r="K862" s="18"/>
      <c r="L862" s="20"/>
      <c r="M862" s="20"/>
      <c r="N862" s="20"/>
      <c r="O862" s="20"/>
      <c r="P862" s="20"/>
      <c r="Q862" s="20"/>
      <c r="R862" s="20"/>
      <c r="S862" s="20"/>
      <c r="T862" s="20"/>
      <c r="U862" s="20"/>
      <c r="AF862" s="11" t="str">
        <f t="shared" si="762"/>
        <v/>
      </c>
      <c r="AG862" s="11" t="str">
        <f t="shared" ref="AG862:AO862" si="782">if(not(isblank(M862)),", "&amp;M862,"")</f>
        <v/>
      </c>
      <c r="AH862" s="11" t="str">
        <f t="shared" si="782"/>
        <v/>
      </c>
      <c r="AI862" s="11" t="str">
        <f t="shared" si="782"/>
        <v/>
      </c>
      <c r="AJ862" s="11" t="str">
        <f t="shared" si="782"/>
        <v/>
      </c>
      <c r="AK862" s="11" t="str">
        <f t="shared" si="782"/>
        <v/>
      </c>
      <c r="AL862" s="11" t="str">
        <f t="shared" si="782"/>
        <v/>
      </c>
      <c r="AM862" s="11" t="str">
        <f t="shared" si="782"/>
        <v/>
      </c>
      <c r="AN862" s="11" t="str">
        <f t="shared" si="782"/>
        <v/>
      </c>
      <c r="AO862" s="11" t="str">
        <f t="shared" si="782"/>
        <v/>
      </c>
      <c r="AP862" s="21" t="str">
        <f t="shared" si="764"/>
        <v/>
      </c>
    </row>
    <row r="863" ht="16.5" customHeight="1">
      <c r="A863" s="32" t="s">
        <v>5129</v>
      </c>
      <c r="B863" s="32" t="s">
        <v>2348</v>
      </c>
      <c r="C863" s="32" t="s">
        <v>5134</v>
      </c>
      <c r="D863" s="54" t="s">
        <v>5135</v>
      </c>
      <c r="E863" s="32" t="s">
        <v>5136</v>
      </c>
      <c r="F863" s="4" t="s">
        <v>5137</v>
      </c>
      <c r="G863" s="4"/>
      <c r="H863" s="4"/>
      <c r="I863" s="11" t="s">
        <v>1711</v>
      </c>
      <c r="J863" s="11" t="s">
        <v>1712</v>
      </c>
      <c r="K863" s="18"/>
      <c r="L863" s="20"/>
      <c r="M863" s="20"/>
      <c r="N863" s="20"/>
      <c r="O863" s="20"/>
      <c r="P863" s="20"/>
      <c r="Q863" s="20"/>
      <c r="R863" s="20"/>
      <c r="S863" s="20"/>
      <c r="T863" s="20"/>
      <c r="U863" s="20"/>
      <c r="AF863" s="11" t="str">
        <f t="shared" si="762"/>
        <v/>
      </c>
      <c r="AG863" s="11" t="str">
        <f t="shared" ref="AG863:AO863" si="783">if(not(isblank(M863)),", "&amp;M863,"")</f>
        <v/>
      </c>
      <c r="AH863" s="11" t="str">
        <f t="shared" si="783"/>
        <v/>
      </c>
      <c r="AI863" s="11" t="str">
        <f t="shared" si="783"/>
        <v/>
      </c>
      <c r="AJ863" s="11" t="str">
        <f t="shared" si="783"/>
        <v/>
      </c>
      <c r="AK863" s="11" t="str">
        <f t="shared" si="783"/>
        <v/>
      </c>
      <c r="AL863" s="11" t="str">
        <f t="shared" si="783"/>
        <v/>
      </c>
      <c r="AM863" s="11" t="str">
        <f t="shared" si="783"/>
        <v/>
      </c>
      <c r="AN863" s="11" t="str">
        <f t="shared" si="783"/>
        <v/>
      </c>
      <c r="AO863" s="11" t="str">
        <f t="shared" si="783"/>
        <v/>
      </c>
      <c r="AP863" s="21" t="str">
        <f t="shared" si="764"/>
        <v/>
      </c>
    </row>
    <row r="864" ht="16.5" customHeight="1">
      <c r="A864" s="32" t="s">
        <v>5129</v>
      </c>
      <c r="B864" s="32" t="s">
        <v>2348</v>
      </c>
      <c r="C864" s="32" t="s">
        <v>5138</v>
      </c>
      <c r="D864" s="32" t="s">
        <v>5139</v>
      </c>
      <c r="E864" s="32" t="s">
        <v>5140</v>
      </c>
      <c r="F864" s="4" t="s">
        <v>5141</v>
      </c>
      <c r="G864" s="4"/>
      <c r="H864" s="4"/>
      <c r="J864" s="11" t="s">
        <v>1712</v>
      </c>
      <c r="K864" s="18"/>
      <c r="L864" s="20"/>
      <c r="M864" s="20"/>
      <c r="N864" s="20"/>
      <c r="O864" s="20"/>
      <c r="P864" s="20"/>
      <c r="Q864" s="20"/>
      <c r="R864" s="20"/>
      <c r="S864" s="20"/>
      <c r="T864" s="20"/>
      <c r="U864" s="20"/>
      <c r="AF864" s="11" t="str">
        <f t="shared" si="762"/>
        <v/>
      </c>
      <c r="AG864" s="11" t="str">
        <f t="shared" ref="AG864:AO864" si="784">if(not(isblank(M864)),", "&amp;M864,"")</f>
        <v/>
      </c>
      <c r="AH864" s="11" t="str">
        <f t="shared" si="784"/>
        <v/>
      </c>
      <c r="AI864" s="11" t="str">
        <f t="shared" si="784"/>
        <v/>
      </c>
      <c r="AJ864" s="11" t="str">
        <f t="shared" si="784"/>
        <v/>
      </c>
      <c r="AK864" s="11" t="str">
        <f t="shared" si="784"/>
        <v/>
      </c>
      <c r="AL864" s="11" t="str">
        <f t="shared" si="784"/>
        <v/>
      </c>
      <c r="AM864" s="11" t="str">
        <f t="shared" si="784"/>
        <v/>
      </c>
      <c r="AN864" s="11" t="str">
        <f t="shared" si="784"/>
        <v/>
      </c>
      <c r="AO864" s="11" t="str">
        <f t="shared" si="784"/>
        <v/>
      </c>
      <c r="AP864" s="21" t="str">
        <f t="shared" si="764"/>
        <v/>
      </c>
    </row>
    <row r="865" ht="16.5" customHeight="1">
      <c r="A865" s="32" t="s">
        <v>5129</v>
      </c>
      <c r="B865" s="32" t="s">
        <v>2348</v>
      </c>
      <c r="C865" s="32" t="s">
        <v>5142</v>
      </c>
      <c r="D865" s="32" t="s">
        <v>5143</v>
      </c>
      <c r="E865" s="32" t="s">
        <v>5144</v>
      </c>
      <c r="F865" s="4" t="s">
        <v>5145</v>
      </c>
      <c r="G865" s="4"/>
      <c r="H865" s="4"/>
      <c r="I865" s="11" t="s">
        <v>1701</v>
      </c>
      <c r="J865" s="11" t="s">
        <v>1536</v>
      </c>
      <c r="K865" s="18"/>
      <c r="L865" s="20"/>
      <c r="M865" s="20"/>
      <c r="N865" s="20"/>
      <c r="O865" s="20"/>
      <c r="P865" s="20"/>
      <c r="Q865" s="20"/>
      <c r="R865" s="20"/>
      <c r="S865" s="20"/>
      <c r="T865" s="20"/>
      <c r="U865" s="20"/>
      <c r="AF865" s="11" t="str">
        <f t="shared" si="762"/>
        <v/>
      </c>
      <c r="AG865" s="11" t="str">
        <f t="shared" ref="AG865:AO865" si="785">if(not(isblank(M865)),", "&amp;M865,"")</f>
        <v/>
      </c>
      <c r="AH865" s="11" t="str">
        <f t="shared" si="785"/>
        <v/>
      </c>
      <c r="AI865" s="11" t="str">
        <f t="shared" si="785"/>
        <v/>
      </c>
      <c r="AJ865" s="11" t="str">
        <f t="shared" si="785"/>
        <v/>
      </c>
      <c r="AK865" s="11" t="str">
        <f t="shared" si="785"/>
        <v/>
      </c>
      <c r="AL865" s="11" t="str">
        <f t="shared" si="785"/>
        <v/>
      </c>
      <c r="AM865" s="11" t="str">
        <f t="shared" si="785"/>
        <v/>
      </c>
      <c r="AN865" s="11" t="str">
        <f t="shared" si="785"/>
        <v/>
      </c>
      <c r="AO865" s="11" t="str">
        <f t="shared" si="785"/>
        <v/>
      </c>
      <c r="AP865" s="21" t="str">
        <f t="shared" si="764"/>
        <v/>
      </c>
    </row>
    <row r="866" ht="16.5" customHeight="1">
      <c r="A866" s="32" t="s">
        <v>5129</v>
      </c>
      <c r="B866" s="32" t="s">
        <v>2348</v>
      </c>
      <c r="C866" s="32" t="s">
        <v>5146</v>
      </c>
      <c r="D866" s="32" t="s">
        <v>5147</v>
      </c>
      <c r="E866" s="32" t="s">
        <v>5148</v>
      </c>
      <c r="F866" s="4" t="s">
        <v>5149</v>
      </c>
      <c r="G866" s="4"/>
      <c r="H866" s="4"/>
      <c r="I866" s="11" t="s">
        <v>1701</v>
      </c>
      <c r="J866" s="11" t="s">
        <v>1601</v>
      </c>
      <c r="K866" s="18"/>
      <c r="L866" s="20"/>
      <c r="M866" s="20"/>
      <c r="N866" s="20"/>
      <c r="O866" s="20"/>
      <c r="P866" s="20"/>
      <c r="Q866" s="20"/>
      <c r="R866" s="20"/>
      <c r="S866" s="20"/>
      <c r="T866" s="20"/>
      <c r="U866" s="20"/>
      <c r="AF866" s="11" t="str">
        <f t="shared" si="762"/>
        <v/>
      </c>
      <c r="AG866" s="11" t="str">
        <f t="shared" ref="AG866:AO866" si="786">if(not(isblank(M866)),", "&amp;M866,"")</f>
        <v/>
      </c>
      <c r="AH866" s="11" t="str">
        <f t="shared" si="786"/>
        <v/>
      </c>
      <c r="AI866" s="11" t="str">
        <f t="shared" si="786"/>
        <v/>
      </c>
      <c r="AJ866" s="11" t="str">
        <f t="shared" si="786"/>
        <v/>
      </c>
      <c r="AK866" s="11" t="str">
        <f t="shared" si="786"/>
        <v/>
      </c>
      <c r="AL866" s="11" t="str">
        <f t="shared" si="786"/>
        <v/>
      </c>
      <c r="AM866" s="11" t="str">
        <f t="shared" si="786"/>
        <v/>
      </c>
      <c r="AN866" s="11" t="str">
        <f t="shared" si="786"/>
        <v/>
      </c>
      <c r="AO866" s="11" t="str">
        <f t="shared" si="786"/>
        <v/>
      </c>
      <c r="AP866" s="21" t="str">
        <f t="shared" si="764"/>
        <v/>
      </c>
    </row>
    <row r="867" ht="16.5" customHeight="1">
      <c r="A867" s="32" t="s">
        <v>5129</v>
      </c>
      <c r="B867" s="32" t="s">
        <v>2348</v>
      </c>
      <c r="C867" s="32" t="s">
        <v>5150</v>
      </c>
      <c r="D867" s="32" t="s">
        <v>5151</v>
      </c>
      <c r="E867" s="32" t="s">
        <v>5152</v>
      </c>
      <c r="F867" s="4" t="s">
        <v>5153</v>
      </c>
      <c r="G867" s="4"/>
      <c r="H867" s="4"/>
      <c r="I867" s="11" t="s">
        <v>1711</v>
      </c>
      <c r="J867" s="11" t="s">
        <v>1712</v>
      </c>
      <c r="K867" s="18"/>
      <c r="L867" s="20"/>
      <c r="M867" s="20"/>
      <c r="N867" s="20"/>
      <c r="O867" s="20"/>
      <c r="P867" s="20"/>
      <c r="Q867" s="20"/>
      <c r="R867" s="20"/>
      <c r="S867" s="20"/>
      <c r="T867" s="20"/>
      <c r="U867" s="20"/>
      <c r="AF867" s="11" t="str">
        <f t="shared" si="762"/>
        <v/>
      </c>
      <c r="AG867" s="11" t="str">
        <f t="shared" ref="AG867:AO867" si="787">if(not(isblank(M867)),", "&amp;M867,"")</f>
        <v/>
      </c>
      <c r="AH867" s="11" t="str">
        <f t="shared" si="787"/>
        <v/>
      </c>
      <c r="AI867" s="11" t="str">
        <f t="shared" si="787"/>
        <v/>
      </c>
      <c r="AJ867" s="11" t="str">
        <f t="shared" si="787"/>
        <v/>
      </c>
      <c r="AK867" s="11" t="str">
        <f t="shared" si="787"/>
        <v/>
      </c>
      <c r="AL867" s="11" t="str">
        <f t="shared" si="787"/>
        <v/>
      </c>
      <c r="AM867" s="11" t="str">
        <f t="shared" si="787"/>
        <v/>
      </c>
      <c r="AN867" s="11" t="str">
        <f t="shared" si="787"/>
        <v/>
      </c>
      <c r="AO867" s="11" t="str">
        <f t="shared" si="787"/>
        <v/>
      </c>
      <c r="AP867" s="21" t="str">
        <f t="shared" si="764"/>
        <v/>
      </c>
    </row>
    <row r="868" ht="16.5" customHeight="1">
      <c r="A868" s="32" t="s">
        <v>5129</v>
      </c>
      <c r="B868" s="32" t="s">
        <v>2348</v>
      </c>
      <c r="C868" s="32" t="s">
        <v>5154</v>
      </c>
      <c r="D868" s="32" t="s">
        <v>5155</v>
      </c>
      <c r="E868" s="32" t="s">
        <v>5156</v>
      </c>
      <c r="F868" s="4" t="s">
        <v>5157</v>
      </c>
      <c r="G868" s="4" t="s">
        <v>5158</v>
      </c>
      <c r="K868" s="18"/>
      <c r="L868" s="20"/>
      <c r="M868" s="20"/>
      <c r="N868" s="20"/>
      <c r="O868" s="20"/>
      <c r="P868" s="20"/>
      <c r="Q868" s="20"/>
      <c r="R868" s="20"/>
      <c r="S868" s="20"/>
      <c r="T868" s="20"/>
      <c r="U868" s="20"/>
      <c r="AF868" s="11" t="str">
        <f t="shared" si="762"/>
        <v/>
      </c>
      <c r="AG868" s="11" t="str">
        <f t="shared" ref="AG868:AO868" si="788">if(not(isblank(M868)),", "&amp;M868,"")</f>
        <v/>
      </c>
      <c r="AH868" s="11" t="str">
        <f t="shared" si="788"/>
        <v/>
      </c>
      <c r="AI868" s="11" t="str">
        <f t="shared" si="788"/>
        <v/>
      </c>
      <c r="AJ868" s="11" t="str">
        <f t="shared" si="788"/>
        <v/>
      </c>
      <c r="AK868" s="11" t="str">
        <f t="shared" si="788"/>
        <v/>
      </c>
      <c r="AL868" s="11" t="str">
        <f t="shared" si="788"/>
        <v/>
      </c>
      <c r="AM868" s="11" t="str">
        <f t="shared" si="788"/>
        <v/>
      </c>
      <c r="AN868" s="11" t="str">
        <f t="shared" si="788"/>
        <v/>
      </c>
      <c r="AO868" s="11" t="str">
        <f t="shared" si="788"/>
        <v/>
      </c>
      <c r="AP868" s="21" t="str">
        <f t="shared" si="764"/>
        <v>santal-supr-solid, santal-supr-solid-refill</v>
      </c>
    </row>
    <row r="869" ht="16.5" customHeight="1">
      <c r="A869" s="32" t="s">
        <v>5129</v>
      </c>
      <c r="B869" s="32" t="s">
        <v>2348</v>
      </c>
      <c r="C869" s="32" t="s">
        <v>5159</v>
      </c>
      <c r="D869" s="32" t="s">
        <v>5160</v>
      </c>
      <c r="E869" s="32" t="s">
        <v>5161</v>
      </c>
      <c r="F869" s="4" t="s">
        <v>5162</v>
      </c>
      <c r="G869" s="4" t="s">
        <v>5163</v>
      </c>
      <c r="K869" s="18"/>
      <c r="L869" s="20"/>
      <c r="M869" s="20"/>
      <c r="N869" s="20"/>
      <c r="O869" s="20"/>
      <c r="P869" s="20"/>
      <c r="Q869" s="20"/>
      <c r="R869" s="20"/>
      <c r="S869" s="20"/>
      <c r="T869" s="20"/>
      <c r="U869" s="20"/>
      <c r="AF869" s="11" t="str">
        <f t="shared" si="762"/>
        <v/>
      </c>
      <c r="AG869" s="11" t="str">
        <f t="shared" ref="AG869:AO869" si="789">if(not(isblank(M869)),", "&amp;M869,"")</f>
        <v/>
      </c>
      <c r="AH869" s="11" t="str">
        <f t="shared" si="789"/>
        <v/>
      </c>
      <c r="AI869" s="11" t="str">
        <f t="shared" si="789"/>
        <v/>
      </c>
      <c r="AJ869" s="11" t="str">
        <f t="shared" si="789"/>
        <v/>
      </c>
      <c r="AK869" s="11" t="str">
        <f t="shared" si="789"/>
        <v/>
      </c>
      <c r="AL869" s="11" t="str">
        <f t="shared" si="789"/>
        <v/>
      </c>
      <c r="AM869" s="11" t="str">
        <f t="shared" si="789"/>
        <v/>
      </c>
      <c r="AN869" s="11" t="str">
        <f t="shared" si="789"/>
        <v/>
      </c>
      <c r="AO869" s="11" t="str">
        <f t="shared" si="789"/>
        <v/>
      </c>
      <c r="AP869" s="21" t="str">
        <f t="shared" si="764"/>
        <v>ambr-super-solid-3g, ambr-super-solid-refill-2x3g</v>
      </c>
    </row>
    <row r="870" ht="16.5" customHeight="1">
      <c r="A870" s="32" t="s">
        <v>5129</v>
      </c>
      <c r="B870" s="32" t="s">
        <v>2348</v>
      </c>
      <c r="C870" s="32" t="s">
        <v>5164</v>
      </c>
      <c r="D870" s="32" t="s">
        <v>5165</v>
      </c>
      <c r="E870" s="32" t="s">
        <v>5166</v>
      </c>
      <c r="F870" s="4" t="s">
        <v>5167</v>
      </c>
      <c r="G870" s="4" t="s">
        <v>5168</v>
      </c>
      <c r="K870" s="18"/>
      <c r="L870" s="20"/>
      <c r="M870" s="20"/>
      <c r="N870" s="20"/>
      <c r="O870" s="20"/>
      <c r="P870" s="20"/>
      <c r="Q870" s="20"/>
      <c r="R870" s="20"/>
      <c r="S870" s="20"/>
      <c r="T870" s="20"/>
      <c r="U870" s="20"/>
      <c r="AF870" s="11" t="str">
        <f t="shared" si="762"/>
        <v/>
      </c>
      <c r="AG870" s="11" t="str">
        <f t="shared" ref="AG870:AO870" si="790">if(not(isblank(M870)),", "&amp;M870,"")</f>
        <v/>
      </c>
      <c r="AH870" s="11" t="str">
        <f t="shared" si="790"/>
        <v/>
      </c>
      <c r="AI870" s="11" t="str">
        <f t="shared" si="790"/>
        <v/>
      </c>
      <c r="AJ870" s="11" t="str">
        <f t="shared" si="790"/>
        <v/>
      </c>
      <c r="AK870" s="11" t="str">
        <f t="shared" si="790"/>
        <v/>
      </c>
      <c r="AL870" s="11" t="str">
        <f t="shared" si="790"/>
        <v/>
      </c>
      <c r="AM870" s="11" t="str">
        <f t="shared" si="790"/>
        <v/>
      </c>
      <c r="AN870" s="11" t="str">
        <f t="shared" si="790"/>
        <v/>
      </c>
      <c r="AO870" s="11" t="str">
        <f t="shared" si="790"/>
        <v/>
      </c>
      <c r="AP870" s="21" t="str">
        <f t="shared" si="764"/>
        <v>ambr-super-solid-refill-2x3g, ambr-super</v>
      </c>
    </row>
    <row r="871" ht="16.5" customHeight="1">
      <c r="A871" s="32" t="s">
        <v>5129</v>
      </c>
      <c r="B871" s="32" t="s">
        <v>2348</v>
      </c>
      <c r="C871" s="32" t="s">
        <v>5169</v>
      </c>
      <c r="D871" s="32" t="s">
        <v>5170</v>
      </c>
      <c r="E871" s="32" t="s">
        <v>5171</v>
      </c>
      <c r="F871" s="4" t="s">
        <v>5172</v>
      </c>
      <c r="G871" s="4" t="s">
        <v>5173</v>
      </c>
      <c r="H871" s="4"/>
      <c r="K871" s="18"/>
      <c r="L871" s="20"/>
      <c r="M871" s="20"/>
      <c r="N871" s="20"/>
      <c r="O871" s="20"/>
      <c r="P871" s="20"/>
      <c r="Q871" s="20"/>
      <c r="R871" s="20"/>
      <c r="S871" s="20"/>
      <c r="T871" s="20"/>
      <c r="U871" s="20"/>
      <c r="AF871" s="11" t="str">
        <f t="shared" si="762"/>
        <v/>
      </c>
      <c r="AG871" s="11" t="str">
        <f t="shared" ref="AG871:AO871" si="791">if(not(isblank(M871)),", "&amp;M871,"")</f>
        <v/>
      </c>
      <c r="AH871" s="11" t="str">
        <f t="shared" si="791"/>
        <v/>
      </c>
      <c r="AI871" s="11" t="str">
        <f t="shared" si="791"/>
        <v/>
      </c>
      <c r="AJ871" s="11" t="str">
        <f t="shared" si="791"/>
        <v/>
      </c>
      <c r="AK871" s="11" t="str">
        <f t="shared" si="791"/>
        <v/>
      </c>
      <c r="AL871" s="11" t="str">
        <f t="shared" si="791"/>
        <v/>
      </c>
      <c r="AM871" s="11" t="str">
        <f t="shared" si="791"/>
        <v/>
      </c>
      <c r="AN871" s="11" t="str">
        <f t="shared" si="791"/>
        <v/>
      </c>
      <c r="AO871" s="11" t="str">
        <f t="shared" si="791"/>
        <v/>
      </c>
      <c r="AP871" s="21" t="str">
        <f t="shared" si="764"/>
        <v>ambr-super-solid-3g, ambr-super</v>
      </c>
    </row>
    <row r="872" ht="16.5" customHeight="1">
      <c r="A872" s="32" t="s">
        <v>5129</v>
      </c>
      <c r="B872" s="32" t="s">
        <v>2348</v>
      </c>
      <c r="C872" s="32" t="s">
        <v>5174</v>
      </c>
      <c r="D872" s="32" t="s">
        <v>5175</v>
      </c>
      <c r="E872" s="32" t="s">
        <v>5176</v>
      </c>
      <c r="F872" s="4" t="s">
        <v>5177</v>
      </c>
      <c r="G872" s="4" t="s">
        <v>5178</v>
      </c>
      <c r="K872" s="18"/>
      <c r="L872" s="19" t="s">
        <v>4665</v>
      </c>
      <c r="M872" s="20"/>
      <c r="N872" s="20"/>
      <c r="O872" s="20"/>
      <c r="P872" s="20"/>
      <c r="Q872" s="20"/>
      <c r="R872" s="20"/>
      <c r="S872" s="20"/>
      <c r="T872" s="20"/>
      <c r="U872" s="20"/>
      <c r="AF872" s="11" t="str">
        <f t="shared" si="762"/>
        <v>rydal-charcoal-fleck</v>
      </c>
      <c r="AG872" s="11" t="str">
        <f t="shared" ref="AG872:AO872" si="792">if(not(isblank(M872)),", "&amp;M872,"")</f>
        <v/>
      </c>
      <c r="AH872" s="11" t="str">
        <f t="shared" si="792"/>
        <v/>
      </c>
      <c r="AI872" s="11" t="str">
        <f t="shared" si="792"/>
        <v/>
      </c>
      <c r="AJ872" s="11" t="str">
        <f t="shared" si="792"/>
        <v/>
      </c>
      <c r="AK872" s="11" t="str">
        <f t="shared" si="792"/>
        <v/>
      </c>
      <c r="AL872" s="11" t="str">
        <f t="shared" si="792"/>
        <v/>
      </c>
      <c r="AM872" s="11" t="str">
        <f t="shared" si="792"/>
        <v/>
      </c>
      <c r="AN872" s="11" t="str">
        <f t="shared" si="792"/>
        <v/>
      </c>
      <c r="AO872" s="11" t="str">
        <f t="shared" si="792"/>
        <v/>
      </c>
      <c r="AP872" s="21" t="str">
        <f t="shared" si="764"/>
        <v>rydal-charcoal-fleck</v>
      </c>
    </row>
    <row r="873" ht="16.5" customHeight="1">
      <c r="A873" s="32" t="s">
        <v>5129</v>
      </c>
      <c r="B873" s="32" t="s">
        <v>2348</v>
      </c>
      <c r="C873" s="32" t="s">
        <v>5179</v>
      </c>
      <c r="D873" s="32" t="s">
        <v>5180</v>
      </c>
      <c r="E873" s="32" t="s">
        <v>5181</v>
      </c>
      <c r="F873" s="4" t="s">
        <v>5182</v>
      </c>
      <c r="G873" s="4" t="s">
        <v>5183</v>
      </c>
      <c r="H873" s="4"/>
      <c r="K873" s="18"/>
      <c r="L873" s="19" t="s">
        <v>4032</v>
      </c>
      <c r="M873" s="19" t="s">
        <v>4436</v>
      </c>
      <c r="N873" s="20"/>
      <c r="O873" s="20"/>
      <c r="P873" s="20"/>
      <c r="Q873" s="20"/>
      <c r="R873" s="20"/>
      <c r="S873" s="20"/>
      <c r="T873" s="20"/>
      <c r="U873" s="20"/>
      <c r="AF873" s="11" t="str">
        <f t="shared" si="762"/>
        <v>yq1038-robin-light-grey</v>
      </c>
      <c r="AG873" s="11" t="str">
        <f t="shared" ref="AG873:AO873" si="793">if(not(isblank(M873)),", "&amp;M873,"")</f>
        <v>, yq1038-robin-sand</v>
      </c>
      <c r="AH873" s="11" t="str">
        <f t="shared" si="793"/>
        <v/>
      </c>
      <c r="AI873" s="11" t="str">
        <f t="shared" si="793"/>
        <v/>
      </c>
      <c r="AJ873" s="11" t="str">
        <f t="shared" si="793"/>
        <v/>
      </c>
      <c r="AK873" s="11" t="str">
        <f t="shared" si="793"/>
        <v/>
      </c>
      <c r="AL873" s="11" t="str">
        <f t="shared" si="793"/>
        <v/>
      </c>
      <c r="AM873" s="11" t="str">
        <f t="shared" si="793"/>
        <v/>
      </c>
      <c r="AN873" s="11" t="str">
        <f t="shared" si="793"/>
        <v/>
      </c>
      <c r="AO873" s="11" t="str">
        <f t="shared" si="793"/>
        <v/>
      </c>
      <c r="AP873" s="21" t="str">
        <f t="shared" si="764"/>
        <v>yq1038-robin-light-grey, yq1038-robin-sand</v>
      </c>
    </row>
    <row r="874" ht="16.5" customHeight="1">
      <c r="A874" s="32" t="s">
        <v>5184</v>
      </c>
      <c r="B874" s="32" t="s">
        <v>4591</v>
      </c>
      <c r="C874" s="32" t="s">
        <v>5185</v>
      </c>
      <c r="D874" s="32" t="s">
        <v>5186</v>
      </c>
      <c r="E874" s="32" t="s">
        <v>5187</v>
      </c>
      <c r="F874" s="4" t="s">
        <v>5188</v>
      </c>
      <c r="G874" s="4"/>
      <c r="H874" s="4"/>
      <c r="K874" s="18"/>
      <c r="L874" s="19" t="s">
        <v>2664</v>
      </c>
      <c r="M874" s="19" t="s">
        <v>2630</v>
      </c>
      <c r="N874" s="20"/>
      <c r="O874" s="20"/>
      <c r="P874" s="20"/>
      <c r="Q874" s="20"/>
      <c r="R874" s="20"/>
      <c r="S874" s="20"/>
      <c r="T874" s="20"/>
      <c r="U874" s="20"/>
      <c r="AF874" s="11" t="str">
        <f t="shared" si="762"/>
        <v>roccia-vet-black-suede</v>
      </c>
      <c r="AG874" s="11" t="str">
        <f t="shared" ref="AG874:AO874" si="794">if(not(isblank(M874)),", "&amp;M874,"")</f>
        <v>, roccia-vet-sport-black</v>
      </c>
      <c r="AH874" s="11" t="str">
        <f t="shared" si="794"/>
        <v/>
      </c>
      <c r="AI874" s="11" t="str">
        <f t="shared" si="794"/>
        <v/>
      </c>
      <c r="AJ874" s="11" t="str">
        <f t="shared" si="794"/>
        <v/>
      </c>
      <c r="AK874" s="11" t="str">
        <f t="shared" si="794"/>
        <v/>
      </c>
      <c r="AL874" s="11" t="str">
        <f t="shared" si="794"/>
        <v/>
      </c>
      <c r="AM874" s="11" t="str">
        <f t="shared" si="794"/>
        <v/>
      </c>
      <c r="AN874" s="11" t="str">
        <f t="shared" si="794"/>
        <v/>
      </c>
      <c r="AO874" s="11" t="str">
        <f t="shared" si="794"/>
        <v/>
      </c>
      <c r="AP874" s="21" t="str">
        <f t="shared" si="764"/>
        <v>roccia-vet-black-suede, roccia-vet-sport-black</v>
      </c>
    </row>
    <row r="875" ht="16.5" customHeight="1">
      <c r="A875" s="32" t="s">
        <v>5184</v>
      </c>
      <c r="B875" s="32" t="s">
        <v>4591</v>
      </c>
      <c r="C875" s="32" t="s">
        <v>5189</v>
      </c>
      <c r="D875" s="32" t="s">
        <v>5190</v>
      </c>
      <c r="E875" s="32" t="s">
        <v>5191</v>
      </c>
      <c r="F875" s="4" t="s">
        <v>5192</v>
      </c>
      <c r="G875" s="4"/>
      <c r="H875" s="4"/>
      <c r="K875" s="18"/>
      <c r="L875" s="19" t="s">
        <v>2669</v>
      </c>
      <c r="M875" s="19" t="s">
        <v>2664</v>
      </c>
      <c r="N875" s="20"/>
      <c r="O875" s="20"/>
      <c r="P875" s="20"/>
      <c r="Q875" s="20"/>
      <c r="R875" s="20"/>
      <c r="S875" s="20"/>
      <c r="T875" s="20"/>
      <c r="U875" s="20"/>
      <c r="AF875" s="11" t="str">
        <f t="shared" si="762"/>
        <v>roccia-vet-gomma-cognac</v>
      </c>
      <c r="AG875" s="11" t="str">
        <f t="shared" ref="AG875:AO875" si="795">if(not(isblank(M875)),", "&amp;M875,"")</f>
        <v>, roccia-vet-black-suede</v>
      </c>
      <c r="AH875" s="11" t="str">
        <f t="shared" si="795"/>
        <v/>
      </c>
      <c r="AI875" s="11" t="str">
        <f t="shared" si="795"/>
        <v/>
      </c>
      <c r="AJ875" s="11" t="str">
        <f t="shared" si="795"/>
        <v/>
      </c>
      <c r="AK875" s="11" t="str">
        <f t="shared" si="795"/>
        <v/>
      </c>
      <c r="AL875" s="11" t="str">
        <f t="shared" si="795"/>
        <v/>
      </c>
      <c r="AM875" s="11" t="str">
        <f t="shared" si="795"/>
        <v/>
      </c>
      <c r="AN875" s="11" t="str">
        <f t="shared" si="795"/>
        <v/>
      </c>
      <c r="AO875" s="11" t="str">
        <f t="shared" si="795"/>
        <v/>
      </c>
      <c r="AP875" s="21" t="str">
        <f t="shared" si="764"/>
        <v>roccia-vet-gomma-cognac, roccia-vet-black-suede</v>
      </c>
    </row>
    <row r="876" ht="16.5" customHeight="1">
      <c r="A876" s="32" t="s">
        <v>5184</v>
      </c>
      <c r="B876" s="32" t="s">
        <v>4591</v>
      </c>
      <c r="C876" s="32" t="s">
        <v>5193</v>
      </c>
      <c r="D876" s="32" t="s">
        <v>5194</v>
      </c>
      <c r="E876" s="32" t="s">
        <v>5195</v>
      </c>
      <c r="F876" s="4" t="s">
        <v>5196</v>
      </c>
      <c r="G876" s="4" t="s">
        <v>5197</v>
      </c>
      <c r="K876" s="18"/>
      <c r="L876" s="20"/>
      <c r="M876" s="20"/>
      <c r="N876" s="20"/>
      <c r="O876" s="20"/>
      <c r="P876" s="20"/>
      <c r="Q876" s="20"/>
      <c r="R876" s="20"/>
      <c r="S876" s="20"/>
      <c r="T876" s="20"/>
      <c r="U876" s="20"/>
      <c r="AF876" s="11" t="str">
        <f t="shared" si="762"/>
        <v/>
      </c>
      <c r="AG876" s="11" t="str">
        <f t="shared" ref="AG876:AO876" si="796">if(not(isblank(M876)),", "&amp;M876,"")</f>
        <v/>
      </c>
      <c r="AH876" s="11" t="str">
        <f t="shared" si="796"/>
        <v/>
      </c>
      <c r="AI876" s="11" t="str">
        <f t="shared" si="796"/>
        <v/>
      </c>
      <c r="AJ876" s="11" t="str">
        <f t="shared" si="796"/>
        <v/>
      </c>
      <c r="AK876" s="11" t="str">
        <f t="shared" si="796"/>
        <v/>
      </c>
      <c r="AL876" s="11" t="str">
        <f t="shared" si="796"/>
        <v/>
      </c>
      <c r="AM876" s="11" t="str">
        <f t="shared" si="796"/>
        <v/>
      </c>
      <c r="AN876" s="11" t="str">
        <f t="shared" si="796"/>
        <v/>
      </c>
      <c r="AO876" s="11" t="str">
        <f t="shared" si="796"/>
        <v/>
      </c>
      <c r="AP876" s="21" t="str">
        <f t="shared" si="764"/>
        <v>cirrus-no-3-iron-steamer-charcoal, cirrus-3-iron-steamer-sage</v>
      </c>
    </row>
    <row r="877" ht="16.5" customHeight="1">
      <c r="A877" s="32" t="s">
        <v>5184</v>
      </c>
      <c r="B877" s="32" t="s">
        <v>4591</v>
      </c>
      <c r="C877" s="32" t="s">
        <v>5198</v>
      </c>
      <c r="D877" s="32" t="s">
        <v>5199</v>
      </c>
      <c r="E877" s="32" t="s">
        <v>5195</v>
      </c>
      <c r="F877" s="4" t="s">
        <v>5200</v>
      </c>
      <c r="G877" s="4" t="s">
        <v>5197</v>
      </c>
      <c r="K877" s="18"/>
      <c r="L877" s="20"/>
      <c r="M877" s="20"/>
      <c r="N877" s="20"/>
      <c r="O877" s="20"/>
      <c r="P877" s="20"/>
      <c r="Q877" s="20"/>
      <c r="R877" s="20"/>
      <c r="S877" s="20"/>
      <c r="T877" s="20"/>
      <c r="U877" s="20"/>
      <c r="AF877" s="11" t="str">
        <f t="shared" si="762"/>
        <v/>
      </c>
      <c r="AG877" s="11" t="str">
        <f t="shared" ref="AG877:AO877" si="797">if(not(isblank(M877)),", "&amp;M877,"")</f>
        <v/>
      </c>
      <c r="AH877" s="11" t="str">
        <f t="shared" si="797"/>
        <v/>
      </c>
      <c r="AI877" s="11" t="str">
        <f t="shared" si="797"/>
        <v/>
      </c>
      <c r="AJ877" s="11" t="str">
        <f t="shared" si="797"/>
        <v/>
      </c>
      <c r="AK877" s="11" t="str">
        <f t="shared" si="797"/>
        <v/>
      </c>
      <c r="AL877" s="11" t="str">
        <f t="shared" si="797"/>
        <v/>
      </c>
      <c r="AM877" s="11" t="str">
        <f t="shared" si="797"/>
        <v/>
      </c>
      <c r="AN877" s="11" t="str">
        <f t="shared" si="797"/>
        <v/>
      </c>
      <c r="AO877" s="11" t="str">
        <f t="shared" si="797"/>
        <v/>
      </c>
      <c r="AP877" s="21" t="str">
        <f t="shared" si="764"/>
        <v>cirrus-no-3-iron-steamer-charcoal, cirrus-3-iron-steamer-sage</v>
      </c>
    </row>
    <row r="878" ht="16.5" customHeight="1">
      <c r="A878" s="32" t="s">
        <v>5184</v>
      </c>
      <c r="B878" s="32" t="s">
        <v>4591</v>
      </c>
      <c r="C878" s="32" t="s">
        <v>5201</v>
      </c>
      <c r="D878" s="32" t="s">
        <v>5202</v>
      </c>
      <c r="E878" s="32" t="s">
        <v>5203</v>
      </c>
      <c r="F878" s="4" t="s">
        <v>5204</v>
      </c>
      <c r="G878" s="4" t="s">
        <v>5205</v>
      </c>
      <c r="K878" s="18"/>
      <c r="L878" s="20"/>
      <c r="M878" s="20"/>
      <c r="N878" s="20"/>
      <c r="O878" s="20"/>
      <c r="P878" s="20"/>
      <c r="Q878" s="20"/>
      <c r="R878" s="20"/>
      <c r="S878" s="20"/>
      <c r="T878" s="20"/>
      <c r="U878" s="20"/>
      <c r="AF878" s="11" t="str">
        <f t="shared" si="762"/>
        <v/>
      </c>
      <c r="AG878" s="11" t="str">
        <f t="shared" ref="AG878:AO878" si="798">if(not(isblank(M878)),", "&amp;M878,"")</f>
        <v/>
      </c>
      <c r="AH878" s="11" t="str">
        <f t="shared" si="798"/>
        <v/>
      </c>
      <c r="AI878" s="11" t="str">
        <f t="shared" si="798"/>
        <v/>
      </c>
      <c r="AJ878" s="11" t="str">
        <f t="shared" si="798"/>
        <v/>
      </c>
      <c r="AK878" s="11" t="str">
        <f t="shared" si="798"/>
        <v/>
      </c>
      <c r="AL878" s="11" t="str">
        <f t="shared" si="798"/>
        <v/>
      </c>
      <c r="AM878" s="11" t="str">
        <f t="shared" si="798"/>
        <v/>
      </c>
      <c r="AN878" s="11" t="str">
        <f t="shared" si="798"/>
        <v/>
      </c>
      <c r="AO878" s="11" t="str">
        <f t="shared" si="798"/>
        <v/>
      </c>
      <c r="AP878" s="21" t="str">
        <f t="shared" si="764"/>
        <v>pilo-no-2-fabric-shaver-ivory, pilo-2-fabric-shaver-sage</v>
      </c>
    </row>
    <row r="879" ht="16.5" customHeight="1">
      <c r="A879" s="32" t="s">
        <v>5184</v>
      </c>
      <c r="B879" s="32" t="s">
        <v>4591</v>
      </c>
      <c r="C879" s="32" t="s">
        <v>5206</v>
      </c>
      <c r="D879" s="32" t="s">
        <v>5207</v>
      </c>
      <c r="E879" s="32" t="s">
        <v>5208</v>
      </c>
      <c r="F879" s="4" t="s">
        <v>5209</v>
      </c>
      <c r="G879" s="4" t="s">
        <v>5210</v>
      </c>
      <c r="K879" s="18"/>
      <c r="L879" s="20"/>
      <c r="M879" s="20"/>
      <c r="N879" s="20"/>
      <c r="O879" s="20"/>
      <c r="P879" s="20"/>
      <c r="Q879" s="20"/>
      <c r="R879" s="20"/>
      <c r="S879" s="20"/>
      <c r="T879" s="20"/>
      <c r="U879" s="20"/>
      <c r="AF879" s="11" t="str">
        <f t="shared" si="762"/>
        <v/>
      </c>
      <c r="AG879" s="11" t="str">
        <f t="shared" ref="AG879:AO879" si="799">if(not(isblank(M879)),", "&amp;M879,"")</f>
        <v/>
      </c>
      <c r="AH879" s="11" t="str">
        <f t="shared" si="799"/>
        <v/>
      </c>
      <c r="AI879" s="11" t="str">
        <f t="shared" si="799"/>
        <v/>
      </c>
      <c r="AJ879" s="11" t="str">
        <f t="shared" si="799"/>
        <v/>
      </c>
      <c r="AK879" s="11" t="str">
        <f t="shared" si="799"/>
        <v/>
      </c>
      <c r="AL879" s="11" t="str">
        <f t="shared" si="799"/>
        <v/>
      </c>
      <c r="AM879" s="11" t="str">
        <f t="shared" si="799"/>
        <v/>
      </c>
      <c r="AN879" s="11" t="str">
        <f t="shared" si="799"/>
        <v/>
      </c>
      <c r="AO879" s="11" t="str">
        <f t="shared" si="799"/>
        <v/>
      </c>
      <c r="AP879" s="21" t="str">
        <f t="shared" si="764"/>
        <v>pilo-no-2-fabric-shaver-charcoal, pilo-2-fabric-shaver-sage</v>
      </c>
    </row>
    <row r="880" ht="16.5" customHeight="1">
      <c r="A880" s="32" t="s">
        <v>5184</v>
      </c>
      <c r="B880" s="32" t="s">
        <v>4591</v>
      </c>
      <c r="C880" s="32" t="s">
        <v>5211</v>
      </c>
      <c r="D880" s="32" t="s">
        <v>5212</v>
      </c>
      <c r="E880" s="32" t="s">
        <v>5213</v>
      </c>
      <c r="F880" s="4" t="s">
        <v>5214</v>
      </c>
      <c r="G880" s="4" t="s">
        <v>5215</v>
      </c>
      <c r="H880" s="4"/>
      <c r="K880" s="18"/>
      <c r="L880" s="20"/>
      <c r="M880" s="20"/>
      <c r="N880" s="20"/>
      <c r="O880" s="20"/>
      <c r="P880" s="20"/>
      <c r="Q880" s="20"/>
      <c r="R880" s="20"/>
      <c r="S880" s="20"/>
      <c r="T880" s="20"/>
      <c r="U880" s="20"/>
      <c r="AF880" s="11" t="str">
        <f t="shared" si="762"/>
        <v/>
      </c>
      <c r="AG880" s="11" t="str">
        <f t="shared" ref="AG880:AO880" si="800">if(not(isblank(M880)),", "&amp;M880,"")</f>
        <v/>
      </c>
      <c r="AH880" s="11" t="str">
        <f t="shared" si="800"/>
        <v/>
      </c>
      <c r="AI880" s="11" t="str">
        <f t="shared" si="800"/>
        <v/>
      </c>
      <c r="AJ880" s="11" t="str">
        <f t="shared" si="800"/>
        <v/>
      </c>
      <c r="AK880" s="11" t="str">
        <f t="shared" si="800"/>
        <v/>
      </c>
      <c r="AL880" s="11" t="str">
        <f t="shared" si="800"/>
        <v/>
      </c>
      <c r="AM880" s="11" t="str">
        <f t="shared" si="800"/>
        <v/>
      </c>
      <c r="AN880" s="11" t="str">
        <f t="shared" si="800"/>
        <v/>
      </c>
      <c r="AO880" s="11" t="str">
        <f t="shared" si="800"/>
        <v/>
      </c>
      <c r="AP880" s="21" t="str">
        <f t="shared" si="764"/>
        <v>lint-brush-beige</v>
      </c>
    </row>
    <row r="881" ht="16.5" customHeight="1">
      <c r="A881" s="32" t="s">
        <v>5184</v>
      </c>
      <c r="B881" s="32" t="s">
        <v>4591</v>
      </c>
      <c r="C881" s="32" t="s">
        <v>5216</v>
      </c>
      <c r="D881" s="32" t="s">
        <v>5217</v>
      </c>
      <c r="E881" s="32" t="s">
        <v>5218</v>
      </c>
      <c r="F881" s="4" t="s">
        <v>5219</v>
      </c>
      <c r="G881" s="4" t="s">
        <v>5220</v>
      </c>
      <c r="K881" s="18"/>
      <c r="L881" s="20"/>
      <c r="M881" s="20"/>
      <c r="N881" s="20"/>
      <c r="O881" s="20"/>
      <c r="P881" s="20"/>
      <c r="Q881" s="20"/>
      <c r="R881" s="20"/>
      <c r="S881" s="20"/>
      <c r="T881" s="20"/>
      <c r="U881" s="20"/>
      <c r="AF881" s="11" t="str">
        <f t="shared" si="762"/>
        <v/>
      </c>
      <c r="AG881" s="11" t="str">
        <f t="shared" ref="AG881:AO881" si="801">if(not(isblank(M881)),", "&amp;M881,"")</f>
        <v/>
      </c>
      <c r="AH881" s="11" t="str">
        <f t="shared" si="801"/>
        <v/>
      </c>
      <c r="AI881" s="11" t="str">
        <f t="shared" si="801"/>
        <v/>
      </c>
      <c r="AJ881" s="11" t="str">
        <f t="shared" si="801"/>
        <v/>
      </c>
      <c r="AK881" s="11" t="str">
        <f t="shared" si="801"/>
        <v/>
      </c>
      <c r="AL881" s="11" t="str">
        <f t="shared" si="801"/>
        <v/>
      </c>
      <c r="AM881" s="11" t="str">
        <f t="shared" si="801"/>
        <v/>
      </c>
      <c r="AN881" s="11" t="str">
        <f t="shared" si="801"/>
        <v/>
      </c>
      <c r="AO881" s="11" t="str">
        <f t="shared" si="801"/>
        <v/>
      </c>
      <c r="AP881" s="21" t="str">
        <f t="shared" si="764"/>
        <v>cirrus-no-3-iron-steamer-charcoal, cirrus-no-3-iron-steamer-sand</v>
      </c>
    </row>
    <row r="882" ht="16.5" customHeight="1">
      <c r="A882" s="32" t="s">
        <v>5184</v>
      </c>
      <c r="B882" s="32" t="s">
        <v>4591</v>
      </c>
      <c r="C882" s="32" t="s">
        <v>5215</v>
      </c>
      <c r="D882" s="32" t="s">
        <v>5221</v>
      </c>
      <c r="E882" s="32" t="s">
        <v>5213</v>
      </c>
      <c r="F882" s="4" t="s">
        <v>5222</v>
      </c>
      <c r="G882" s="4" t="s">
        <v>5211</v>
      </c>
      <c r="H882" s="4"/>
      <c r="I882" s="11" t="s">
        <v>2435</v>
      </c>
      <c r="K882" s="18"/>
      <c r="L882" s="20"/>
      <c r="M882" s="20"/>
      <c r="N882" s="20"/>
      <c r="O882" s="20"/>
      <c r="P882" s="20"/>
      <c r="Q882" s="20"/>
      <c r="R882" s="20"/>
      <c r="S882" s="20"/>
      <c r="T882" s="20"/>
      <c r="U882" s="20"/>
      <c r="AF882" s="11" t="str">
        <f t="shared" si="762"/>
        <v/>
      </c>
      <c r="AG882" s="11" t="str">
        <f t="shared" ref="AG882:AO882" si="802">if(not(isblank(M882)),", "&amp;M882,"")</f>
        <v/>
      </c>
      <c r="AH882" s="11" t="str">
        <f t="shared" si="802"/>
        <v/>
      </c>
      <c r="AI882" s="11" t="str">
        <f t="shared" si="802"/>
        <v/>
      </c>
      <c r="AJ882" s="11" t="str">
        <f t="shared" si="802"/>
        <v/>
      </c>
      <c r="AK882" s="11" t="str">
        <f t="shared" si="802"/>
        <v/>
      </c>
      <c r="AL882" s="11" t="str">
        <f t="shared" si="802"/>
        <v/>
      </c>
      <c r="AM882" s="11" t="str">
        <f t="shared" si="802"/>
        <v/>
      </c>
      <c r="AN882" s="11" t="str">
        <f t="shared" si="802"/>
        <v/>
      </c>
      <c r="AO882" s="11" t="str">
        <f t="shared" si="802"/>
        <v/>
      </c>
      <c r="AP882" s="21" t="str">
        <f t="shared" si="764"/>
        <v>lint-brush-dark-grey</v>
      </c>
    </row>
    <row r="883" ht="16.5" customHeight="1">
      <c r="A883" s="32" t="s">
        <v>5184</v>
      </c>
      <c r="B883" s="32" t="s">
        <v>4591</v>
      </c>
      <c r="C883" s="32" t="s">
        <v>5223</v>
      </c>
      <c r="D883" s="32" t="s">
        <v>5224</v>
      </c>
      <c r="E883" s="32" t="s">
        <v>5208</v>
      </c>
      <c r="F883" s="4" t="s">
        <v>5225</v>
      </c>
      <c r="G883" s="4" t="s">
        <v>5226</v>
      </c>
      <c r="I883" s="11" t="s">
        <v>3781</v>
      </c>
      <c r="K883" s="18"/>
      <c r="L883" s="20"/>
      <c r="M883" s="20"/>
      <c r="N883" s="20"/>
      <c r="O883" s="20"/>
      <c r="P883" s="20"/>
      <c r="Q883" s="20"/>
      <c r="R883" s="20"/>
      <c r="S883" s="20"/>
      <c r="T883" s="20"/>
      <c r="U883" s="20"/>
      <c r="AF883" s="11" t="str">
        <f t="shared" si="762"/>
        <v/>
      </c>
      <c r="AG883" s="11" t="str">
        <f t="shared" ref="AG883:AO883" si="803">if(not(isblank(M883)),", "&amp;M883,"")</f>
        <v/>
      </c>
      <c r="AH883" s="11" t="str">
        <f t="shared" si="803"/>
        <v/>
      </c>
      <c r="AI883" s="11" t="str">
        <f t="shared" si="803"/>
        <v/>
      </c>
      <c r="AJ883" s="11" t="str">
        <f t="shared" si="803"/>
        <v/>
      </c>
      <c r="AK883" s="11" t="str">
        <f t="shared" si="803"/>
        <v/>
      </c>
      <c r="AL883" s="11" t="str">
        <f t="shared" si="803"/>
        <v/>
      </c>
      <c r="AM883" s="11" t="str">
        <f t="shared" si="803"/>
        <v/>
      </c>
      <c r="AN883" s="11" t="str">
        <f t="shared" si="803"/>
        <v/>
      </c>
      <c r="AO883" s="11" t="str">
        <f t="shared" si="803"/>
        <v/>
      </c>
      <c r="AP883" s="21" t="str">
        <f t="shared" si="764"/>
        <v>pilo-no-2-fabric-shaver-charcoal, pilo-no-2-fabric-shaver-ivory</v>
      </c>
    </row>
    <row r="884" ht="16.5" customHeight="1">
      <c r="A884" s="32" t="s">
        <v>5184</v>
      </c>
      <c r="B884" s="32" t="s">
        <v>4591</v>
      </c>
      <c r="C884" s="32" t="s">
        <v>5227</v>
      </c>
      <c r="D884" s="32" t="s">
        <v>5228</v>
      </c>
      <c r="E884" s="36"/>
      <c r="F884" s="4"/>
      <c r="G884" s="4"/>
      <c r="H884" s="4"/>
      <c r="K884" s="18"/>
      <c r="L884" s="20"/>
      <c r="M884" s="20"/>
      <c r="N884" s="20"/>
      <c r="O884" s="20"/>
      <c r="P884" s="20"/>
      <c r="Q884" s="20"/>
      <c r="R884" s="20"/>
      <c r="S884" s="20"/>
      <c r="T884" s="20"/>
      <c r="U884" s="20"/>
      <c r="AF884" s="11" t="str">
        <f t="shared" si="762"/>
        <v/>
      </c>
      <c r="AG884" s="11" t="str">
        <f t="shared" ref="AG884:AO884" si="804">if(not(isblank(M884)),", "&amp;M884,"")</f>
        <v/>
      </c>
      <c r="AH884" s="11" t="str">
        <f t="shared" si="804"/>
        <v/>
      </c>
      <c r="AI884" s="11" t="str">
        <f t="shared" si="804"/>
        <v/>
      </c>
      <c r="AJ884" s="11" t="str">
        <f t="shared" si="804"/>
        <v/>
      </c>
      <c r="AK884" s="11" t="str">
        <f t="shared" si="804"/>
        <v/>
      </c>
      <c r="AL884" s="11" t="str">
        <f t="shared" si="804"/>
        <v/>
      </c>
      <c r="AM884" s="11" t="str">
        <f t="shared" si="804"/>
        <v/>
      </c>
      <c r="AN884" s="11" t="str">
        <f t="shared" si="804"/>
        <v/>
      </c>
      <c r="AO884" s="11" t="str">
        <f t="shared" si="804"/>
        <v/>
      </c>
      <c r="AP884" s="21" t="str">
        <f t="shared" si="764"/>
        <v/>
      </c>
    </row>
    <row r="885" ht="16.5" customHeight="1">
      <c r="A885" s="32" t="s">
        <v>5229</v>
      </c>
      <c r="B885" s="32" t="s">
        <v>2689</v>
      </c>
      <c r="C885" s="32" t="s">
        <v>5230</v>
      </c>
      <c r="D885" s="32" t="s">
        <v>5231</v>
      </c>
      <c r="E885" s="32" t="s">
        <v>5232</v>
      </c>
      <c r="F885" s="4" t="s">
        <v>5233</v>
      </c>
      <c r="G885" s="4" t="s">
        <v>5234</v>
      </c>
      <c r="H885" s="4"/>
      <c r="K885" s="18"/>
      <c r="L885" s="20"/>
      <c r="M885" s="20"/>
      <c r="N885" s="20"/>
      <c r="O885" s="20"/>
      <c r="P885" s="20"/>
      <c r="Q885" s="20"/>
      <c r="R885" s="20"/>
      <c r="S885" s="20"/>
      <c r="T885" s="20"/>
      <c r="U885" s="20"/>
      <c r="AF885" s="11" t="str">
        <f t="shared" si="762"/>
        <v/>
      </c>
      <c r="AG885" s="11" t="str">
        <f t="shared" ref="AG885:AO885" si="805">if(not(isblank(M885)),", "&amp;M885,"")</f>
        <v/>
      </c>
      <c r="AH885" s="11" t="str">
        <f t="shared" si="805"/>
        <v/>
      </c>
      <c r="AI885" s="11" t="str">
        <f t="shared" si="805"/>
        <v/>
      </c>
      <c r="AJ885" s="11" t="str">
        <f t="shared" si="805"/>
        <v/>
      </c>
      <c r="AK885" s="11" t="str">
        <f t="shared" si="805"/>
        <v/>
      </c>
      <c r="AL885" s="11" t="str">
        <f t="shared" si="805"/>
        <v/>
      </c>
      <c r="AM885" s="11" t="str">
        <f t="shared" si="805"/>
        <v/>
      </c>
      <c r="AN885" s="11" t="str">
        <f t="shared" si="805"/>
        <v/>
      </c>
      <c r="AO885" s="11" t="str">
        <f t="shared" si="805"/>
        <v/>
      </c>
      <c r="AP885" s="21" t="str">
        <f t="shared" si="764"/>
        <v>small-transparent-speaker-white</v>
      </c>
    </row>
    <row r="886" ht="16.5" customHeight="1">
      <c r="A886" s="32" t="s">
        <v>5229</v>
      </c>
      <c r="B886" s="32" t="s">
        <v>2689</v>
      </c>
      <c r="C886" s="32" t="s">
        <v>5234</v>
      </c>
      <c r="D886" s="32" t="s">
        <v>5235</v>
      </c>
      <c r="E886" s="32" t="s">
        <v>5232</v>
      </c>
      <c r="F886" s="4" t="s">
        <v>5236</v>
      </c>
      <c r="G886" s="4" t="s">
        <v>5230</v>
      </c>
      <c r="H886" s="4"/>
      <c r="K886" s="18"/>
      <c r="L886" s="20"/>
      <c r="M886" s="20"/>
      <c r="N886" s="20"/>
      <c r="O886" s="20"/>
      <c r="P886" s="20"/>
      <c r="Q886" s="20"/>
      <c r="R886" s="20"/>
      <c r="S886" s="20"/>
      <c r="T886" s="20"/>
      <c r="U886" s="20"/>
      <c r="AF886" s="11" t="str">
        <f t="shared" si="762"/>
        <v/>
      </c>
      <c r="AG886" s="11" t="str">
        <f t="shared" ref="AG886:AO886" si="806">if(not(isblank(M886)),", "&amp;M886,"")</f>
        <v/>
      </c>
      <c r="AH886" s="11" t="str">
        <f t="shared" si="806"/>
        <v/>
      </c>
      <c r="AI886" s="11" t="str">
        <f t="shared" si="806"/>
        <v/>
      </c>
      <c r="AJ886" s="11" t="str">
        <f t="shared" si="806"/>
        <v/>
      </c>
      <c r="AK886" s="11" t="str">
        <f t="shared" si="806"/>
        <v/>
      </c>
      <c r="AL886" s="11" t="str">
        <f t="shared" si="806"/>
        <v/>
      </c>
      <c r="AM886" s="11" t="str">
        <f t="shared" si="806"/>
        <v/>
      </c>
      <c r="AN886" s="11" t="str">
        <f t="shared" si="806"/>
        <v/>
      </c>
      <c r="AO886" s="11" t="str">
        <f t="shared" si="806"/>
        <v/>
      </c>
      <c r="AP886" s="21" t="str">
        <f t="shared" si="764"/>
        <v>small-transparent-speaker-metal</v>
      </c>
    </row>
    <row r="887" ht="16.5" customHeight="1">
      <c r="A887" s="32" t="s">
        <v>5229</v>
      </c>
      <c r="B887" s="32" t="s">
        <v>2689</v>
      </c>
      <c r="C887" s="32" t="s">
        <v>5237</v>
      </c>
      <c r="D887" s="32" t="s">
        <v>5238</v>
      </c>
      <c r="E887" s="32" t="s">
        <v>5239</v>
      </c>
      <c r="F887" s="4" t="s">
        <v>5240</v>
      </c>
      <c r="G887" s="4"/>
      <c r="H887" s="4"/>
      <c r="K887" s="18"/>
      <c r="L887" s="20"/>
      <c r="M887" s="20"/>
      <c r="N887" s="20"/>
      <c r="O887" s="20"/>
      <c r="P887" s="20"/>
      <c r="Q887" s="20"/>
      <c r="R887" s="20"/>
      <c r="S887" s="20"/>
      <c r="T887" s="20"/>
      <c r="U887" s="20"/>
      <c r="AF887" s="11" t="str">
        <f t="shared" si="762"/>
        <v/>
      </c>
      <c r="AG887" s="11" t="str">
        <f t="shared" ref="AG887:AO887" si="807">if(not(isblank(M887)),", "&amp;M887,"")</f>
        <v/>
      </c>
      <c r="AH887" s="11" t="str">
        <f t="shared" si="807"/>
        <v/>
      </c>
      <c r="AI887" s="11" t="str">
        <f t="shared" si="807"/>
        <v/>
      </c>
      <c r="AJ887" s="11" t="str">
        <f t="shared" si="807"/>
        <v/>
      </c>
      <c r="AK887" s="11" t="str">
        <f t="shared" si="807"/>
        <v/>
      </c>
      <c r="AL887" s="11" t="str">
        <f t="shared" si="807"/>
        <v/>
      </c>
      <c r="AM887" s="11" t="str">
        <f t="shared" si="807"/>
        <v/>
      </c>
      <c r="AN887" s="11" t="str">
        <f t="shared" si="807"/>
        <v/>
      </c>
      <c r="AO887" s="11" t="str">
        <f t="shared" si="807"/>
        <v/>
      </c>
      <c r="AP887" s="21" t="str">
        <f t="shared" si="764"/>
        <v/>
      </c>
    </row>
    <row r="888" ht="16.5" customHeight="1">
      <c r="A888" s="32" t="s">
        <v>5241</v>
      </c>
      <c r="B888" s="32" t="s">
        <v>2348</v>
      </c>
      <c r="C888" s="32" t="s">
        <v>5242</v>
      </c>
      <c r="D888" s="32" t="s">
        <v>5243</v>
      </c>
      <c r="E888" s="32" t="s">
        <v>5244</v>
      </c>
      <c r="F888" s="4" t="s">
        <v>5245</v>
      </c>
      <c r="G888" s="4"/>
      <c r="H888" s="4"/>
      <c r="K888" s="18"/>
      <c r="L888" s="20"/>
      <c r="M888" s="20"/>
      <c r="N888" s="20"/>
      <c r="O888" s="20"/>
      <c r="P888" s="20"/>
      <c r="Q888" s="20"/>
      <c r="R888" s="20"/>
      <c r="S888" s="20"/>
      <c r="T888" s="20"/>
      <c r="U888" s="20"/>
      <c r="AF888" s="11" t="str">
        <f t="shared" si="762"/>
        <v/>
      </c>
      <c r="AG888" s="11" t="str">
        <f t="shared" ref="AG888:AO888" si="808">if(not(isblank(M888)),", "&amp;M888,"")</f>
        <v/>
      </c>
      <c r="AH888" s="11" t="str">
        <f t="shared" si="808"/>
        <v/>
      </c>
      <c r="AI888" s="11" t="str">
        <f t="shared" si="808"/>
        <v/>
      </c>
      <c r="AJ888" s="11" t="str">
        <f t="shared" si="808"/>
        <v/>
      </c>
      <c r="AK888" s="11" t="str">
        <f t="shared" si="808"/>
        <v/>
      </c>
      <c r="AL888" s="11" t="str">
        <f t="shared" si="808"/>
        <v/>
      </c>
      <c r="AM888" s="11" t="str">
        <f t="shared" si="808"/>
        <v/>
      </c>
      <c r="AN888" s="11" t="str">
        <f t="shared" si="808"/>
        <v/>
      </c>
      <c r="AO888" s="11" t="str">
        <f t="shared" si="808"/>
        <v/>
      </c>
      <c r="AP888" s="21" t="str">
        <f t="shared" si="764"/>
        <v/>
      </c>
    </row>
    <row r="889" ht="16.5" customHeight="1">
      <c r="A889" s="32" t="s">
        <v>5241</v>
      </c>
      <c r="B889" s="32" t="s">
        <v>2348</v>
      </c>
      <c r="C889" s="32" t="s">
        <v>5246</v>
      </c>
      <c r="D889" s="32" t="s">
        <v>5247</v>
      </c>
      <c r="E889" s="32" t="s">
        <v>5248</v>
      </c>
      <c r="F889" s="4" t="s">
        <v>5249</v>
      </c>
      <c r="G889" s="4" t="s">
        <v>5250</v>
      </c>
      <c r="K889" s="18"/>
      <c r="L889" s="20"/>
      <c r="M889" s="20"/>
      <c r="N889" s="20"/>
      <c r="O889" s="20"/>
      <c r="P889" s="20"/>
      <c r="Q889" s="20"/>
      <c r="R889" s="20"/>
      <c r="S889" s="20"/>
      <c r="T889" s="20"/>
      <c r="U889" s="20"/>
      <c r="AF889" s="11" t="str">
        <f t="shared" si="762"/>
        <v/>
      </c>
      <c r="AG889" s="11" t="str">
        <f t="shared" ref="AG889:AO889" si="809">if(not(isblank(M889)),", "&amp;M889,"")</f>
        <v/>
      </c>
      <c r="AH889" s="11" t="str">
        <f t="shared" si="809"/>
        <v/>
      </c>
      <c r="AI889" s="11" t="str">
        <f t="shared" si="809"/>
        <v/>
      </c>
      <c r="AJ889" s="11" t="str">
        <f t="shared" si="809"/>
        <v/>
      </c>
      <c r="AK889" s="11" t="str">
        <f t="shared" si="809"/>
        <v/>
      </c>
      <c r="AL889" s="11" t="str">
        <f t="shared" si="809"/>
        <v/>
      </c>
      <c r="AM889" s="11" t="str">
        <f t="shared" si="809"/>
        <v/>
      </c>
      <c r="AN889" s="11" t="str">
        <f t="shared" si="809"/>
        <v/>
      </c>
      <c r="AO889" s="11" t="str">
        <f t="shared" si="809"/>
        <v/>
      </c>
      <c r="AP889" s="21" t="str">
        <f t="shared" si="764"/>
        <v>no-bs-deodorant, ursa-major-forest-fix-deo</v>
      </c>
    </row>
    <row r="890" ht="16.5" customHeight="1">
      <c r="A890" s="32" t="s">
        <v>5241</v>
      </c>
      <c r="B890" s="32" t="s">
        <v>2348</v>
      </c>
      <c r="C890" s="32" t="s">
        <v>5251</v>
      </c>
      <c r="D890" s="32" t="s">
        <v>5252</v>
      </c>
      <c r="E890" s="32" t="s">
        <v>5253</v>
      </c>
      <c r="F890" s="4" t="s">
        <v>5254</v>
      </c>
      <c r="G890" s="4"/>
      <c r="H890" s="4"/>
      <c r="K890" s="18"/>
      <c r="L890" s="19" t="s">
        <v>2658</v>
      </c>
      <c r="M890" s="19" t="s">
        <v>2674</v>
      </c>
      <c r="N890" s="19" t="s">
        <v>2679</v>
      </c>
      <c r="O890" s="19"/>
      <c r="P890" s="19"/>
      <c r="Q890" s="20"/>
      <c r="R890" s="20"/>
      <c r="S890" s="20"/>
      <c r="T890" s="20"/>
      <c r="U890" s="20"/>
      <c r="AF890" s="11" t="str">
        <f t="shared" si="762"/>
        <v>cornaro-gomma-rust</v>
      </c>
      <c r="AG890" s="11" t="str">
        <f t="shared" ref="AG890:AO890" si="810">if(not(isblank(M890)),", "&amp;M890,"")</f>
        <v>, cornaro-black</v>
      </c>
      <c r="AH890" s="11" t="str">
        <f t="shared" si="810"/>
        <v>, cornaro-purple</v>
      </c>
      <c r="AI890" s="11" t="str">
        <f t="shared" si="810"/>
        <v/>
      </c>
      <c r="AJ890" s="11" t="str">
        <f t="shared" si="810"/>
        <v/>
      </c>
      <c r="AK890" s="11" t="str">
        <f t="shared" si="810"/>
        <v/>
      </c>
      <c r="AL890" s="11" t="str">
        <f t="shared" si="810"/>
        <v/>
      </c>
      <c r="AM890" s="11" t="str">
        <f t="shared" si="810"/>
        <v/>
      </c>
      <c r="AN890" s="11" t="str">
        <f t="shared" si="810"/>
        <v/>
      </c>
      <c r="AO890" s="11" t="str">
        <f t="shared" si="810"/>
        <v/>
      </c>
      <c r="AP890" s="21" t="str">
        <f t="shared" si="764"/>
        <v>cornaro-gomma-rust, cornaro-black, cornaro-purple</v>
      </c>
    </row>
    <row r="891" ht="16.5" customHeight="1">
      <c r="A891" s="32" t="s">
        <v>5241</v>
      </c>
      <c r="B891" s="32" t="s">
        <v>2348</v>
      </c>
      <c r="C891" s="32" t="s">
        <v>5255</v>
      </c>
      <c r="D891" s="32" t="s">
        <v>5256</v>
      </c>
      <c r="E891" s="32" t="s">
        <v>5257</v>
      </c>
      <c r="F891" s="4" t="s">
        <v>5258</v>
      </c>
      <c r="G891" s="4" t="s">
        <v>5259</v>
      </c>
      <c r="K891" s="18"/>
      <c r="L891" s="19" t="s">
        <v>2658</v>
      </c>
      <c r="M891" s="19" t="s">
        <v>2674</v>
      </c>
      <c r="N891" s="19" t="s">
        <v>2625</v>
      </c>
      <c r="O891" s="20"/>
      <c r="P891" s="20"/>
      <c r="Q891" s="20"/>
      <c r="R891" s="20"/>
      <c r="S891" s="20"/>
      <c r="T891" s="20"/>
      <c r="U891" s="20"/>
      <c r="AF891" s="11" t="str">
        <f t="shared" si="762"/>
        <v>cornaro-gomma-rust</v>
      </c>
      <c r="AG891" s="11" t="str">
        <f t="shared" ref="AG891:AO891" si="811">if(not(isblank(M891)),", "&amp;M891,"")</f>
        <v>, cornaro-black</v>
      </c>
      <c r="AH891" s="11" t="str">
        <f t="shared" si="811"/>
        <v>, cornaro-olive-femme</v>
      </c>
      <c r="AI891" s="11" t="str">
        <f t="shared" si="811"/>
        <v/>
      </c>
      <c r="AJ891" s="11" t="str">
        <f t="shared" si="811"/>
        <v/>
      </c>
      <c r="AK891" s="11" t="str">
        <f t="shared" si="811"/>
        <v/>
      </c>
      <c r="AL891" s="11" t="str">
        <f t="shared" si="811"/>
        <v/>
      </c>
      <c r="AM891" s="11" t="str">
        <f t="shared" si="811"/>
        <v/>
      </c>
      <c r="AN891" s="11" t="str">
        <f t="shared" si="811"/>
        <v/>
      </c>
      <c r="AO891" s="11" t="str">
        <f t="shared" si="811"/>
        <v/>
      </c>
      <c r="AP891" s="21" t="str">
        <f t="shared" si="764"/>
        <v>cornaro-gomma-rust, cornaro-black, cornaro-olive-femme</v>
      </c>
    </row>
    <row r="892" ht="16.5" customHeight="1">
      <c r="A892" s="32" t="s">
        <v>5241</v>
      </c>
      <c r="B892" s="32" t="s">
        <v>2348</v>
      </c>
      <c r="C892" s="32" t="s">
        <v>5260</v>
      </c>
      <c r="D892" s="32" t="s">
        <v>5261</v>
      </c>
      <c r="E892" s="32" t="s">
        <v>5262</v>
      </c>
      <c r="F892" s="4" t="s">
        <v>5263</v>
      </c>
      <c r="G892" s="4" t="s">
        <v>5264</v>
      </c>
      <c r="K892" s="18"/>
      <c r="L892" s="19" t="s">
        <v>3663</v>
      </c>
      <c r="M892" s="19" t="s">
        <v>2677</v>
      </c>
      <c r="N892" s="19" t="s">
        <v>2682</v>
      </c>
      <c r="O892" s="19" t="s">
        <v>3374</v>
      </c>
      <c r="P892" s="19" t="s">
        <v>2678</v>
      </c>
      <c r="Q892" s="19" t="s">
        <v>3664</v>
      </c>
      <c r="R892" s="19" t="s">
        <v>3540</v>
      </c>
      <c r="S892" s="19"/>
      <c r="T892" s="20"/>
      <c r="U892" s="20"/>
      <c r="AF892" s="11" t="str">
        <f t="shared" si="762"/>
        <v>aiden-black-ox</v>
      </c>
      <c r="AG892" s="11" t="str">
        <f t="shared" ref="AG892:AO892" si="812">if(not(isblank(M892)),", "&amp;M892,"")</f>
        <v>, aiden-blue-check-pop</v>
      </c>
      <c r="AH892" s="11" t="str">
        <f t="shared" si="812"/>
        <v>, aiden-brown-stripe-pop</v>
      </c>
      <c r="AI892" s="11" t="str">
        <f t="shared" si="812"/>
        <v>, aiden-eclipse-stripe-poplin</v>
      </c>
      <c r="AJ892" s="11" t="str">
        <f t="shared" si="812"/>
        <v>, aiden-grey-oxford</v>
      </c>
      <c r="AK892" s="11" t="str">
        <f t="shared" si="812"/>
        <v>, aiden-japan-shadow</v>
      </c>
      <c r="AL892" s="11" t="str">
        <f t="shared" si="812"/>
        <v>, aiden-milk-check</v>
      </c>
      <c r="AM892" s="11" t="str">
        <f t="shared" si="812"/>
        <v/>
      </c>
      <c r="AN892" s="11" t="str">
        <f t="shared" si="812"/>
        <v/>
      </c>
      <c r="AO892" s="11" t="str">
        <f t="shared" si="812"/>
        <v/>
      </c>
      <c r="AP892" s="21" t="str">
        <f t="shared" si="764"/>
        <v>aiden-black-ox, aiden-blue-check-pop, aiden-brown-stripe-pop, aiden-eclipse-stripe-poplin, aiden-grey-oxford, aiden-japan-shadow, aiden-milk-check</v>
      </c>
    </row>
    <row r="893" ht="16.5" customHeight="1">
      <c r="A893" s="32" t="s">
        <v>5265</v>
      </c>
      <c r="B893" s="32" t="s">
        <v>2635</v>
      </c>
      <c r="C893" s="32" t="s">
        <v>5266</v>
      </c>
      <c r="D893" s="32" t="s">
        <v>5267</v>
      </c>
      <c r="E893" s="32" t="s">
        <v>5268</v>
      </c>
      <c r="F893" s="4" t="s">
        <v>5269</v>
      </c>
      <c r="G893" s="4" t="s">
        <v>5270</v>
      </c>
      <c r="H893" s="4"/>
      <c r="K893" s="18"/>
      <c r="L893" s="20"/>
      <c r="M893" s="20"/>
      <c r="N893" s="20"/>
      <c r="O893" s="20"/>
      <c r="P893" s="20"/>
      <c r="Q893" s="20"/>
      <c r="R893" s="20"/>
      <c r="S893" s="20"/>
      <c r="T893" s="20"/>
      <c r="U893" s="20"/>
      <c r="AF893" s="11" t="str">
        <f t="shared" si="762"/>
        <v/>
      </c>
      <c r="AG893" s="11" t="str">
        <f t="shared" ref="AG893:AO893" si="813">if(not(isblank(M893)),", "&amp;M893,"")</f>
        <v/>
      </c>
      <c r="AH893" s="11" t="str">
        <f t="shared" si="813"/>
        <v/>
      </c>
      <c r="AI893" s="11" t="str">
        <f t="shared" si="813"/>
        <v/>
      </c>
      <c r="AJ893" s="11" t="str">
        <f t="shared" si="813"/>
        <v/>
      </c>
      <c r="AK893" s="11" t="str">
        <f t="shared" si="813"/>
        <v/>
      </c>
      <c r="AL893" s="11" t="str">
        <f t="shared" si="813"/>
        <v/>
      </c>
      <c r="AM893" s="11" t="str">
        <f t="shared" si="813"/>
        <v/>
      </c>
      <c r="AN893" s="11" t="str">
        <f t="shared" si="813"/>
        <v/>
      </c>
      <c r="AO893" s="11" t="str">
        <f t="shared" si="813"/>
        <v/>
      </c>
      <c r="AP893" s="21" t="str">
        <f t="shared" si="764"/>
        <v>open-ginger-peel</v>
      </c>
    </row>
    <row r="894" ht="16.5" customHeight="1">
      <c r="A894" s="32" t="s">
        <v>5265</v>
      </c>
      <c r="B894" s="32" t="s">
        <v>2635</v>
      </c>
      <c r="C894" s="32" t="s">
        <v>5270</v>
      </c>
      <c r="D894" s="32" t="s">
        <v>5271</v>
      </c>
      <c r="E894" s="32" t="s">
        <v>5268</v>
      </c>
      <c r="F894" s="4" t="s">
        <v>5269</v>
      </c>
      <c r="G894" s="4" t="s">
        <v>5266</v>
      </c>
      <c r="H894" s="4"/>
      <c r="K894" s="18"/>
      <c r="L894" s="20"/>
      <c r="M894" s="20"/>
      <c r="N894" s="20"/>
      <c r="O894" s="20"/>
      <c r="P894" s="20"/>
      <c r="Q894" s="20"/>
      <c r="R894" s="20"/>
      <c r="S894" s="20"/>
      <c r="T894" s="20"/>
      <c r="U894" s="20"/>
      <c r="AF894" s="11" t="str">
        <f t="shared" si="762"/>
        <v/>
      </c>
      <c r="AG894" s="11" t="str">
        <f t="shared" ref="AG894:AO894" si="814">if(not(isblank(M894)),", "&amp;M894,"")</f>
        <v/>
      </c>
      <c r="AH894" s="11" t="str">
        <f t="shared" si="814"/>
        <v/>
      </c>
      <c r="AI894" s="11" t="str">
        <f t="shared" si="814"/>
        <v/>
      </c>
      <c r="AJ894" s="11" t="str">
        <f t="shared" si="814"/>
        <v/>
      </c>
      <c r="AK894" s="11" t="str">
        <f t="shared" si="814"/>
        <v/>
      </c>
      <c r="AL894" s="11" t="str">
        <f t="shared" si="814"/>
        <v/>
      </c>
      <c r="AM894" s="11" t="str">
        <f t="shared" si="814"/>
        <v/>
      </c>
      <c r="AN894" s="11" t="str">
        <f t="shared" si="814"/>
        <v/>
      </c>
      <c r="AO894" s="11" t="str">
        <f t="shared" si="814"/>
        <v/>
      </c>
      <c r="AP894" s="21" t="str">
        <f t="shared" si="764"/>
        <v>open-chocolate-brown</v>
      </c>
    </row>
    <row r="895" ht="16.5" customHeight="1">
      <c r="A895" s="32" t="s">
        <v>5265</v>
      </c>
      <c r="B895" s="32" t="s">
        <v>2635</v>
      </c>
      <c r="C895" s="32" t="s">
        <v>5272</v>
      </c>
      <c r="D895" s="32" t="s">
        <v>5273</v>
      </c>
      <c r="E895" s="32" t="s">
        <v>5274</v>
      </c>
      <c r="F895" s="4" t="s">
        <v>5275</v>
      </c>
      <c r="G895" s="4" t="s">
        <v>5276</v>
      </c>
      <c r="H895" s="4"/>
      <c r="K895" s="18"/>
      <c r="L895" s="20"/>
      <c r="M895" s="20"/>
      <c r="N895" s="20"/>
      <c r="O895" s="20"/>
      <c r="P895" s="20"/>
      <c r="Q895" s="20"/>
      <c r="R895" s="20"/>
      <c r="S895" s="20"/>
      <c r="T895" s="20"/>
      <c r="U895" s="20"/>
      <c r="AF895" s="11" t="str">
        <f t="shared" si="762"/>
        <v/>
      </c>
      <c r="AG895" s="11" t="str">
        <f t="shared" ref="AG895:AO895" si="815">if(not(isblank(M895)),", "&amp;M895,"")</f>
        <v/>
      </c>
      <c r="AH895" s="11" t="str">
        <f t="shared" si="815"/>
        <v/>
      </c>
      <c r="AI895" s="11" t="str">
        <f t="shared" si="815"/>
        <v/>
      </c>
      <c r="AJ895" s="11" t="str">
        <f t="shared" si="815"/>
        <v/>
      </c>
      <c r="AK895" s="11" t="str">
        <f t="shared" si="815"/>
        <v/>
      </c>
      <c r="AL895" s="11" t="str">
        <f t="shared" si="815"/>
        <v/>
      </c>
      <c r="AM895" s="11" t="str">
        <f t="shared" si="815"/>
        <v/>
      </c>
      <c r="AN895" s="11" t="str">
        <f t="shared" si="815"/>
        <v/>
      </c>
      <c r="AO895" s="11" t="str">
        <f t="shared" si="815"/>
        <v/>
      </c>
      <c r="AP895" s="21" t="str">
        <f t="shared" si="764"/>
        <v>tarmac-ginger-peel</v>
      </c>
    </row>
    <row r="896" ht="16.5" customHeight="1">
      <c r="A896" s="32" t="s">
        <v>5265</v>
      </c>
      <c r="B896" s="32" t="s">
        <v>3083</v>
      </c>
      <c r="C896" s="32" t="s">
        <v>5277</v>
      </c>
      <c r="D896" s="32" t="s">
        <v>5278</v>
      </c>
      <c r="E896" s="32" t="s">
        <v>5279</v>
      </c>
      <c r="F896" s="4" t="s">
        <v>5280</v>
      </c>
      <c r="G896" s="4"/>
      <c r="H896" s="4"/>
      <c r="K896" s="18"/>
      <c r="L896" s="20"/>
      <c r="M896" s="20"/>
      <c r="N896" s="20"/>
      <c r="O896" s="20"/>
      <c r="P896" s="20"/>
      <c r="Q896" s="20"/>
      <c r="R896" s="20"/>
      <c r="S896" s="20"/>
      <c r="T896" s="20"/>
      <c r="U896" s="20"/>
      <c r="AF896" s="11" t="str">
        <f t="shared" si="762"/>
        <v/>
      </c>
      <c r="AG896" s="11" t="str">
        <f t="shared" ref="AG896:AO896" si="816">if(not(isblank(M896)),", "&amp;M896,"")</f>
        <v/>
      </c>
      <c r="AH896" s="11" t="str">
        <f t="shared" si="816"/>
        <v/>
      </c>
      <c r="AI896" s="11" t="str">
        <f t="shared" si="816"/>
        <v/>
      </c>
      <c r="AJ896" s="11" t="str">
        <f t="shared" si="816"/>
        <v/>
      </c>
      <c r="AK896" s="11" t="str">
        <f t="shared" si="816"/>
        <v/>
      </c>
      <c r="AL896" s="11" t="str">
        <f t="shared" si="816"/>
        <v/>
      </c>
      <c r="AM896" s="11" t="str">
        <f t="shared" si="816"/>
        <v/>
      </c>
      <c r="AN896" s="11" t="str">
        <f t="shared" si="816"/>
        <v/>
      </c>
      <c r="AO896" s="11" t="str">
        <f t="shared" si="816"/>
        <v/>
      </c>
      <c r="AP896" s="21" t="str">
        <f t="shared" si="764"/>
        <v/>
      </c>
    </row>
    <row r="897" ht="16.5" customHeight="1">
      <c r="A897" s="32" t="s">
        <v>5265</v>
      </c>
      <c r="B897" s="32" t="s">
        <v>2635</v>
      </c>
      <c r="C897" s="32" t="s">
        <v>5276</v>
      </c>
      <c r="D897" s="32" t="s">
        <v>5281</v>
      </c>
      <c r="E897" s="32" t="s">
        <v>5274</v>
      </c>
      <c r="F897" s="4" t="s">
        <v>5282</v>
      </c>
      <c r="G897" s="4" t="s">
        <v>5272</v>
      </c>
      <c r="H897" s="4"/>
      <c r="K897" s="18"/>
      <c r="L897" s="20"/>
      <c r="M897" s="20"/>
      <c r="N897" s="20"/>
      <c r="O897" s="20"/>
      <c r="P897" s="20"/>
      <c r="Q897" s="20"/>
      <c r="R897" s="20"/>
      <c r="S897" s="20"/>
      <c r="T897" s="20"/>
      <c r="U897" s="20"/>
      <c r="AF897" s="11" t="str">
        <f t="shared" si="762"/>
        <v/>
      </c>
      <c r="AG897" s="11" t="str">
        <f t="shared" ref="AG897:AO897" si="817">if(not(isblank(M897)),", "&amp;M897,"")</f>
        <v/>
      </c>
      <c r="AH897" s="11" t="str">
        <f t="shared" si="817"/>
        <v/>
      </c>
      <c r="AI897" s="11" t="str">
        <f t="shared" si="817"/>
        <v/>
      </c>
      <c r="AJ897" s="11" t="str">
        <f t="shared" si="817"/>
        <v/>
      </c>
      <c r="AK897" s="11" t="str">
        <f t="shared" si="817"/>
        <v/>
      </c>
      <c r="AL897" s="11" t="str">
        <f t="shared" si="817"/>
        <v/>
      </c>
      <c r="AM897" s="11" t="str">
        <f t="shared" si="817"/>
        <v/>
      </c>
      <c r="AN897" s="11" t="str">
        <f t="shared" si="817"/>
        <v/>
      </c>
      <c r="AO897" s="11" t="str">
        <f t="shared" si="817"/>
        <v/>
      </c>
      <c r="AP897" s="21" t="str">
        <f t="shared" si="764"/>
        <v>tarmac-black</v>
      </c>
    </row>
    <row r="898" ht="16.5" customHeight="1">
      <c r="A898" s="32" t="s">
        <v>5283</v>
      </c>
      <c r="B898" s="32" t="s">
        <v>2348</v>
      </c>
      <c r="C898" s="32" t="s">
        <v>5284</v>
      </c>
      <c r="D898" s="32" t="s">
        <v>5285</v>
      </c>
      <c r="E898" s="36"/>
      <c r="F898" s="4"/>
      <c r="G898" s="4"/>
      <c r="H898" s="4"/>
      <c r="K898" s="18"/>
      <c r="L898" s="11"/>
      <c r="M898" s="20"/>
      <c r="N898" s="20"/>
      <c r="O898" s="20"/>
      <c r="P898" s="20"/>
      <c r="Q898" s="20"/>
      <c r="R898" s="20"/>
      <c r="S898" s="20"/>
      <c r="T898" s="20"/>
      <c r="U898" s="20"/>
      <c r="AF898" s="11" t="str">
        <f t="shared" si="762"/>
        <v/>
      </c>
      <c r="AG898" s="11" t="str">
        <f t="shared" ref="AG898:AO898" si="818">if(not(isblank(M898)),", "&amp;M898,"")</f>
        <v/>
      </c>
      <c r="AH898" s="11" t="str">
        <f t="shared" si="818"/>
        <v/>
      </c>
      <c r="AI898" s="11" t="str">
        <f t="shared" si="818"/>
        <v/>
      </c>
      <c r="AJ898" s="11" t="str">
        <f t="shared" si="818"/>
        <v/>
      </c>
      <c r="AK898" s="11" t="str">
        <f t="shared" si="818"/>
        <v/>
      </c>
      <c r="AL898" s="11" t="str">
        <f t="shared" si="818"/>
        <v/>
      </c>
      <c r="AM898" s="11" t="str">
        <f t="shared" si="818"/>
        <v/>
      </c>
      <c r="AN898" s="11" t="str">
        <f t="shared" si="818"/>
        <v/>
      </c>
      <c r="AO898" s="11" t="str">
        <f t="shared" si="818"/>
        <v/>
      </c>
      <c r="AP898" s="21" t="str">
        <f t="shared" si="764"/>
        <v/>
      </c>
    </row>
    <row r="899" ht="16.5" customHeight="1">
      <c r="A899" s="32" t="s">
        <v>5286</v>
      </c>
      <c r="B899" s="32" t="s">
        <v>5286</v>
      </c>
      <c r="C899" s="32" t="s">
        <v>5287</v>
      </c>
      <c r="D899" s="32" t="s">
        <v>5288</v>
      </c>
      <c r="E899" s="36"/>
      <c r="F899" s="4"/>
      <c r="G899" s="4"/>
      <c r="H899" s="4"/>
      <c r="K899" s="18"/>
      <c r="L899" s="20"/>
      <c r="M899" s="20"/>
      <c r="N899" s="20"/>
      <c r="O899" s="20"/>
      <c r="P899" s="20"/>
      <c r="Q899" s="20"/>
      <c r="R899" s="20"/>
      <c r="S899" s="20"/>
      <c r="T899" s="20"/>
      <c r="U899" s="20"/>
      <c r="AF899" s="11" t="str">
        <f t="shared" si="762"/>
        <v/>
      </c>
      <c r="AG899" s="11" t="str">
        <f t="shared" ref="AG899:AO899" si="819">if(not(isblank(M899)),", "&amp;M899,"")</f>
        <v/>
      </c>
      <c r="AH899" s="11" t="str">
        <f t="shared" si="819"/>
        <v/>
      </c>
      <c r="AI899" s="11" t="str">
        <f t="shared" si="819"/>
        <v/>
      </c>
      <c r="AJ899" s="11" t="str">
        <f t="shared" si="819"/>
        <v/>
      </c>
      <c r="AK899" s="11" t="str">
        <f t="shared" si="819"/>
        <v/>
      </c>
      <c r="AL899" s="11" t="str">
        <f t="shared" si="819"/>
        <v/>
      </c>
      <c r="AM899" s="11" t="str">
        <f t="shared" si="819"/>
        <v/>
      </c>
      <c r="AN899" s="11" t="str">
        <f t="shared" si="819"/>
        <v/>
      </c>
      <c r="AO899" s="11" t="str">
        <f t="shared" si="819"/>
        <v/>
      </c>
      <c r="AP899" s="21" t="str">
        <f t="shared" si="764"/>
        <v/>
      </c>
    </row>
  </sheetData>
  <customSheetViews>
    <customSheetView guid="{F38008BB-B2EC-45A4-B5B1-954CDCF34675}" filter="1" showAutoFilter="1">
      <autoFilter ref="$A$2:$H$899">
        <filterColumn colId="0">
          <filters>
            <filter val="Livid men"/>
            <filter val="Ichiko Ichie"/>
            <filter val="Livid Men"/>
            <filter val="Fitguide"/>
          </filters>
        </filterColumn>
        <sortState ref="A2:H899">
          <sortCondition ref="D2:D899"/>
        </sortState>
      </autoFilter>
      <extLst>
        <ext uri="GoogleSheetsCustomDataVersion1">
          <go:sheetsCustomData xmlns:go="http://customooxmlschemas.google.com/" filterViewId="1221379037"/>
        </ext>
      </extLst>
    </customSheetView>
    <customSheetView guid="{4E2A9210-123D-412A-A674-87A542E56BB5}" filter="1" showAutoFilter="1">
      <autoFilter ref="$A$2:$H$899">
        <filterColumn colId="0">
          <filters>
            <filter val="Ichiko Ichie"/>
            <filter val="Livid Men"/>
            <filter val="Fitguide"/>
          </filters>
        </filterColumn>
      </autoFilter>
      <extLst>
        <ext uri="GoogleSheetsCustomDataVersion1">
          <go:sheetsCustomData xmlns:go="http://customooxmlschemas.google.com/" filterViewId="2136730883"/>
        </ext>
      </extLst>
    </customSheetView>
  </customSheetViews>
  <conditionalFormatting sqref="L4:U899">
    <cfRule type="expression" dxfId="0" priority="1">
      <formula>L4=$C4</formula>
    </cfRule>
  </conditionalFormatting>
  <dataValidations>
    <dataValidation type="list" allowBlank="1" showErrorMessage="1" sqref="L4:U275 N276:U276 L277:U293 P294:U294 L295:U322 M323:U323 L324:U717 N718:U718 L719:U780 N781:U781 L782:U897 M898:U898 L899:U899">
      <formula1>Handles!$A$1:$A899</formula1>
    </dataValidation>
    <dataValidation type="list" allowBlank="1" showErrorMessage="1" sqref="L276:M276 L294:O294 L323 L718:M718 L781:M781 L898">
      <formula1>Handles!$A$1:$A899</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1" t="str">
        <f t="array" ref="A1:A332">sort(unique('Sorted - Copy from here to Prod'!C2:C1001))</f>
        <v>abby-chestnut</v>
      </c>
    </row>
    <row r="2">
      <c r="A2" s="11" t="s">
        <v>180</v>
      </c>
    </row>
    <row r="3">
      <c r="A3" s="11" t="s">
        <v>428</v>
      </c>
    </row>
    <row r="4">
      <c r="A4" s="11" t="s">
        <v>1342</v>
      </c>
    </row>
    <row r="5">
      <c r="A5" s="11" t="s">
        <v>439</v>
      </c>
    </row>
    <row r="6">
      <c r="A6" s="11" t="s">
        <v>452</v>
      </c>
    </row>
    <row r="7">
      <c r="A7" s="11" t="s">
        <v>1782</v>
      </c>
    </row>
    <row r="8">
      <c r="A8" s="11" t="s">
        <v>1645</v>
      </c>
    </row>
    <row r="9">
      <c r="A9" s="11" t="s">
        <v>1992</v>
      </c>
    </row>
    <row r="10">
      <c r="A10" s="11" t="s">
        <v>182</v>
      </c>
    </row>
    <row r="11">
      <c r="A11" s="11" t="s">
        <v>184</v>
      </c>
    </row>
    <row r="12">
      <c r="A12" s="11" t="s">
        <v>186</v>
      </c>
    </row>
    <row r="13">
      <c r="A13" s="11" t="s">
        <v>188</v>
      </c>
    </row>
    <row r="14">
      <c r="A14" s="11" t="s">
        <v>61</v>
      </c>
    </row>
    <row r="15">
      <c r="A15" s="11" t="s">
        <v>238</v>
      </c>
    </row>
    <row r="16">
      <c r="A16" s="11" t="s">
        <v>1528</v>
      </c>
    </row>
    <row r="17">
      <c r="A17" s="11" t="s">
        <v>63</v>
      </c>
    </row>
    <row r="18">
      <c r="A18" s="11" t="s">
        <v>244</v>
      </c>
    </row>
    <row r="19">
      <c r="A19" s="11" t="s">
        <v>248</v>
      </c>
    </row>
    <row r="20">
      <c r="A20" s="11" t="s">
        <v>65</v>
      </c>
    </row>
    <row r="21">
      <c r="A21" s="11" t="s">
        <v>1768</v>
      </c>
    </row>
    <row r="22">
      <c r="A22" s="11" t="s">
        <v>67</v>
      </c>
    </row>
    <row r="23">
      <c r="A23" s="11" t="s">
        <v>69</v>
      </c>
    </row>
    <row r="24">
      <c r="A24" s="11" t="s">
        <v>461</v>
      </c>
    </row>
    <row r="25">
      <c r="A25" s="11" t="s">
        <v>1335</v>
      </c>
    </row>
    <row r="26">
      <c r="A26" s="11" t="s">
        <v>1366</v>
      </c>
    </row>
    <row r="27">
      <c r="A27" s="11" t="s">
        <v>1401</v>
      </c>
    </row>
    <row r="28">
      <c r="A28" s="11" t="s">
        <v>359</v>
      </c>
    </row>
    <row r="29">
      <c r="A29" s="11" t="s">
        <v>363</v>
      </c>
    </row>
    <row r="30">
      <c r="A30" s="11" t="s">
        <v>474</v>
      </c>
    </row>
    <row r="31">
      <c r="A31" s="11" t="s">
        <v>1025</v>
      </c>
    </row>
    <row r="32">
      <c r="A32" s="11" t="s">
        <v>1469</v>
      </c>
    </row>
    <row r="33">
      <c r="A33" s="11" t="s">
        <v>1792</v>
      </c>
    </row>
    <row r="34">
      <c r="A34" s="11" t="s">
        <v>487</v>
      </c>
    </row>
    <row r="35">
      <c r="A35" s="11" t="s">
        <v>500</v>
      </c>
    </row>
    <row r="36">
      <c r="A36" s="11" t="s">
        <v>255</v>
      </c>
    </row>
    <row r="37">
      <c r="A37" s="11" t="s">
        <v>513</v>
      </c>
    </row>
    <row r="38">
      <c r="A38" s="11" t="s">
        <v>1802</v>
      </c>
    </row>
    <row r="39">
      <c r="A39" s="11" t="s">
        <v>1800</v>
      </c>
    </row>
    <row r="40">
      <c r="A40" s="11" t="s">
        <v>523</v>
      </c>
    </row>
    <row r="41">
      <c r="A41" s="11" t="s">
        <v>375</v>
      </c>
    </row>
    <row r="42">
      <c r="A42" s="11" t="s">
        <v>532</v>
      </c>
    </row>
    <row r="43">
      <c r="A43" s="11" t="s">
        <v>536</v>
      </c>
    </row>
    <row r="44">
      <c r="A44" s="11" t="s">
        <v>275</v>
      </c>
    </row>
    <row r="45">
      <c r="A45" s="11" t="s">
        <v>159</v>
      </c>
    </row>
    <row r="46">
      <c r="A46" s="11" t="s">
        <v>161</v>
      </c>
    </row>
    <row r="47">
      <c r="A47" s="11" t="s">
        <v>163</v>
      </c>
    </row>
    <row r="48">
      <c r="A48" s="11" t="s">
        <v>166</v>
      </c>
    </row>
    <row r="49">
      <c r="A49" s="11" t="s">
        <v>1813</v>
      </c>
    </row>
    <row r="50">
      <c r="A50" s="11" t="s">
        <v>87</v>
      </c>
    </row>
    <row r="51">
      <c r="A51" s="11" t="s">
        <v>89</v>
      </c>
    </row>
    <row r="52">
      <c r="A52" s="11" t="s">
        <v>91</v>
      </c>
    </row>
    <row r="53">
      <c r="A53" s="11" t="s">
        <v>93</v>
      </c>
    </row>
    <row r="54">
      <c r="A54" s="11" t="s">
        <v>95</v>
      </c>
    </row>
    <row r="55">
      <c r="A55" s="11" t="s">
        <v>97</v>
      </c>
    </row>
    <row r="56">
      <c r="A56" s="11" t="s">
        <v>99</v>
      </c>
    </row>
    <row r="57">
      <c r="A57" s="11" t="s">
        <v>101</v>
      </c>
    </row>
    <row r="58">
      <c r="A58" s="11" t="s">
        <v>543</v>
      </c>
    </row>
    <row r="59">
      <c r="A59" s="11" t="s">
        <v>1236</v>
      </c>
    </row>
    <row r="60">
      <c r="A60" s="11" t="s">
        <v>555</v>
      </c>
    </row>
    <row r="61">
      <c r="A61" s="11" t="s">
        <v>565</v>
      </c>
    </row>
    <row r="62">
      <c r="A62" s="11" t="s">
        <v>1460</v>
      </c>
    </row>
    <row r="63">
      <c r="A63" s="11" t="s">
        <v>579</v>
      </c>
    </row>
    <row r="64">
      <c r="A64" s="11" t="s">
        <v>130</v>
      </c>
    </row>
    <row r="65">
      <c r="A65" s="11" t="s">
        <v>282</v>
      </c>
    </row>
    <row r="66">
      <c r="A66" s="11" t="s">
        <v>132</v>
      </c>
    </row>
    <row r="67">
      <c r="A67" s="11" t="s">
        <v>1821</v>
      </c>
    </row>
    <row r="68">
      <c r="A68" s="11" t="s">
        <v>134</v>
      </c>
    </row>
    <row r="69">
      <c r="A69" s="11" t="s">
        <v>587</v>
      </c>
    </row>
    <row r="70">
      <c r="A70" s="11" t="s">
        <v>1650</v>
      </c>
    </row>
    <row r="71">
      <c r="A71" s="11" t="s">
        <v>594</v>
      </c>
    </row>
    <row r="72">
      <c r="A72" s="11" t="s">
        <v>597</v>
      </c>
    </row>
    <row r="73">
      <c r="A73" s="11" t="s">
        <v>606</v>
      </c>
    </row>
    <row r="74">
      <c r="A74" s="11" t="s">
        <v>609</v>
      </c>
    </row>
    <row r="75">
      <c r="A75" s="11" t="s">
        <v>1660</v>
      </c>
    </row>
    <row r="76">
      <c r="A76" s="11" t="s">
        <v>1829</v>
      </c>
    </row>
    <row r="77">
      <c r="A77" s="11" t="s">
        <v>1831</v>
      </c>
    </row>
    <row r="78">
      <c r="A78" s="11" t="s">
        <v>424</v>
      </c>
    </row>
    <row r="79">
      <c r="A79" s="11" t="s">
        <v>618</v>
      </c>
    </row>
    <row r="80">
      <c r="A80" s="11" t="s">
        <v>386</v>
      </c>
    </row>
    <row r="81">
      <c r="A81" s="11" t="s">
        <v>1666</v>
      </c>
    </row>
    <row r="82">
      <c r="A82" s="11" t="s">
        <v>393</v>
      </c>
    </row>
    <row r="83">
      <c r="A83" s="11" t="s">
        <v>1223</v>
      </c>
    </row>
    <row r="84">
      <c r="A84" s="11" t="s">
        <v>1672</v>
      </c>
    </row>
    <row r="85">
      <c r="A85" s="11" t="s">
        <v>136</v>
      </c>
    </row>
    <row r="86">
      <c r="A86" s="11" t="s">
        <v>1246</v>
      </c>
    </row>
    <row r="87">
      <c r="A87" s="11" t="s">
        <v>1412</v>
      </c>
    </row>
    <row r="88">
      <c r="A88" s="11" t="s">
        <v>1324</v>
      </c>
    </row>
    <row r="89">
      <c r="A89" s="11" t="s">
        <v>1273</v>
      </c>
    </row>
    <row r="90">
      <c r="A90" s="11" t="s">
        <v>1271</v>
      </c>
    </row>
    <row r="91">
      <c r="A91" s="11" t="s">
        <v>138</v>
      </c>
    </row>
    <row r="92">
      <c r="A92" s="11" t="s">
        <v>140</v>
      </c>
    </row>
    <row r="93">
      <c r="A93" s="11" t="s">
        <v>1433</v>
      </c>
    </row>
    <row r="94">
      <c r="A94" s="11" t="s">
        <v>1678</v>
      </c>
    </row>
    <row r="95">
      <c r="A95" s="11" t="s">
        <v>2130</v>
      </c>
    </row>
    <row r="96">
      <c r="A96" s="11" t="s">
        <v>142</v>
      </c>
    </row>
    <row r="97">
      <c r="A97" s="11" t="s">
        <v>1685</v>
      </c>
    </row>
    <row r="98">
      <c r="A98" s="11" t="s">
        <v>2129</v>
      </c>
    </row>
    <row r="99">
      <c r="A99" s="11" t="s">
        <v>1556</v>
      </c>
    </row>
    <row r="100">
      <c r="A100" s="11" t="s">
        <v>1567</v>
      </c>
    </row>
    <row r="101">
      <c r="A101" s="11" t="s">
        <v>419</v>
      </c>
    </row>
    <row r="102">
      <c r="A102" s="11" t="s">
        <v>627</v>
      </c>
    </row>
    <row r="103">
      <c r="A103" s="11" t="s">
        <v>1838</v>
      </c>
    </row>
    <row r="104">
      <c r="A104" s="11" t="s">
        <v>637</v>
      </c>
    </row>
    <row r="105">
      <c r="A105" s="11" t="s">
        <v>144</v>
      </c>
    </row>
    <row r="106">
      <c r="A106" s="11" t="s">
        <v>290</v>
      </c>
    </row>
    <row r="107">
      <c r="A107" s="11" t="s">
        <v>649</v>
      </c>
    </row>
    <row r="108">
      <c r="A108" s="11" t="s">
        <v>652</v>
      </c>
    </row>
    <row r="109">
      <c r="A109" s="11" t="s">
        <v>1264</v>
      </c>
    </row>
    <row r="110">
      <c r="A110" s="11" t="s">
        <v>664</v>
      </c>
    </row>
    <row r="111">
      <c r="A111" s="11" t="s">
        <v>677</v>
      </c>
    </row>
    <row r="112">
      <c r="A112" s="11" t="s">
        <v>1693</v>
      </c>
    </row>
    <row r="113">
      <c r="A113" s="11" t="s">
        <v>225</v>
      </c>
    </row>
    <row r="114">
      <c r="A114" s="11" t="s">
        <v>689</v>
      </c>
    </row>
    <row r="115">
      <c r="A115" s="11" t="s">
        <v>702</v>
      </c>
    </row>
    <row r="116">
      <c r="A116" s="11" t="s">
        <v>713</v>
      </c>
    </row>
    <row r="117">
      <c r="A117" s="11" t="s">
        <v>721</v>
      </c>
    </row>
    <row r="118">
      <c r="A118" s="11" t="s">
        <v>731</v>
      </c>
    </row>
    <row r="119">
      <c r="A119" s="11" t="s">
        <v>1228</v>
      </c>
    </row>
    <row r="120">
      <c r="A120" s="11" t="s">
        <v>2018</v>
      </c>
    </row>
    <row r="121">
      <c r="A121" s="11" t="s">
        <v>736</v>
      </c>
    </row>
    <row r="122">
      <c r="A122" s="11" t="s">
        <v>749</v>
      </c>
    </row>
    <row r="123">
      <c r="A123" s="11" t="s">
        <v>758</v>
      </c>
    </row>
    <row r="124">
      <c r="A124" s="11" t="s">
        <v>2027</v>
      </c>
    </row>
    <row r="125">
      <c r="A125" s="11" t="s">
        <v>146</v>
      </c>
    </row>
    <row r="126">
      <c r="A126" s="11" t="s">
        <v>2037</v>
      </c>
    </row>
    <row r="127">
      <c r="A127" s="11" t="s">
        <v>2046</v>
      </c>
    </row>
    <row r="128">
      <c r="A128" s="11" t="s">
        <v>2054</v>
      </c>
    </row>
    <row r="129">
      <c r="A129" s="11" t="s">
        <v>294</v>
      </c>
    </row>
    <row r="130">
      <c r="A130" s="11" t="s">
        <v>296</v>
      </c>
    </row>
    <row r="131">
      <c r="A131" s="11" t="s">
        <v>1422</v>
      </c>
    </row>
    <row r="132">
      <c r="A132" s="11" t="s">
        <v>766</v>
      </c>
    </row>
    <row r="133">
      <c r="A133" s="11" t="s">
        <v>775</v>
      </c>
    </row>
    <row r="134">
      <c r="A134" s="11" t="s">
        <v>1279</v>
      </c>
    </row>
    <row r="135">
      <c r="A135" s="11" t="s">
        <v>781</v>
      </c>
    </row>
    <row r="136">
      <c r="A136" s="11" t="s">
        <v>791</v>
      </c>
    </row>
    <row r="137">
      <c r="A137" s="11" t="s">
        <v>797</v>
      </c>
    </row>
    <row r="138">
      <c r="A138" s="11" t="s">
        <v>803</v>
      </c>
    </row>
    <row r="139">
      <c r="A139" s="11" t="s">
        <v>808</v>
      </c>
    </row>
    <row r="140">
      <c r="A140" s="11" t="s">
        <v>813</v>
      </c>
    </row>
    <row r="141">
      <c r="A141" s="11" t="s">
        <v>1500</v>
      </c>
    </row>
    <row r="142">
      <c r="A142" s="11" t="s">
        <v>1440</v>
      </c>
    </row>
    <row r="143">
      <c r="A143" s="11" t="s">
        <v>128</v>
      </c>
    </row>
    <row r="144">
      <c r="A144" s="11" t="s">
        <v>1282</v>
      </c>
    </row>
    <row r="145">
      <c r="A145" s="11" t="s">
        <v>1606</v>
      </c>
    </row>
    <row r="146">
      <c r="A146" s="11" t="s">
        <v>1371</v>
      </c>
    </row>
    <row r="147">
      <c r="A147" s="11" t="s">
        <v>1623</v>
      </c>
    </row>
    <row r="148">
      <c r="A148" s="11" t="s">
        <v>1314</v>
      </c>
    </row>
    <row r="149">
      <c r="A149" s="11" t="s">
        <v>1446</v>
      </c>
    </row>
    <row r="150">
      <c r="A150" s="11" t="s">
        <v>1457</v>
      </c>
    </row>
    <row r="151">
      <c r="A151" s="11" t="s">
        <v>1452</v>
      </c>
    </row>
    <row r="152">
      <c r="A152" s="11" t="s">
        <v>1478</v>
      </c>
    </row>
    <row r="153">
      <c r="A153" s="11" t="s">
        <v>1491</v>
      </c>
    </row>
    <row r="154">
      <c r="A154" s="11" t="s">
        <v>1520</v>
      </c>
    </row>
    <row r="155">
      <c r="A155" s="11" t="s">
        <v>2068</v>
      </c>
    </row>
    <row r="156">
      <c r="A156" s="11" t="s">
        <v>1698</v>
      </c>
    </row>
    <row r="157">
      <c r="A157" s="11" t="s">
        <v>118</v>
      </c>
    </row>
    <row r="158">
      <c r="A158" s="11" t="s">
        <v>120</v>
      </c>
    </row>
    <row r="159">
      <c r="A159" s="11" t="s">
        <v>818</v>
      </c>
    </row>
    <row r="160">
      <c r="A160" s="11" t="s">
        <v>821</v>
      </c>
    </row>
    <row r="161">
      <c r="A161" s="11" t="s">
        <v>122</v>
      </c>
    </row>
    <row r="162">
      <c r="A162" s="11" t="s">
        <v>124</v>
      </c>
    </row>
    <row r="163">
      <c r="A163" s="11" t="s">
        <v>1851</v>
      </c>
    </row>
    <row r="164">
      <c r="A164" s="11" t="s">
        <v>831</v>
      </c>
    </row>
    <row r="165">
      <c r="A165" s="11" t="s">
        <v>110</v>
      </c>
    </row>
    <row r="166">
      <c r="A166" s="11" t="s">
        <v>841</v>
      </c>
    </row>
    <row r="167">
      <c r="A167" s="11" t="s">
        <v>848</v>
      </c>
    </row>
    <row r="168">
      <c r="A168" s="11" t="s">
        <v>2077</v>
      </c>
    </row>
    <row r="169">
      <c r="A169" s="11" t="s">
        <v>112</v>
      </c>
    </row>
    <row r="170">
      <c r="A170" s="11" t="s">
        <v>2085</v>
      </c>
    </row>
    <row r="171">
      <c r="A171" s="11" t="s">
        <v>114</v>
      </c>
    </row>
    <row r="172">
      <c r="A172" s="11" t="s">
        <v>116</v>
      </c>
    </row>
    <row r="173">
      <c r="A173" s="11" t="s">
        <v>2089</v>
      </c>
    </row>
    <row r="174">
      <c r="A174" s="11" t="s">
        <v>2096</v>
      </c>
    </row>
    <row r="175">
      <c r="A175" s="11" t="s">
        <v>547</v>
      </c>
    </row>
    <row r="176">
      <c r="A176" s="11" t="s">
        <v>126</v>
      </c>
    </row>
    <row r="177">
      <c r="A177" s="11" t="s">
        <v>1706</v>
      </c>
    </row>
    <row r="178">
      <c r="A178" s="11" t="s">
        <v>233</v>
      </c>
    </row>
    <row r="179">
      <c r="A179" s="11" t="s">
        <v>1505</v>
      </c>
    </row>
    <row r="180">
      <c r="A180" s="11" t="s">
        <v>1539</v>
      </c>
    </row>
    <row r="181">
      <c r="A181" s="11" t="s">
        <v>297</v>
      </c>
    </row>
    <row r="182">
      <c r="A182" s="11" t="s">
        <v>861</v>
      </c>
    </row>
    <row r="183">
      <c r="A183" s="11" t="s">
        <v>305</v>
      </c>
    </row>
    <row r="184">
      <c r="A184" s="11" t="s">
        <v>316</v>
      </c>
    </row>
    <row r="185">
      <c r="A185" s="11" t="s">
        <v>1713</v>
      </c>
    </row>
    <row r="186">
      <c r="A186" s="11" t="s">
        <v>398</v>
      </c>
    </row>
    <row r="187">
      <c r="A187" s="11" t="s">
        <v>1715</v>
      </c>
    </row>
    <row r="188">
      <c r="A188" s="11" t="s">
        <v>408</v>
      </c>
    </row>
    <row r="189">
      <c r="A189" s="11" t="s">
        <v>1725</v>
      </c>
    </row>
    <row r="190">
      <c r="A190" s="11" t="s">
        <v>1859</v>
      </c>
    </row>
    <row r="191">
      <c r="A191" s="11" t="s">
        <v>875</v>
      </c>
    </row>
    <row r="192">
      <c r="A192" s="11" t="s">
        <v>883</v>
      </c>
    </row>
    <row r="193">
      <c r="A193" s="11" t="s">
        <v>886</v>
      </c>
    </row>
    <row r="194">
      <c r="A194" s="11" t="s">
        <v>895</v>
      </c>
    </row>
    <row r="195">
      <c r="A195" s="11" t="s">
        <v>169</v>
      </c>
    </row>
    <row r="196">
      <c r="A196" s="11" t="s">
        <v>148</v>
      </c>
    </row>
    <row r="197">
      <c r="A197" s="11" t="s">
        <v>903</v>
      </c>
    </row>
    <row r="198">
      <c r="A198" s="11" t="s">
        <v>906</v>
      </c>
    </row>
    <row r="199">
      <c r="A199" s="11" t="s">
        <v>920</v>
      </c>
    </row>
    <row r="200">
      <c r="A200" s="11" t="s">
        <v>932</v>
      </c>
    </row>
    <row r="201">
      <c r="A201" s="11" t="s">
        <v>942</v>
      </c>
    </row>
    <row r="202">
      <c r="A202" s="11" t="s">
        <v>1730</v>
      </c>
    </row>
    <row r="203">
      <c r="A203" s="11" t="s">
        <v>952</v>
      </c>
    </row>
    <row r="204">
      <c r="A204" s="11" t="s">
        <v>955</v>
      </c>
    </row>
    <row r="205">
      <c r="A205" s="11" t="s">
        <v>1545</v>
      </c>
    </row>
    <row r="206">
      <c r="A206" s="11" t="s">
        <v>1547</v>
      </c>
    </row>
    <row r="207">
      <c r="A207" s="11" t="s">
        <v>322</v>
      </c>
    </row>
    <row r="208">
      <c r="A208" s="11" t="s">
        <v>961</v>
      </c>
    </row>
    <row r="209">
      <c r="A209" s="11" t="s">
        <v>171</v>
      </c>
    </row>
    <row r="210">
      <c r="A210" s="11" t="s">
        <v>173</v>
      </c>
    </row>
    <row r="211">
      <c r="A211" s="11" t="s">
        <v>1594</v>
      </c>
    </row>
    <row r="212">
      <c r="A212" s="11" t="s">
        <v>716</v>
      </c>
    </row>
    <row r="213">
      <c r="A213" s="11" t="s">
        <v>150</v>
      </c>
    </row>
    <row r="214">
      <c r="A214" s="11" t="s">
        <v>975</v>
      </c>
    </row>
    <row r="215">
      <c r="A215" s="11" t="s">
        <v>984</v>
      </c>
    </row>
    <row r="216">
      <c r="A216" s="11" t="s">
        <v>992</v>
      </c>
    </row>
    <row r="217">
      <c r="A217" s="11" t="s">
        <v>1000</v>
      </c>
    </row>
    <row r="218">
      <c r="A218" s="11" t="s">
        <v>190</v>
      </c>
    </row>
    <row r="219">
      <c r="A219" s="11" t="s">
        <v>192</v>
      </c>
    </row>
    <row r="220">
      <c r="A220" s="11" t="s">
        <v>1639</v>
      </c>
    </row>
    <row r="221">
      <c r="A221" s="11" t="s">
        <v>1009</v>
      </c>
    </row>
    <row r="222">
      <c r="A222" s="11" t="s">
        <v>194</v>
      </c>
    </row>
    <row r="223">
      <c r="A223" s="11" t="s">
        <v>2102</v>
      </c>
    </row>
    <row r="224">
      <c r="A224" s="11" t="s">
        <v>2105</v>
      </c>
    </row>
    <row r="225">
      <c r="A225" s="11" t="s">
        <v>1740</v>
      </c>
    </row>
    <row r="226">
      <c r="A226" s="11" t="s">
        <v>328</v>
      </c>
    </row>
    <row r="227">
      <c r="A227" s="11" t="s">
        <v>332</v>
      </c>
    </row>
    <row r="228">
      <c r="A228" s="11" t="s">
        <v>175</v>
      </c>
    </row>
    <row r="229">
      <c r="A229" s="11" t="s">
        <v>152</v>
      </c>
    </row>
    <row r="230">
      <c r="A230" s="11" t="s">
        <v>196</v>
      </c>
    </row>
    <row r="231">
      <c r="A231" s="11" t="s">
        <v>198</v>
      </c>
    </row>
    <row r="232">
      <c r="A232" s="11" t="s">
        <v>1940</v>
      </c>
    </row>
    <row r="233">
      <c r="A233" s="11" t="s">
        <v>1014</v>
      </c>
    </row>
    <row r="234">
      <c r="A234" s="11" t="s">
        <v>200</v>
      </c>
    </row>
    <row r="235">
      <c r="A235" s="11" t="s">
        <v>1017</v>
      </c>
    </row>
    <row r="236">
      <c r="A236" s="11" t="s">
        <v>1239</v>
      </c>
    </row>
    <row r="237">
      <c r="A237" s="11" t="s">
        <v>202</v>
      </c>
    </row>
    <row r="238">
      <c r="A238" s="11" t="s">
        <v>1029</v>
      </c>
    </row>
    <row r="239">
      <c r="A239" s="11" t="s">
        <v>1038</v>
      </c>
    </row>
    <row r="240">
      <c r="A240" s="11" t="s">
        <v>1576</v>
      </c>
    </row>
    <row r="241">
      <c r="A241" s="11" t="s">
        <v>1045</v>
      </c>
    </row>
    <row r="242">
      <c r="A242" s="11" t="s">
        <v>204</v>
      </c>
    </row>
    <row r="243">
      <c r="A243" s="11" t="s">
        <v>1050</v>
      </c>
    </row>
    <row r="244">
      <c r="A244" s="11" t="s">
        <v>206</v>
      </c>
    </row>
    <row r="245">
      <c r="A245" s="11" t="s">
        <v>2123</v>
      </c>
    </row>
    <row r="246">
      <c r="A246" s="11" t="s">
        <v>32</v>
      </c>
    </row>
    <row r="247">
      <c r="A247" s="11" t="s">
        <v>1949</v>
      </c>
    </row>
    <row r="248">
      <c r="A248" s="11" t="s">
        <v>622</v>
      </c>
    </row>
    <row r="249">
      <c r="A249" s="11" t="s">
        <v>336</v>
      </c>
    </row>
    <row r="250">
      <c r="A250" s="11" t="s">
        <v>36</v>
      </c>
    </row>
    <row r="251">
      <c r="A251" s="11" t="s">
        <v>1749</v>
      </c>
    </row>
    <row r="252">
      <c r="A252" s="11" t="s">
        <v>40</v>
      </c>
    </row>
    <row r="253">
      <c r="A253" s="11" t="s">
        <v>1536</v>
      </c>
    </row>
    <row r="254">
      <c r="A254" s="11" t="s">
        <v>1751</v>
      </c>
    </row>
    <row r="255">
      <c r="A255" s="11" t="s">
        <v>1613</v>
      </c>
    </row>
    <row r="256">
      <c r="A256" s="11" t="s">
        <v>1601</v>
      </c>
    </row>
    <row r="257">
      <c r="A257" s="11" t="s">
        <v>526</v>
      </c>
    </row>
    <row r="258">
      <c r="A258" s="11" t="s">
        <v>42</v>
      </c>
    </row>
    <row r="259">
      <c r="A259" s="11" t="s">
        <v>45</v>
      </c>
    </row>
    <row r="260">
      <c r="A260" s="11" t="s">
        <v>48</v>
      </c>
    </row>
    <row r="261">
      <c r="A261" s="11" t="s">
        <v>1063</v>
      </c>
    </row>
    <row r="262">
      <c r="A262" s="11" t="s">
        <v>1066</v>
      </c>
    </row>
    <row r="263">
      <c r="A263" s="11" t="s">
        <v>1513</v>
      </c>
    </row>
    <row r="264">
      <c r="A264" s="11" t="s">
        <v>1081</v>
      </c>
    </row>
    <row r="265">
      <c r="A265" s="11" t="s">
        <v>1084</v>
      </c>
    </row>
    <row r="266">
      <c r="A266" s="11" t="s">
        <v>50</v>
      </c>
    </row>
    <row r="267">
      <c r="A267" s="11" t="s">
        <v>208</v>
      </c>
    </row>
    <row r="268">
      <c r="A268" s="11" t="s">
        <v>1871</v>
      </c>
    </row>
    <row r="269">
      <c r="A269" s="11" t="s">
        <v>1888</v>
      </c>
    </row>
    <row r="270">
      <c r="A270" s="11" t="s">
        <v>1879</v>
      </c>
    </row>
    <row r="271">
      <c r="A271" s="11" t="s">
        <v>1957</v>
      </c>
    </row>
    <row r="272">
      <c r="A272" s="11" t="s">
        <v>1886</v>
      </c>
    </row>
    <row r="273">
      <c r="A273" s="11" t="s">
        <v>1892</v>
      </c>
    </row>
    <row r="274">
      <c r="A274" s="11" t="s">
        <v>1896</v>
      </c>
    </row>
    <row r="275">
      <c r="A275" s="11" t="s">
        <v>1961</v>
      </c>
    </row>
    <row r="276">
      <c r="A276" s="11" t="s">
        <v>1900</v>
      </c>
    </row>
    <row r="277">
      <c r="A277" s="11" t="s">
        <v>1100</v>
      </c>
    </row>
    <row r="278">
      <c r="A278" s="11" t="s">
        <v>1406</v>
      </c>
    </row>
    <row r="279">
      <c r="A279" s="11" t="s">
        <v>1378</v>
      </c>
    </row>
    <row r="280">
      <c r="A280" s="11" t="s">
        <v>1584</v>
      </c>
    </row>
    <row r="281">
      <c r="A281" s="11" t="s">
        <v>1388</v>
      </c>
    </row>
    <row r="282">
      <c r="A282" s="11" t="s">
        <v>631</v>
      </c>
    </row>
    <row r="283">
      <c r="A283" s="11" t="s">
        <v>1116</v>
      </c>
    </row>
    <row r="284">
      <c r="A284" s="11" t="s">
        <v>1758</v>
      </c>
    </row>
    <row r="285">
      <c r="A285" s="11" t="s">
        <v>1472</v>
      </c>
    </row>
    <row r="286">
      <c r="A286" s="11" t="s">
        <v>1912</v>
      </c>
    </row>
    <row r="287">
      <c r="A287" s="11" t="s">
        <v>1965</v>
      </c>
    </row>
    <row r="288">
      <c r="A288" s="11" t="s">
        <v>53</v>
      </c>
    </row>
    <row r="289">
      <c r="A289" s="11" t="s">
        <v>55</v>
      </c>
    </row>
    <row r="290">
      <c r="A290" s="11" t="s">
        <v>57</v>
      </c>
    </row>
    <row r="291">
      <c r="A291" s="11" t="s">
        <v>59</v>
      </c>
    </row>
    <row r="292">
      <c r="A292" s="11" t="s">
        <v>1763</v>
      </c>
    </row>
    <row r="293">
      <c r="A293" s="11" t="s">
        <v>1124</v>
      </c>
    </row>
    <row r="294">
      <c r="A294" s="11" t="s">
        <v>1127</v>
      </c>
    </row>
    <row r="295">
      <c r="A295" s="11" t="s">
        <v>1143</v>
      </c>
    </row>
    <row r="296">
      <c r="A296" s="11" t="s">
        <v>1146</v>
      </c>
    </row>
    <row r="297">
      <c r="A297" s="11" t="s">
        <v>222</v>
      </c>
    </row>
    <row r="298">
      <c r="A298" s="11" t="s">
        <v>106</v>
      </c>
    </row>
    <row r="299">
      <c r="A299" s="11" t="s">
        <v>108</v>
      </c>
    </row>
    <row r="300">
      <c r="A300" s="11" t="s">
        <v>230</v>
      </c>
    </row>
    <row r="301">
      <c r="A301" s="11" t="s">
        <v>104</v>
      </c>
    </row>
    <row r="302">
      <c r="A302" s="11" t="s">
        <v>71</v>
      </c>
    </row>
    <row r="303">
      <c r="A303" s="11" t="s">
        <v>1154</v>
      </c>
    </row>
    <row r="304">
      <c r="A304" s="11" t="s">
        <v>268</v>
      </c>
    </row>
    <row r="305">
      <c r="A305" s="11" t="s">
        <v>1128</v>
      </c>
    </row>
    <row r="306">
      <c r="A306" s="11" t="s">
        <v>1289</v>
      </c>
    </row>
    <row r="307">
      <c r="A307" s="11" t="s">
        <v>1395</v>
      </c>
    </row>
    <row r="308">
      <c r="A308" s="11" t="s">
        <v>1428</v>
      </c>
    </row>
    <row r="309">
      <c r="A309" s="11" t="s">
        <v>1298</v>
      </c>
    </row>
    <row r="310">
      <c r="A310" s="11" t="s">
        <v>1162</v>
      </c>
    </row>
    <row r="311">
      <c r="A311" s="11" t="s">
        <v>74</v>
      </c>
    </row>
    <row r="312">
      <c r="A312" s="11" t="s">
        <v>1589</v>
      </c>
    </row>
    <row r="313">
      <c r="A313" s="11" t="s">
        <v>342</v>
      </c>
    </row>
    <row r="314">
      <c r="A314" s="11" t="s">
        <v>1172</v>
      </c>
    </row>
    <row r="315">
      <c r="A315" s="11" t="s">
        <v>1175</v>
      </c>
    </row>
    <row r="316">
      <c r="A316" s="11" t="s">
        <v>1183</v>
      </c>
    </row>
    <row r="317">
      <c r="A317" s="11" t="s">
        <v>76</v>
      </c>
    </row>
    <row r="318">
      <c r="A318" s="11" t="s">
        <v>1197</v>
      </c>
    </row>
    <row r="319">
      <c r="A319" s="11" t="s">
        <v>79</v>
      </c>
    </row>
    <row r="320">
      <c r="A320" s="11" t="s">
        <v>81</v>
      </c>
    </row>
    <row r="321">
      <c r="A321" s="11" t="s">
        <v>416</v>
      </c>
    </row>
    <row r="322">
      <c r="A322" s="11" t="s">
        <v>1207</v>
      </c>
    </row>
    <row r="323">
      <c r="A323" s="11" t="s">
        <v>325</v>
      </c>
    </row>
    <row r="324">
      <c r="A324" s="11" t="s">
        <v>1216</v>
      </c>
    </row>
    <row r="325">
      <c r="A325" s="11" t="s">
        <v>350</v>
      </c>
    </row>
    <row r="326">
      <c r="A326" s="11" t="s">
        <v>1970</v>
      </c>
    </row>
    <row r="327">
      <c r="A327" s="11" t="s">
        <v>83</v>
      </c>
    </row>
    <row r="328">
      <c r="A328" s="11" t="s">
        <v>177</v>
      </c>
    </row>
    <row r="329">
      <c r="A329" s="11" t="s">
        <v>1256</v>
      </c>
    </row>
    <row r="330">
      <c r="A330" s="11" t="s">
        <v>1258</v>
      </c>
    </row>
    <row r="331">
      <c r="A331" s="11" t="s">
        <v>85</v>
      </c>
    </row>
    <row r="332">
      <c r="A332" s="11"/>
    </row>
    <row r="389">
      <c r="A389" s="55"/>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2024-08-15T08:25:22Z</dcterms:created>
</cp:coreProperties>
</file>